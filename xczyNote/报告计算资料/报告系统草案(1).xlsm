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225" windowHeight="12090" firstSheet="4" activeTab="8"/>
  </bookViews>
  <sheets>
    <sheet name="Cover" sheetId="11" r:id="rId1"/>
    <sheet name="Discharge Summary" sheetId="16" state="hidden" r:id="rId2"/>
    <sheet name="Load Summary" sheetId="17" r:id="rId3"/>
    <sheet name="Quantity" sheetId="18" r:id="rId4"/>
    <sheet name="OBQ" sheetId="7" r:id="rId5"/>
    <sheet name="Ullage" sheetId="5" r:id="rId6"/>
    <sheet name="Wedge" sheetId="8" r:id="rId7"/>
    <sheet name="Vsl FW" sheetId="9" r:id="rId8"/>
    <sheet name="Shore Tk" sheetId="3" r:id="rId9"/>
    <sheet name="Shore Tk (2)" sheetId="19" r:id="rId10"/>
    <sheet name="ROB" sheetId="6" state="hidden" r:id="rId11"/>
    <sheet name="VEF" sheetId="10" r:id="rId12"/>
    <sheet name="Sample" sheetId="13" r:id="rId13"/>
    <sheet name="Time Log" sheetId="14" r:id="rId14"/>
    <sheet name="Load Summary (2)" sheetId="20" r:id="rId15"/>
    <sheet name="Blank" sheetId="1" r:id="rId16"/>
  </sheets>
  <definedNames>
    <definedName name="_xlnm._FilterDatabase" localSheetId="8" hidden="1">'Shore Tk'!$A$88:$A$219</definedName>
    <definedName name="_xlnm._FilterDatabase" localSheetId="9" hidden="1">'Shore Tk (2)'!$A$88:$A$219</definedName>
    <definedName name="_xlnm._FilterDatabase" localSheetId="15" hidden="1">Blank!$A$92:$A$129</definedName>
    <definedName name="_xlnm._FilterDatabase" localSheetId="1" hidden="1">'Discharge Summary'!#REF!</definedName>
    <definedName name="_xlnm._FilterDatabase" localSheetId="2" hidden="1">'Load Summary'!#REF!</definedName>
    <definedName name="_xlnm._FilterDatabase" localSheetId="14" hidden="1">'Load Summary (2)'!#REF!</definedName>
    <definedName name="_xlnm._FilterDatabase" localSheetId="4" hidden="1">OBQ!$A$102:$A$172</definedName>
    <definedName name="_xlnm._FilterDatabase" localSheetId="3" hidden="1">Quantity!#REF!</definedName>
    <definedName name="_xlnm._FilterDatabase" localSheetId="10" hidden="1">ROB!$A$102:$A$172</definedName>
    <definedName name="_xlnm._FilterDatabase" localSheetId="12" hidden="1">Sample!#REF!</definedName>
    <definedName name="_xlnm._FilterDatabase" localSheetId="13" hidden="1">'Time Log'!$A$92:$A$160</definedName>
    <definedName name="_xlnm._FilterDatabase" localSheetId="5" hidden="1">Ullage!$A$135:$A$158</definedName>
    <definedName name="_xlnm._FilterDatabase" localSheetId="11" hidden="1">VEF!$A$88:$C$147</definedName>
    <definedName name="_xlnm._FilterDatabase" localSheetId="7" hidden="1">'Vsl FW'!$A$88:$C$139</definedName>
    <definedName name="_xlnm._FilterDatabase" localSheetId="6" hidden="1">Wedge!$A$92:$A$154</definedName>
    <definedName name="_to_" localSheetId="0">Cover!$Q$46</definedName>
    <definedName name="Alltabs_toGallon" localSheetId="15">Blank!$C$79</definedName>
    <definedName name="Alltabs_toGallon" localSheetId="1">'Discharge Summary'!$D$79</definedName>
    <definedName name="Alltabs_toGallon" localSheetId="2">'Load Summary'!$D$79</definedName>
    <definedName name="Alltabs_toGallon" localSheetId="14">'Load Summary (2)'!$D$79</definedName>
    <definedName name="Alltabs_toGallon" localSheetId="3">Quantity!$D$79</definedName>
    <definedName name="Alltabs_toGallon" localSheetId="12">Sample!$C$79</definedName>
    <definedName name="Alltabs_toGallon" localSheetId="8">'Shore Tk'!$I$79</definedName>
    <definedName name="Alltabs_toGallon" localSheetId="9">'Shore Tk (2)'!$I$79</definedName>
    <definedName name="Alltabs_toGallon" localSheetId="13">'Time Log'!$C$79</definedName>
    <definedName name="Alltabs_toGallon" localSheetId="5">Ullage!$J$79</definedName>
    <definedName name="Alltabs_toGallon" localSheetId="7">'Vsl FW'!$C$79</definedName>
    <definedName name="Alltabs_toGallon" localSheetId="6">Wedge!$C$79</definedName>
    <definedName name="APPLICANT" localSheetId="0">Cover!$D$20</definedName>
    <definedName name="arm" localSheetId="13">'Time Log'!$G$121</definedName>
    <definedName name="Base_Information">Cover!$F$18:$L$26</definedName>
    <definedName name="bbls60f" localSheetId="5">Ullage!$U$56</definedName>
    <definedName name="bblsobd" localSheetId="5">Ullage!$U$54</definedName>
    <definedName name="Cargo">Cover!$F$22</definedName>
    <definedName name="Cargo_type" localSheetId="15">Blank!$G$3</definedName>
    <definedName name="Cargo_type" localSheetId="1">'Discharge Summary'!$K$4</definedName>
    <definedName name="Cargo_type" localSheetId="2">'Load Summary'!$K$4</definedName>
    <definedName name="Cargo_type" localSheetId="14">'Load Summary (2)'!$K$4</definedName>
    <definedName name="Cargo_type" localSheetId="4">OBQ!$N$3</definedName>
    <definedName name="Cargo_type" localSheetId="3">Quantity!$K$4</definedName>
    <definedName name="Cargo_type" localSheetId="10">ROB!$N$3</definedName>
    <definedName name="Cargo_type" localSheetId="12">Sample!$G$3</definedName>
    <definedName name="Cargo_type" localSheetId="8">'Shore Tk'!$M$3</definedName>
    <definedName name="Cargo_type" localSheetId="9">'Shore Tk (2)'!$M$3</definedName>
    <definedName name="Cargo_type" localSheetId="13">'Time Log'!$G$3</definedName>
    <definedName name="Cargo_type" localSheetId="5">Ullage!$N$3</definedName>
    <definedName name="Cargo_type" localSheetId="11">VEF!$G$3</definedName>
    <definedName name="Cargo_type" localSheetId="7">'Vsl FW'!$G$3</definedName>
    <definedName name="Cargo_type" localSheetId="6">Wedge!$G$3</definedName>
    <definedName name="cbm15c" localSheetId="5">Ullage!$U$58</definedName>
    <definedName name="cbm20c" localSheetId="5">Ullage!$U$59</definedName>
    <definedName name="cbm30c" localSheetId="5">Ullage!$U$60</definedName>
    <definedName name="cbmobd" localSheetId="5">Ullage!$U$55</definedName>
    <definedName name="classA" localSheetId="0">Cover!$O$12</definedName>
    <definedName name="classA" localSheetId="4">OBQ!$K$28</definedName>
    <definedName name="classA" localSheetId="10">ROB!$K$28</definedName>
    <definedName name="classA" localSheetId="8">'Shore Tk'!$J$28</definedName>
    <definedName name="classA" localSheetId="9">'Shore Tk (2)'!$J$28</definedName>
    <definedName name="classA" localSheetId="5">Ullage!$K$28</definedName>
    <definedName name="classB" localSheetId="0">Cover!$O$13</definedName>
    <definedName name="classB" localSheetId="4">OBQ!$K$29</definedName>
    <definedName name="classB" localSheetId="10">ROB!$K$29</definedName>
    <definedName name="classB" localSheetId="8">'Shore Tk'!$J$29</definedName>
    <definedName name="classB" localSheetId="9">'Shore Tk (2)'!$J$29</definedName>
    <definedName name="classB" localSheetId="5">Ullage!$K$29</definedName>
    <definedName name="classC" localSheetId="0">Cover!$O$14</definedName>
    <definedName name="classC" localSheetId="4">OBQ!$K$30</definedName>
    <definedName name="classC" localSheetId="10">ROB!$K$30</definedName>
    <definedName name="classC" localSheetId="8">'Shore Tk'!$J$30</definedName>
    <definedName name="classC" localSheetId="9">'Shore Tk (2)'!$J$30</definedName>
    <definedName name="classC" localSheetId="5">Ullage!$K$30</definedName>
    <definedName name="classD" localSheetId="0">Cover!$O$15</definedName>
    <definedName name="classD" localSheetId="4">OBQ!$K$31</definedName>
    <definedName name="classD" localSheetId="10">ROB!$K$31</definedName>
    <definedName name="classD" localSheetId="8">'Shore Tk'!$J$31</definedName>
    <definedName name="classD" localSheetId="9">'Shore Tk (2)'!$J$31</definedName>
    <definedName name="classD" localSheetId="5">Ullage!$K$31</definedName>
    <definedName name="Client">Cover!$Q$32</definedName>
    <definedName name="Client_No.">Cover!$F$21</definedName>
    <definedName name="cm表体积" localSheetId="8">'Shore Tk'!$S$5</definedName>
    <definedName name="cm表体积" localSheetId="9">'Shore Tk (2)'!$S$5</definedName>
    <definedName name="CN" localSheetId="15">Blank!$D$2</definedName>
    <definedName name="CN" localSheetId="0">Cover!$O$5</definedName>
    <definedName name="CN" localSheetId="1">'Discharge Summary'!$H$2</definedName>
    <definedName name="CN" localSheetId="2">'Load Summary'!$H$2</definedName>
    <definedName name="CN" localSheetId="14">'Load Summary (2)'!$H$2</definedName>
    <definedName name="CN" localSheetId="4">OBQ!$K$2</definedName>
    <definedName name="CN" localSheetId="3">Quantity!$H$2</definedName>
    <definedName name="CN" localSheetId="10">ROB!$K$2</definedName>
    <definedName name="CN" localSheetId="12">Sample!$D$2</definedName>
    <definedName name="CN" localSheetId="8">'Shore Tk'!$J$2</definedName>
    <definedName name="CN" localSheetId="9">'Shore Tk (2)'!$J$2</definedName>
    <definedName name="CN" localSheetId="13">'Time Log'!$D$2</definedName>
    <definedName name="CN" localSheetId="5">Ullage!$K$2</definedName>
    <definedName name="CN" localSheetId="11">VEF!$D$2</definedName>
    <definedName name="CN" localSheetId="7">'Vsl FW'!$D$2</definedName>
    <definedName name="CN" localSheetId="6">Wedge!$D$2</definedName>
    <definedName name="CN_Cargo">Cover!$P$34</definedName>
    <definedName name="CN_Client">Cover!$P$32</definedName>
    <definedName name="CN_Clinet_No.">Cover!$P$33</definedName>
    <definedName name="CN_Date_of_Report">Cover!$P$31</definedName>
    <definedName name="CN_Job_No.">Cover!$P$30</definedName>
    <definedName name="CN_Port">Cover!$P$36</definedName>
    <definedName name="CN_Terminal">Cover!$P$37</definedName>
    <definedName name="CN_Vessel">Cover!$P$35</definedName>
    <definedName name="Commence_Inspection">Cover!$O$38</definedName>
    <definedName name="Complete_Inspection">Cover!$P$38</definedName>
    <definedName name="_xlnm.Criteria" localSheetId="8">'Shore Tk'!$B$93</definedName>
    <definedName name="_xlnm.Criteria" localSheetId="9">'Shore Tk (2)'!$B$93</definedName>
    <definedName name="Date_of_Inspection">Cover!$F$26</definedName>
    <definedName name="Date_of_Report">Cover!$F$19</definedName>
    <definedName name="Delivery" localSheetId="8">'Shore Tk'!$P$2</definedName>
    <definedName name="Delivery" localSheetId="9">'Shore Tk (2)'!$P$2</definedName>
    <definedName name="Den_type" localSheetId="15">Blank!$F$7</definedName>
    <definedName name="Den_type" localSheetId="1">'Discharge Summary'!$J$7</definedName>
    <definedName name="Den_type" localSheetId="2">'Load Summary'!$J$7</definedName>
    <definedName name="Den_type" localSheetId="14">'Load Summary (2)'!$J$7</definedName>
    <definedName name="Den_type" localSheetId="4">OBQ!$M$7</definedName>
    <definedName name="Den_type" localSheetId="3">Quantity!$J$7</definedName>
    <definedName name="Den_type" localSheetId="10">ROB!$M$7</definedName>
    <definedName name="Den_type" localSheetId="12">Sample!$F$7</definedName>
    <definedName name="Den_type" localSheetId="8">'Shore Tk'!$L$7</definedName>
    <definedName name="Den_type" localSheetId="9">'Shore Tk (2)'!$L$7</definedName>
    <definedName name="Den_type" localSheetId="13">'Time Log'!$F$7</definedName>
    <definedName name="Den_type" localSheetId="5">Ullage!$M$7</definedName>
    <definedName name="Den_type" localSheetId="11">VEF!$F$7</definedName>
    <definedName name="Den_type" localSheetId="7">'Vsl FW'!$F$7</definedName>
    <definedName name="Den_type" localSheetId="6">Wedge!$F$7</definedName>
    <definedName name="discharge" localSheetId="0">Cover!$Q$40</definedName>
    <definedName name="dm表体积" localSheetId="8">'Shore Tk'!$S$4</definedName>
    <definedName name="dm表体积" localSheetId="9">'Shore Tk (2)'!$S$4</definedName>
    <definedName name="EN" localSheetId="15">Blank!$D$1</definedName>
    <definedName name="EN" localSheetId="0">Cover!$O$4</definedName>
    <definedName name="EN" localSheetId="1">'Discharge Summary'!$H$1</definedName>
    <definedName name="EN" localSheetId="2">'Load Summary'!$H$1</definedName>
    <definedName name="EN" localSheetId="14">'Load Summary (2)'!$H$1</definedName>
    <definedName name="EN" localSheetId="4">OBQ!$K$1</definedName>
    <definedName name="EN" localSheetId="3">Quantity!$H$1</definedName>
    <definedName name="EN" localSheetId="10">ROB!$K$1</definedName>
    <definedName name="EN" localSheetId="12">Sample!$D$1</definedName>
    <definedName name="EN" localSheetId="8">'Shore Tk'!$J$1</definedName>
    <definedName name="EN" localSheetId="9">'Shore Tk (2)'!$J$1</definedName>
    <definedName name="EN" localSheetId="13">'Time Log'!$D$1</definedName>
    <definedName name="EN" localSheetId="5">Ullage!$K$1</definedName>
    <definedName name="EN" localSheetId="11">VEF!$D$1</definedName>
    <definedName name="EN" localSheetId="7">'Vsl FW'!$D$1</definedName>
    <definedName name="EN" localSheetId="6">Wedge!$D$1</definedName>
    <definedName name="EN_Cargo">Cover!$O$34</definedName>
    <definedName name="EN_Client">Cover!$O$32</definedName>
    <definedName name="EN_Client_No." localSheetId="0">Cover!$O$33</definedName>
    <definedName name="EN_Client_No.">#REF!</definedName>
    <definedName name="EN_Date_of_Inspection" localSheetId="0">Cover!$O$38</definedName>
    <definedName name="EN_Date_of_Report" localSheetId="0">Cover!$O$31</definedName>
    <definedName name="EN_Date_of_Report">#REF!</definedName>
    <definedName name="EN_Job_No." localSheetId="0">Cover!$O$30</definedName>
    <definedName name="EN_Job_No.">#REF!</definedName>
    <definedName name="EN_Port">Cover!$O$36</definedName>
    <definedName name="EN_Terminal">Cover!$O$37</definedName>
    <definedName name="EN_Vessel">Cover!$O$35</definedName>
    <definedName name="Field" localSheetId="15">Blank!$P$120:$P$122</definedName>
    <definedName name="field" localSheetId="0">Cover!$O$92</definedName>
    <definedName name="Field" localSheetId="1">'Discharge Summary'!$I$152:$I$154</definedName>
    <definedName name="Field" localSheetId="2">'Load Summary'!$I$148:$I$150</definedName>
    <definedName name="Field" localSheetId="14">'Load Summary (2)'!$I$148:$I$150</definedName>
    <definedName name="Field" localSheetId="4">OBQ!$O$162:$AD$165</definedName>
    <definedName name="Field" localSheetId="3">Quantity!$I$142:$I$144</definedName>
    <definedName name="Field" localSheetId="10">ROB!$O$162:$AD$165</definedName>
    <definedName name="Field" localSheetId="12">Sample!$I$144:$I$146</definedName>
    <definedName name="Field" localSheetId="8">'Shore Tk'!$N$213:$N$215</definedName>
    <definedName name="Field" localSheetId="9">'Shore Tk (2)'!$N$213:$N$215</definedName>
    <definedName name="Field" localSheetId="13">'Time Log'!$P$151:$P$153</definedName>
    <definedName name="Field" localSheetId="5">Ullage!$S$151:$S$153</definedName>
    <definedName name="Field" localSheetId="11">VEF!$P$141:$P$143</definedName>
    <definedName name="Field" localSheetId="7">'Vsl FW'!$P$133:$P$135</definedName>
    <definedName name="Field" localSheetId="6">Wedge!$Q$146:$Q$148</definedName>
    <definedName name="gallon60f" localSheetId="5">Ullage!$U$57</definedName>
    <definedName name="Gross_bbls_60F" localSheetId="5">Ullage!$N$138</definedName>
    <definedName name="Gross_bbls_obd" localSheetId="5">Ullage!$N$136</definedName>
    <definedName name="Gross_CBM_15C" localSheetId="5">Ullage!$N$140</definedName>
    <definedName name="Gross_CBM_20C" localSheetId="5">Ullage!$N$141</definedName>
    <definedName name="Gross_CBM_30C" localSheetId="5">Ullage!$N$142</definedName>
    <definedName name="Gross_CBM_obd" localSheetId="5">Ullage!$N$137</definedName>
    <definedName name="Gross_gallon_60F" localSheetId="5">Ullage!$N$139</definedName>
    <definedName name="Gross_LT_air" localSheetId="5">Ullage!$N$146</definedName>
    <definedName name="Gross_LT_vacuo" localSheetId="5">Ullage!$N$145</definedName>
    <definedName name="Gross_MT_air" localSheetId="5">Ullage!$N$144</definedName>
    <definedName name="Gross_MT_vacuo" localSheetId="5">Ullage!$N$143</definedName>
    <definedName name="GSV_Liquid" localSheetId="4">OBQ!$L$122:$L$139</definedName>
    <definedName name="GSV_Liquid" localSheetId="10">ROB!$L$122:$L$139</definedName>
    <definedName name="GSV_name" localSheetId="15">Blank!$C$62</definedName>
    <definedName name="GSV_name" localSheetId="1">'Discharge Summary'!$D$62</definedName>
    <definedName name="GSV_name" localSheetId="2">'Load Summary'!$D$62</definedName>
    <definedName name="GSV_name" localSheetId="14">'Load Summary (2)'!$D$62</definedName>
    <definedName name="GSV_name" localSheetId="3">Quantity!$D$62</definedName>
    <definedName name="GSV_name" localSheetId="12">Sample!$C$62</definedName>
    <definedName name="GSV_name" localSheetId="8">'Shore Tk'!$I$62</definedName>
    <definedName name="GSV_name" localSheetId="9">'Shore Tk (2)'!$I$62</definedName>
    <definedName name="GSV_name" localSheetId="13">'Time Log'!$C$62</definedName>
    <definedName name="GSV_name" localSheetId="5">Ullage!$J$62</definedName>
    <definedName name="GSV_name" localSheetId="11">VEF!$C$62</definedName>
    <definedName name="GSV_name" localSheetId="7">'Vsl FW'!$C$62</definedName>
    <definedName name="GSV_name" localSheetId="6">Wedge!$C$62</definedName>
    <definedName name="GSV_Nonliquid" localSheetId="4">OBQ!$M$122:$M$139</definedName>
    <definedName name="GSV_Nonliquid" localSheetId="10">ROB!$M$122:$M$139</definedName>
    <definedName name="input" localSheetId="12">Sample!$R$94:$AE$152</definedName>
    <definedName name="INSPECTION" localSheetId="0">Cover!$Q$6</definedName>
    <definedName name="inventory" localSheetId="0">Cover!$Q$44</definedName>
    <definedName name="Inventory" localSheetId="8">'Shore Tk'!$P$4</definedName>
    <definedName name="Inventory" localSheetId="9">'Shore Tk (2)'!$P$4</definedName>
    <definedName name="ITT" localSheetId="0">Cover!$Q$42</definedName>
    <definedName name="Job_No.">Cover!$F$18</definedName>
    <definedName name="listconditionlist" localSheetId="5">Ullage!$U$38:$U$40</definedName>
    <definedName name="load" localSheetId="0">Cover!$Q$41</definedName>
    <definedName name="load" localSheetId="13">'Time Log'!$H$130:$H$141</definedName>
    <definedName name="ltair" localSheetId="5">Ullage!$U$64</definedName>
    <definedName name="ltvacuo" localSheetId="5">Ullage!$U$63</definedName>
    <definedName name="Methods" localSheetId="5">Ullage!$R$138:$U$146</definedName>
    <definedName name="MMC" localSheetId="5">Ullage!$U$70</definedName>
    <definedName name="MMC和水膏" localSheetId="5">Ullage!$U$73</definedName>
    <definedName name="mm表体积" localSheetId="8">'Shore Tk'!$S$6</definedName>
    <definedName name="mm表体积" localSheetId="9">'Shore Tk (2)'!$S$6</definedName>
    <definedName name="mtair" localSheetId="5">Ullage!$U$62</definedName>
    <definedName name="mtvacuo" localSheetId="5">Ullage!$U$61</definedName>
    <definedName name="Net_bbls_60F" localSheetId="5">Ullage!$P$138</definedName>
    <definedName name="Net_bbls_obd" localSheetId="5">Ullage!$P$136</definedName>
    <definedName name="Net_CBM_15C" localSheetId="5">Ullage!$P$140</definedName>
    <definedName name="Net_CBM_20C" localSheetId="5">Ullage!$P$141</definedName>
    <definedName name="Net_CBM_30C" localSheetId="5">Ullage!$P$142</definedName>
    <definedName name="Net_CBM_obd" localSheetId="5">Ullage!$P$137</definedName>
    <definedName name="Net_gallon_60F" localSheetId="5">Ullage!$P$139</definedName>
    <definedName name="Net_LT_air" localSheetId="5">Ullage!$P$146</definedName>
    <definedName name="Net_LT_vacuo" localSheetId="5">Ullage!$P$145</definedName>
    <definedName name="Net_MT_air" localSheetId="5">Ullage!$P$144</definedName>
    <definedName name="Net_MT_vacuo" localSheetId="5">Ullage!$P$143</definedName>
    <definedName name="Nonliquid" localSheetId="4">OBQ!$V$122:$V$139</definedName>
    <definedName name="Nonliquid" localSheetId="10">ROB!$V$122:$V$139</definedName>
    <definedName name="official" localSheetId="15">Blank!$P$124:$P$126</definedName>
    <definedName name="official" localSheetId="0">Cover!$O$93</definedName>
    <definedName name="official" localSheetId="1">'Discharge Summary'!$I$156:$I$158</definedName>
    <definedName name="official" localSheetId="2">'Load Summary'!$I$152:$I$154</definedName>
    <definedName name="official" localSheetId="14">'Load Summary (2)'!$I$152:$I$154</definedName>
    <definedName name="Official" localSheetId="4">OBQ!$O$166:$AD$169</definedName>
    <definedName name="official" localSheetId="3">Quantity!$I$146:$I$148</definedName>
    <definedName name="Official" localSheetId="10">ROB!$O$166:$AD$169</definedName>
    <definedName name="official" localSheetId="12">Sample!$I$148:$I$150</definedName>
    <definedName name="official" localSheetId="8">'Shore Tk'!$N$216:$N$217</definedName>
    <definedName name="official" localSheetId="9">'Shore Tk (2)'!$N$216:$N$217</definedName>
    <definedName name="official" localSheetId="13">'Time Log'!$P$155:$P$157</definedName>
    <definedName name="official" localSheetId="5">Ullage!$S$154:$S$156</definedName>
    <definedName name="official" localSheetId="11">VEF!$P$144:$P$145</definedName>
    <definedName name="official" localSheetId="7">'Vsl FW'!$P$136:$P$137</definedName>
    <definedName name="official" localSheetId="6">Wedge!$Q$150:$Q$152</definedName>
    <definedName name="operations" localSheetId="0">Cover!$Q$40:$Q$44</definedName>
    <definedName name="Port">Cover!$F$24</definedName>
    <definedName name="_xlnm.Print_Area" localSheetId="15">Blank!$I$89:$T$129</definedName>
    <definedName name="_xlnm.Print_Area" localSheetId="0">Cover!$C$3:$M$48</definedName>
    <definedName name="_xlnm.Print_Area" localSheetId="1">'Discharge Summary'!$B$89:$M$161</definedName>
    <definedName name="_xlnm.Print_Area" localSheetId="2">'Load Summary'!$B$89:$M$157</definedName>
    <definedName name="_xlnm.Print_Area" localSheetId="14">'Load Summary (2)'!$B$89:$M$157</definedName>
    <definedName name="_xlnm.Print_Area" localSheetId="4">OBQ!$O$103:$AD$171</definedName>
    <definedName name="_xlnm.Print_Area" localSheetId="3">Quantity!$B$89:$M$151</definedName>
    <definedName name="_xlnm.Print_Area" localSheetId="10">ROB!$O$103:$AD$171</definedName>
    <definedName name="_xlnm.Print_Area" localSheetId="12">Sample!$B$89:$M$152</definedName>
    <definedName name="_xlnm.Print_Area" localSheetId="8">'Shore Tk'!$H$89:$Q$219</definedName>
    <definedName name="_xlnm.Print_Area" localSheetId="9">'Shore Tk (2)'!$H$89:$Q$219</definedName>
    <definedName name="_xlnm.Print_Area" localSheetId="13">'Time Log'!$I$89:$T$160</definedName>
    <definedName name="_xlnm.Print_Area" localSheetId="5">Ullage!$I$89:$W$158</definedName>
    <definedName name="_xlnm.Print_Area" localSheetId="11">VEF!$I$89:$V$147</definedName>
    <definedName name="_xlnm.Print_Area" localSheetId="7">'Vsl FW'!$I$89:$S$139</definedName>
    <definedName name="_xlnm.Print_Area" localSheetId="6">Wedge!$I$89:$U$154</definedName>
    <definedName name="Received" localSheetId="8">'Shore Tk'!$P$3</definedName>
    <definedName name="Received" localSheetId="9">'Shore Tk (2)'!$P$3</definedName>
    <definedName name="Report_Language" localSheetId="15">Blank!$F$1</definedName>
    <definedName name="Report_Language" localSheetId="0">Cover!$Q$4</definedName>
    <definedName name="Report_Language" localSheetId="1">'Discharge Summary'!$J$1</definedName>
    <definedName name="Report_Language" localSheetId="2">'Load Summary'!$J$1</definedName>
    <definedName name="Report_Language" localSheetId="14">'Load Summary (2)'!$J$1</definedName>
    <definedName name="Report_Language" localSheetId="4">OBQ!$M$1</definedName>
    <definedName name="Report_Language" localSheetId="3">Quantity!$J$1</definedName>
    <definedName name="Report_Language" localSheetId="10">ROB!$M$1</definedName>
    <definedName name="Report_Language" localSheetId="12">Sample!$F$1</definedName>
    <definedName name="Report_Language" localSheetId="8">'Shore Tk'!$L$1</definedName>
    <definedName name="Report_Language" localSheetId="9">'Shore Tk (2)'!$L$1</definedName>
    <definedName name="Report_Language" localSheetId="13">'Time Log'!$F$1</definedName>
    <definedName name="Report_Language" localSheetId="5">Ullage!$M$1</definedName>
    <definedName name="Report_Language" localSheetId="11">VEF!$F$1</definedName>
    <definedName name="Report_Language" localSheetId="7">'Vsl FW'!$F$1</definedName>
    <definedName name="Report_Language" localSheetId="6">Wedge!$F$1</definedName>
    <definedName name="Report_type" localSheetId="15">Blank!$F$2</definedName>
    <definedName name="Report_type" localSheetId="0">Cover!$Q$5</definedName>
    <definedName name="Report_type" localSheetId="1">'Discharge Summary'!$J$2</definedName>
    <definedName name="Report_type" localSheetId="2">'Load Summary'!$J$2</definedName>
    <definedName name="Report_type" localSheetId="14">'Load Summary (2)'!$J$2</definedName>
    <definedName name="Report_type" localSheetId="4">OBQ!$M$2</definedName>
    <definedName name="Report_type" localSheetId="3">Quantity!$J$2</definedName>
    <definedName name="Report_type" localSheetId="10">ROB!$M$2</definedName>
    <definedName name="Report_type" localSheetId="12">Sample!$F$2</definedName>
    <definedName name="Report_type" localSheetId="8">'Shore Tk'!$L$2</definedName>
    <definedName name="Report_type" localSheetId="9">'Shore Tk (2)'!$L$2</definedName>
    <definedName name="Report_type" localSheetId="13">'Time Log'!$F$2</definedName>
    <definedName name="Report_type" localSheetId="5">Ullage!$M$2</definedName>
    <definedName name="Report_type" localSheetId="11">VEF!$F$2</definedName>
    <definedName name="Report_type" localSheetId="7">'Vsl FW'!$F$2</definedName>
    <definedName name="Report_type" localSheetId="6">Wedge!$F$2</definedName>
    <definedName name="show_bbls60f" localSheetId="3">Quantity!$N$108</definedName>
    <definedName name="show_bbls60f" localSheetId="8">'Shore Tk'!$F$164</definedName>
    <definedName name="show_bbls60f" localSheetId="9">'Shore Tk (2)'!$F$164</definedName>
    <definedName name="show_bbls60f" localSheetId="5">Ullage!$D$138</definedName>
    <definedName name="show_bblsobd" localSheetId="3">Quantity!$N$106</definedName>
    <definedName name="show_bblsobd" localSheetId="8">'Shore Tk'!$F$162</definedName>
    <definedName name="show_bblsobd" localSheetId="9">'Shore Tk (2)'!$F$162</definedName>
    <definedName name="show_bblsobd" localSheetId="5">Ullage!$D$136</definedName>
    <definedName name="show_cbm15c" localSheetId="3">Quantity!$N$110</definedName>
    <definedName name="show_cbm15c" localSheetId="8">'Shore Tk'!$F$166</definedName>
    <definedName name="show_cbm15c" localSheetId="9">'Shore Tk (2)'!$F$166</definedName>
    <definedName name="show_cbm15c" localSheetId="5">Ullage!$D$140</definedName>
    <definedName name="show_cbm20c" localSheetId="3">Quantity!$N$111</definedName>
    <definedName name="show_cbm20c" localSheetId="8">'Shore Tk'!$F$167</definedName>
    <definedName name="show_cbm20c" localSheetId="9">'Shore Tk (2)'!$F$167</definedName>
    <definedName name="show_cbm20c" localSheetId="5">Ullage!$D$141</definedName>
    <definedName name="show_cbm30c" localSheetId="3">Quantity!$N$112</definedName>
    <definedName name="show_cbm30c" localSheetId="8">'Shore Tk'!$F$168</definedName>
    <definedName name="show_cbm30c" localSheetId="9">'Shore Tk (2)'!$F$168</definedName>
    <definedName name="show_cbm30c" localSheetId="5">Ullage!$D$142</definedName>
    <definedName name="show_cbmobd" localSheetId="3">Quantity!$N$107</definedName>
    <definedName name="show_cbmobd" localSheetId="8">'Shore Tk'!$F$163</definedName>
    <definedName name="show_cbmobd" localSheetId="9">'Shore Tk (2)'!$F$163</definedName>
    <definedName name="show_cbmobd" localSheetId="5">Ullage!$D$137</definedName>
    <definedName name="show_gallon60f" localSheetId="3">Quantity!$N$109</definedName>
    <definedName name="show_gallon60f" localSheetId="8">'Shore Tk'!$F$165</definedName>
    <definedName name="show_gallon60f" localSheetId="9">'Shore Tk (2)'!$F$165</definedName>
    <definedName name="show_gallon60f" localSheetId="5">Ullage!$D$139</definedName>
    <definedName name="show_ltair" localSheetId="3">Quantity!$N$116</definedName>
    <definedName name="show_ltair" localSheetId="8">'Shore Tk'!$F$172</definedName>
    <definedName name="show_ltair" localSheetId="9">'Shore Tk (2)'!$F$172</definedName>
    <definedName name="show_ltair" localSheetId="5">Ullage!$D$146</definedName>
    <definedName name="show_ltvacuo" localSheetId="3">Quantity!$N$115</definedName>
    <definedName name="show_ltvacuo" localSheetId="8">'Shore Tk'!$F$171</definedName>
    <definedName name="show_ltvacuo" localSheetId="9">'Shore Tk (2)'!$F$171</definedName>
    <definedName name="show_ltvacuo" localSheetId="5">Ullage!$D$145</definedName>
    <definedName name="show_mtair" localSheetId="3">Quantity!$N$114</definedName>
    <definedName name="show_mtair" localSheetId="8">'Shore Tk'!$F$170</definedName>
    <definedName name="show_mtair" localSheetId="9">'Shore Tk (2)'!$F$170</definedName>
    <definedName name="show_mtair" localSheetId="5">Ullage!$D$144</definedName>
    <definedName name="show_mtvacuo" localSheetId="3">Quantity!$N$113</definedName>
    <definedName name="show_mtvacuo" localSheetId="8">'Shore Tk'!$F$169</definedName>
    <definedName name="show_mtvacuo" localSheetId="9">'Shore Tk (2)'!$F$169</definedName>
    <definedName name="show_mtvacuo" localSheetId="5">Ullage!$D$143</definedName>
    <definedName name="STS" localSheetId="0">Cover!$Q$43</definedName>
    <definedName name="T24_1980_toCbm15C" localSheetId="15">Blank!$C$64</definedName>
    <definedName name="T24_1980_toCbm15C" localSheetId="1">'Discharge Summary'!$D$64</definedName>
    <definedName name="T24_1980_toCbm15C" localSheetId="2">'Load Summary'!$D$64</definedName>
    <definedName name="T24_1980_toCbm15C" localSheetId="14">'Load Summary (2)'!$D$64</definedName>
    <definedName name="T24_1980_toCbm15C" localSheetId="3">Quantity!$D$64</definedName>
    <definedName name="T24_1980_toCbm15C" localSheetId="12">Sample!$C$64</definedName>
    <definedName name="T24_1980_toCbm15C" localSheetId="8">'Shore Tk'!$I$64</definedName>
    <definedName name="T24_1980_toCbm15C" localSheetId="9">'Shore Tk (2)'!$I$64</definedName>
    <definedName name="T24_1980_toCbm15C" localSheetId="13">'Time Log'!$C$64</definedName>
    <definedName name="T24_1980_toCbm15C" localSheetId="5">Ullage!$J$64</definedName>
    <definedName name="T24_1980_toCbm15C" localSheetId="7">'Vsl FW'!$C$64</definedName>
    <definedName name="T24_1980_toCbm15C" localSheetId="6">Wedge!$C$64</definedName>
    <definedName name="T24_1980_toCbm20C" localSheetId="15">Blank!$C$69</definedName>
    <definedName name="T24_1980_toCbm20C" localSheetId="1">'Discharge Summary'!$D$69</definedName>
    <definedName name="T24_1980_toCbm20C" localSheetId="2">'Load Summary'!$D$69</definedName>
    <definedName name="T24_1980_toCbm20C" localSheetId="14">'Load Summary (2)'!$D$69</definedName>
    <definedName name="T24_1980_toCbm20C" localSheetId="3">Quantity!$D$69</definedName>
    <definedName name="T24_1980_toCbm20C" localSheetId="12">Sample!$C$69</definedName>
    <definedName name="T24_1980_toCbm20C" localSheetId="8">'Shore Tk'!$I$69</definedName>
    <definedName name="T24_1980_toCbm20C" localSheetId="9">'Shore Tk (2)'!$I$69</definedName>
    <definedName name="T24_1980_toCbm20C" localSheetId="13">'Time Log'!$C$69</definedName>
    <definedName name="T24_1980_toCbm20C" localSheetId="5">Ullage!$J$69</definedName>
    <definedName name="T24_1980_toCbm20C" localSheetId="7">'Vsl FW'!$C$69</definedName>
    <definedName name="T24_1980_toCbm20C" localSheetId="6">Wedge!$C$69</definedName>
    <definedName name="T24_1980_toCbm30C" localSheetId="15">Blank!$C$75</definedName>
    <definedName name="T24_1980_toCbm30C" localSheetId="1">'Discharge Summary'!$D$75</definedName>
    <definedName name="T24_1980_toCbm30C" localSheetId="2">'Load Summary'!$D$75</definedName>
    <definedName name="T24_1980_toCbm30C" localSheetId="14">'Load Summary (2)'!$D$75</definedName>
    <definedName name="T24_1980_toCbm30C" localSheetId="3">Quantity!$D$75</definedName>
    <definedName name="T24_1980_toCbm30C" localSheetId="12">Sample!$C$75</definedName>
    <definedName name="T24_1980_toCbm30C" localSheetId="8">'Shore Tk'!$I$75</definedName>
    <definedName name="T24_1980_toCbm30C" localSheetId="9">'Shore Tk (2)'!$I$75</definedName>
    <definedName name="T24_1980_toCbm30C" localSheetId="13">'Time Log'!$C$75</definedName>
    <definedName name="T24_1980_toCbm30C" localSheetId="5">Ullage!$J$75</definedName>
    <definedName name="T24_1980_toCbm30C" localSheetId="7">'Vsl FW'!$C$75</definedName>
    <definedName name="T24_1980_toCbm30C" localSheetId="6">Wedge!$C$75</definedName>
    <definedName name="T24_1980_toLTair" localSheetId="15">Blank!$C$47</definedName>
    <definedName name="T24_1980_toLTair" localSheetId="1">'Discharge Summary'!$D$47</definedName>
    <definedName name="T24_1980_toLTair" localSheetId="2">'Load Summary'!$D$47</definedName>
    <definedName name="T24_1980_toLTair" localSheetId="14">'Load Summary (2)'!$D$47</definedName>
    <definedName name="T24_1980_toLTair" localSheetId="3">Quantity!$D$47</definedName>
    <definedName name="T24_1980_toLTair" localSheetId="12">Sample!$C$47</definedName>
    <definedName name="T24_1980_toLTair" localSheetId="8">'Shore Tk'!$I$47</definedName>
    <definedName name="T24_1980_toLTair" localSheetId="9">'Shore Tk (2)'!$I$47</definedName>
    <definedName name="T24_1980_toLTair" localSheetId="13">'Time Log'!$C$47</definedName>
    <definedName name="T24_1980_toLTair" localSheetId="5">Ullage!$J$47</definedName>
    <definedName name="T24_1980_toLTair" localSheetId="7">'Vsl FW'!$C$47</definedName>
    <definedName name="T24_1980_toLTair" localSheetId="6">Wedge!$C$47</definedName>
    <definedName name="T24_1980_toLTvacuo" localSheetId="15">Blank!$C$55</definedName>
    <definedName name="T24_1980_toLTvacuo" localSheetId="1">'Discharge Summary'!$D$55</definedName>
    <definedName name="T24_1980_toLTvacuo" localSheetId="2">'Load Summary'!$D$55</definedName>
    <definedName name="T24_1980_toLTvacuo" localSheetId="14">'Load Summary (2)'!$D$55</definedName>
    <definedName name="T24_1980_toLTvacuo" localSheetId="3">Quantity!$D$55</definedName>
    <definedName name="T24_1980_toLTvacuo" localSheetId="12">Sample!$C$55</definedName>
    <definedName name="T24_1980_toLTvacuo" localSheetId="8">'Shore Tk'!$I$55</definedName>
    <definedName name="T24_1980_toLTvacuo" localSheetId="9">'Shore Tk (2)'!$I$55</definedName>
    <definedName name="T24_1980_toLTvacuo" localSheetId="13">'Time Log'!$C$55</definedName>
    <definedName name="T24_1980_toLTvacuo" localSheetId="5">Ullage!$J$55</definedName>
    <definedName name="T24_1980_toLTvacuo" localSheetId="7">'Vsl FW'!$C$55</definedName>
    <definedName name="T24_1980_toLTvacuo" localSheetId="6">Wedge!$C$55</definedName>
    <definedName name="T24_1980_toMTair" localSheetId="15">Blank!$C$33</definedName>
    <definedName name="T24_1980_toMTair" localSheetId="1">'Discharge Summary'!$D$33</definedName>
    <definedName name="T24_1980_toMTair" localSheetId="2">'Load Summary'!$D$33</definedName>
    <definedName name="T24_1980_toMTair" localSheetId="14">'Load Summary (2)'!$D$33</definedName>
    <definedName name="T24_1980_toMTair" localSheetId="3">Quantity!$D$33</definedName>
    <definedName name="T24_1980_toMTair" localSheetId="12">Sample!$C$33</definedName>
    <definedName name="T24_1980_toMTair" localSheetId="8">'Shore Tk'!$I$33</definedName>
    <definedName name="T24_1980_toMTair" localSheetId="9">'Shore Tk (2)'!$I$33</definedName>
    <definedName name="T24_1980_toMTair" localSheetId="13">'Time Log'!$C$33</definedName>
    <definedName name="T24_1980_toMTair" localSheetId="5">Ullage!$J$33</definedName>
    <definedName name="T24_1980_toMTair" localSheetId="7">'Vsl FW'!$C$33</definedName>
    <definedName name="T24_1980_toMTair" localSheetId="6">Wedge!$C$33</definedName>
    <definedName name="T24_1980_toMTvacuo" localSheetId="15">Blank!$C$41</definedName>
    <definedName name="T24_1980_toMTvacuo" localSheetId="1">'Discharge Summary'!$D$41</definedName>
    <definedName name="T24_1980_toMTvacuo" localSheetId="2">'Load Summary'!$D$41</definedName>
    <definedName name="T24_1980_toMTvacuo" localSheetId="14">'Load Summary (2)'!$D$41</definedName>
    <definedName name="T24_1980_toMTvacuo" localSheetId="3">Quantity!$D$41</definedName>
    <definedName name="T24_1980_toMTvacuo" localSheetId="12">Sample!$C$41</definedName>
    <definedName name="T24_1980_toMTvacuo" localSheetId="8">'Shore Tk'!$I$41</definedName>
    <definedName name="T24_1980_toMTvacuo" localSheetId="9">'Shore Tk (2)'!$I$41</definedName>
    <definedName name="T24_1980_toMTvacuo" localSheetId="13">'Time Log'!$C$41</definedName>
    <definedName name="T24_1980_toMTvacuo" localSheetId="5">Ullage!$J$41</definedName>
    <definedName name="T24_1980_toMTvacuo" localSheetId="7">'Vsl FW'!$C$41</definedName>
    <definedName name="T24_1980_toMTvacuo" localSheetId="6">Wedge!$C$41</definedName>
    <definedName name="T24_2013_toCbm15C" localSheetId="15">Blank!$C$65</definedName>
    <definedName name="T24_2013_toCbm15C" localSheetId="1">'Discharge Summary'!$D$65</definedName>
    <definedName name="T24_2013_toCbm15C" localSheetId="2">'Load Summary'!$D$65</definedName>
    <definedName name="T24_2013_toCbm15C" localSheetId="14">'Load Summary (2)'!$D$65</definedName>
    <definedName name="T24_2013_toCbm15C" localSheetId="3">Quantity!$D$65</definedName>
    <definedName name="T24_2013_toCbm15C" localSheetId="12">Sample!$C$65</definedName>
    <definedName name="T24_2013_toCbm15C" localSheetId="8">'Shore Tk'!$I$65</definedName>
    <definedName name="T24_2013_toCbm15C" localSheetId="9">'Shore Tk (2)'!$I$65</definedName>
    <definedName name="T24_2013_toCbm15C" localSheetId="13">'Time Log'!$C$65</definedName>
    <definedName name="T24_2013_toCbm15C" localSheetId="5">Ullage!$J$65</definedName>
    <definedName name="T24_2013_toCbm15C" localSheetId="7">'Vsl FW'!$C$65</definedName>
    <definedName name="T24_2013_toCbm15C" localSheetId="6">Wedge!$C$65</definedName>
    <definedName name="T24_2013_toCbm20C" localSheetId="15">Blank!$C$70</definedName>
    <definedName name="T24_2013_toCbm20C" localSheetId="1">'Discharge Summary'!$D$70</definedName>
    <definedName name="T24_2013_toCbm20C" localSheetId="2">'Load Summary'!$D$70</definedName>
    <definedName name="T24_2013_toCbm20C" localSheetId="14">'Load Summary (2)'!$D$70</definedName>
    <definedName name="T24_2013_toCbm20C" localSheetId="3">Quantity!$D$70</definedName>
    <definedName name="T24_2013_toCbm20C" localSheetId="12">Sample!$C$70</definedName>
    <definedName name="T24_2013_toCbm20C" localSheetId="8">'Shore Tk'!$I$70</definedName>
    <definedName name="T24_2013_toCbm20C" localSheetId="9">'Shore Tk (2)'!$I$70</definedName>
    <definedName name="T24_2013_toCbm20C" localSheetId="13">'Time Log'!$C$70</definedName>
    <definedName name="T24_2013_toCbm20C" localSheetId="5">Ullage!$J$70</definedName>
    <definedName name="T24_2013_toCbm20C" localSheetId="7">'Vsl FW'!$C$70</definedName>
    <definedName name="T24_2013_toCbm20C" localSheetId="6">Wedge!$C$70</definedName>
    <definedName name="T24_2013_toCbm30C" localSheetId="15">Blank!$C$76</definedName>
    <definedName name="T24_2013_toCbm30C" localSheetId="1">'Discharge Summary'!$D$76</definedName>
    <definedName name="T24_2013_toCbm30C" localSheetId="2">'Load Summary'!$D$76</definedName>
    <definedName name="T24_2013_toCbm30C" localSheetId="14">'Load Summary (2)'!$D$76</definedName>
    <definedName name="T24_2013_toCbm30C" localSheetId="3">Quantity!$D$76</definedName>
    <definedName name="T24_2013_toCbm30C" localSheetId="12">Sample!$C$76</definedName>
    <definedName name="T24_2013_toCbm30C" localSheetId="8">'Shore Tk'!$I$76</definedName>
    <definedName name="T24_2013_toCbm30C" localSheetId="9">'Shore Tk (2)'!$I$76</definedName>
    <definedName name="T24_2013_toCbm30C" localSheetId="13">'Time Log'!$C$76</definedName>
    <definedName name="T24_2013_toCbm30C" localSheetId="5">Ullage!$J$76</definedName>
    <definedName name="T24_2013_toCbm30C" localSheetId="7">'Vsl FW'!$C$76</definedName>
    <definedName name="T24_2013_toCbm30C" localSheetId="6">Wedge!$C$76</definedName>
    <definedName name="T24_2013_toLTair" localSheetId="15">Blank!$C$48</definedName>
    <definedName name="T24_2013_toLTair" localSheetId="1">'Discharge Summary'!$D$48</definedName>
    <definedName name="T24_2013_toLTair" localSheetId="2">'Load Summary'!$D$48</definedName>
    <definedName name="T24_2013_toLTair" localSheetId="14">'Load Summary (2)'!$D$48</definedName>
    <definedName name="T24_2013_toLTair" localSheetId="3">Quantity!$D$48</definedName>
    <definedName name="T24_2013_toLTair" localSheetId="12">Sample!$C$48</definedName>
    <definedName name="T24_2013_toLTair" localSheetId="8">'Shore Tk'!$I$48</definedName>
    <definedName name="T24_2013_toLTair" localSheetId="9">'Shore Tk (2)'!$I$48</definedName>
    <definedName name="T24_2013_toLTair" localSheetId="13">'Time Log'!$C$48</definedName>
    <definedName name="T24_2013_toLTair" localSheetId="5">Ullage!$J$48</definedName>
    <definedName name="T24_2013_toLTair" localSheetId="7">'Vsl FW'!$C$48</definedName>
    <definedName name="T24_2013_toLTair" localSheetId="6">Wedge!$C$48</definedName>
    <definedName name="T24_2013_toLTvacuo" localSheetId="15">Blank!$C$56</definedName>
    <definedName name="T24_2013_toLTvacuo" localSheetId="1">'Discharge Summary'!$D$56</definedName>
    <definedName name="T24_2013_toLTvacuo" localSheetId="2">'Load Summary'!$D$56</definedName>
    <definedName name="T24_2013_toLTvacuo" localSheetId="14">'Load Summary (2)'!$D$56</definedName>
    <definedName name="T24_2013_toLTvacuo" localSheetId="3">Quantity!$D$56</definedName>
    <definedName name="T24_2013_toLTvacuo" localSheetId="12">Sample!$C$56</definedName>
    <definedName name="T24_2013_toLTvacuo" localSheetId="8">'Shore Tk'!$I$56</definedName>
    <definedName name="T24_2013_toLTvacuo" localSheetId="9">'Shore Tk (2)'!$I$56</definedName>
    <definedName name="T24_2013_toLTvacuo" localSheetId="13">'Time Log'!$C$56</definedName>
    <definedName name="T24_2013_toLTvacuo" localSheetId="5">Ullage!$J$56</definedName>
    <definedName name="T24_2013_toLTvacuo" localSheetId="7">'Vsl FW'!$C$56</definedName>
    <definedName name="T24_2013_toLTvacuo" localSheetId="6">Wedge!$C$56</definedName>
    <definedName name="T24_2013_toMTair" localSheetId="15">Blank!$C$34</definedName>
    <definedName name="T24_2013_toMTair" localSheetId="1">'Discharge Summary'!$D$34</definedName>
    <definedName name="T24_2013_toMTair" localSheetId="2">'Load Summary'!$D$34</definedName>
    <definedName name="T24_2013_toMTair" localSheetId="14">'Load Summary (2)'!$D$34</definedName>
    <definedName name="T24_2013_toMTair" localSheetId="3">Quantity!$D$34</definedName>
    <definedName name="T24_2013_toMTair" localSheetId="12">Sample!$C$34</definedName>
    <definedName name="T24_2013_toMTair" localSheetId="8">'Shore Tk'!$I$34</definedName>
    <definedName name="T24_2013_toMTair" localSheetId="9">'Shore Tk (2)'!$I$34</definedName>
    <definedName name="T24_2013_toMTair" localSheetId="13">'Time Log'!$C$34</definedName>
    <definedName name="T24_2013_toMTair" localSheetId="5">Ullage!$J$34</definedName>
    <definedName name="T24_2013_toMTair" localSheetId="7">'Vsl FW'!$C$34</definedName>
    <definedName name="T24_2013_toMTair" localSheetId="6">Wedge!$C$34</definedName>
    <definedName name="T24_2013_toMTvacuo" localSheetId="15">Blank!$C$42</definedName>
    <definedName name="T24_2013_toMTvacuo" localSheetId="1">'Discharge Summary'!$D$42</definedName>
    <definedName name="T24_2013_toMTvacuo" localSheetId="2">'Load Summary'!$D$42</definedName>
    <definedName name="T24_2013_toMTvacuo" localSheetId="14">'Load Summary (2)'!$D$42</definedName>
    <definedName name="T24_2013_toMTvacuo" localSheetId="3">Quantity!$D$42</definedName>
    <definedName name="T24_2013_toMTvacuo" localSheetId="12">Sample!$C$42</definedName>
    <definedName name="T24_2013_toMTvacuo" localSheetId="8">'Shore Tk'!$I$42</definedName>
    <definedName name="T24_2013_toMTvacuo" localSheetId="9">'Shore Tk (2)'!$I$42</definedName>
    <definedName name="T24_2013_toMTvacuo" localSheetId="13">'Time Log'!$C$42</definedName>
    <definedName name="T24_2013_toMTvacuo" localSheetId="5">Ullage!$J$42</definedName>
    <definedName name="T24_2013_toMTvacuo" localSheetId="7">'Vsl FW'!$C$42</definedName>
    <definedName name="T24_2013_toMTvacuo" localSheetId="6">Wedge!$C$42</definedName>
    <definedName name="T54_1980_toBbls60F" localSheetId="15">Blank!$C$59</definedName>
    <definedName name="T54_1980_toBbls60F" localSheetId="1">'Discharge Summary'!$D$59</definedName>
    <definedName name="T54_1980_toBbls60F" localSheetId="2">'Load Summary'!$D$59</definedName>
    <definedName name="T54_1980_toBbls60F" localSheetId="14">'Load Summary (2)'!$D$59</definedName>
    <definedName name="T54_1980_toBbls60F" localSheetId="3">Quantity!$D$59</definedName>
    <definedName name="T54_1980_toBbls60F" localSheetId="12">Sample!$C$59</definedName>
    <definedName name="T54_1980_toBbls60F" localSheetId="8">'Shore Tk'!$I$59</definedName>
    <definedName name="T54_1980_toBbls60F" localSheetId="9">'Shore Tk (2)'!$I$59</definedName>
    <definedName name="T54_1980_toBbls60F" localSheetId="13">'Time Log'!$C$59</definedName>
    <definedName name="T54_1980_toBbls60F" localSheetId="5">Ullage!$J$59</definedName>
    <definedName name="T54_1980_toBbls60F" localSheetId="7">'Vsl FW'!$C$59</definedName>
    <definedName name="T54_1980_toBbls60F" localSheetId="6">Wedge!$C$59</definedName>
    <definedName name="T54_1980_toLTair" localSheetId="15">Blank!$C$43</definedName>
    <definedName name="T54_1980_toLTair" localSheetId="1">'Discharge Summary'!$D$43</definedName>
    <definedName name="T54_1980_toLTair" localSheetId="2">'Load Summary'!$D$43</definedName>
    <definedName name="T54_1980_toLTair" localSheetId="14">'Load Summary (2)'!$D$43</definedName>
    <definedName name="T54_1980_toLTair" localSheetId="3">Quantity!$D$43</definedName>
    <definedName name="T54_1980_toLTair" localSheetId="12">Sample!$C$43</definedName>
    <definedName name="T54_1980_toLTair" localSheetId="8">'Shore Tk'!$I$43</definedName>
    <definedName name="T54_1980_toLTair" localSheetId="9">'Shore Tk (2)'!$I$43</definedName>
    <definedName name="T54_1980_toLTair" localSheetId="13">'Time Log'!$C$43</definedName>
    <definedName name="T54_1980_toLTair" localSheetId="5">Ullage!$J$43</definedName>
    <definedName name="T54_1980_toLTair" localSheetId="7">'Vsl FW'!$C$43</definedName>
    <definedName name="T54_1980_toLTair" localSheetId="6">Wedge!$C$43</definedName>
    <definedName name="T54_1980_toLTvacuo" localSheetId="15">Blank!$C$51</definedName>
    <definedName name="T54_1980_toLTvacuo" localSheetId="1">'Discharge Summary'!$D$51</definedName>
    <definedName name="T54_1980_toLTvacuo" localSheetId="2">'Load Summary'!$D$51</definedName>
    <definedName name="T54_1980_toLTvacuo" localSheetId="14">'Load Summary (2)'!$D$51</definedName>
    <definedName name="T54_1980_toLTvacuo" localSheetId="3">Quantity!$D$51</definedName>
    <definedName name="T54_1980_toLTvacuo" localSheetId="12">Sample!$C$51</definedName>
    <definedName name="T54_1980_toLTvacuo" localSheetId="8">'Shore Tk'!$I$51</definedName>
    <definedName name="T54_1980_toLTvacuo" localSheetId="9">'Shore Tk (2)'!$I$51</definedName>
    <definedName name="T54_1980_toLTvacuo" localSheetId="13">'Time Log'!$C$51</definedName>
    <definedName name="T54_1980_toLTvacuo" localSheetId="5">Ullage!$J$51</definedName>
    <definedName name="T54_1980_toLTvacuo" localSheetId="7">'Vsl FW'!$C$51</definedName>
    <definedName name="T54_1980_toLTvacuo" localSheetId="6">Wedge!$C$51</definedName>
    <definedName name="T54_1980_toMTair" localSheetId="15">Blank!$C$30</definedName>
    <definedName name="T54_1980_toMTair" localSheetId="1">'Discharge Summary'!$D$30</definedName>
    <definedName name="T54_1980_toMTair" localSheetId="2">'Load Summary'!$D$30</definedName>
    <definedName name="T54_1980_toMTair" localSheetId="14">'Load Summary (2)'!$D$30</definedName>
    <definedName name="T54_1980_toMTair" localSheetId="3">Quantity!$D$30</definedName>
    <definedName name="T54_1980_toMTair" localSheetId="12">Sample!$C$30</definedName>
    <definedName name="T54_1980_toMTair" localSheetId="8">'Shore Tk'!$I$30</definedName>
    <definedName name="T54_1980_toMTair" localSheetId="9">'Shore Tk (2)'!$I$30</definedName>
    <definedName name="T54_1980_toMTair" localSheetId="13">'Time Log'!$C$30</definedName>
    <definedName name="T54_1980_toMTair" localSheetId="5">Ullage!$J$30</definedName>
    <definedName name="T54_1980_toMTair" localSheetId="7">'Vsl FW'!$C$30</definedName>
    <definedName name="T54_1980_toMTair" localSheetId="6">Wedge!$C$30</definedName>
    <definedName name="T54_2013_toBbls60F" localSheetId="15">Blank!$C$60</definedName>
    <definedName name="T54_2013_toBbls60F" localSheetId="1">'Discharge Summary'!$D$60</definedName>
    <definedName name="T54_2013_toBbls60F" localSheetId="2">'Load Summary'!$D$60</definedName>
    <definedName name="T54_2013_toBbls60F" localSheetId="14">'Load Summary (2)'!$D$60</definedName>
    <definedName name="T54_2013_toBbls60F" localSheetId="3">Quantity!$D$60</definedName>
    <definedName name="T54_2013_toBbls60F" localSheetId="12">Sample!$C$60</definedName>
    <definedName name="T54_2013_toBbls60F" localSheetId="8">'Shore Tk'!$I$60</definedName>
    <definedName name="T54_2013_toBbls60F" localSheetId="9">'Shore Tk (2)'!$I$60</definedName>
    <definedName name="T54_2013_toBbls60F" localSheetId="13">'Time Log'!$C$60</definedName>
    <definedName name="T54_2013_toBbls60F" localSheetId="5">Ullage!$J$60</definedName>
    <definedName name="T54_2013_toBbls60F" localSheetId="7">'Vsl FW'!$C$60</definedName>
    <definedName name="T54_2013_toBbls60F" localSheetId="6">Wedge!$C$60</definedName>
    <definedName name="T54_2013_toLTair" localSheetId="15">Blank!$C$44</definedName>
    <definedName name="T54_2013_toLTair" localSheetId="1">'Discharge Summary'!$D$44</definedName>
    <definedName name="T54_2013_toLTair" localSheetId="2">'Load Summary'!$D$44</definedName>
    <definedName name="T54_2013_toLTair" localSheetId="14">'Load Summary (2)'!$D$44</definedName>
    <definedName name="T54_2013_toLTair" localSheetId="3">Quantity!$D$44</definedName>
    <definedName name="T54_2013_toLTair" localSheetId="12">Sample!$C$44</definedName>
    <definedName name="T54_2013_toLTair" localSheetId="8">'Shore Tk'!$I$44</definedName>
    <definedName name="T54_2013_toLTair" localSheetId="9">'Shore Tk (2)'!$I$44</definedName>
    <definedName name="T54_2013_toLTair" localSheetId="13">'Time Log'!$C$44</definedName>
    <definedName name="T54_2013_toLTair" localSheetId="5">Ullage!$J$44</definedName>
    <definedName name="T54_2013_toLTair" localSheetId="7">'Vsl FW'!$C$44</definedName>
    <definedName name="T54_2013_toLTair" localSheetId="6">Wedge!$C$44</definedName>
    <definedName name="T54_2013_toLTvacuo" localSheetId="15">Blank!$C$52</definedName>
    <definedName name="T54_2013_toLTvacuo" localSheetId="1">'Discharge Summary'!$D$52</definedName>
    <definedName name="T54_2013_toLTvacuo" localSheetId="2">'Load Summary'!$D$52</definedName>
    <definedName name="T54_2013_toLTvacuo" localSheetId="14">'Load Summary (2)'!$D$52</definedName>
    <definedName name="T54_2013_toLTvacuo" localSheetId="3">Quantity!$D$52</definedName>
    <definedName name="T54_2013_toLTvacuo" localSheetId="12">Sample!$C$52</definedName>
    <definedName name="T54_2013_toLTvacuo" localSheetId="8">'Shore Tk'!$I$52</definedName>
    <definedName name="T54_2013_toLTvacuo" localSheetId="9">'Shore Tk (2)'!$I$52</definedName>
    <definedName name="T54_2013_toLTvacuo" localSheetId="13">'Time Log'!$C$52</definedName>
    <definedName name="T54_2013_toLTvacuo" localSheetId="5">Ullage!$J$52</definedName>
    <definedName name="T54_2013_toLTvacuo" localSheetId="7">'Vsl FW'!$C$52</definedName>
    <definedName name="T54_2013_toLTvacuo" localSheetId="6">Wedge!$C$52</definedName>
    <definedName name="T54_2013_toMTair" localSheetId="15">Blank!$C$31</definedName>
    <definedName name="T54_2013_toMTair" localSheetId="1">'Discharge Summary'!$D$31</definedName>
    <definedName name="T54_2013_toMTair" localSheetId="2">'Load Summary'!$D$31</definedName>
    <definedName name="T54_2013_toMTair" localSheetId="14">'Load Summary (2)'!$D$31</definedName>
    <definedName name="T54_2013_toMTair" localSheetId="3">Quantity!$D$31</definedName>
    <definedName name="T54_2013_toMTair" localSheetId="12">Sample!$C$31</definedName>
    <definedName name="T54_2013_toMTair" localSheetId="8">'Shore Tk'!$I$31</definedName>
    <definedName name="T54_2013_toMTair" localSheetId="9">'Shore Tk (2)'!$I$31</definedName>
    <definedName name="T54_2013_toMTair" localSheetId="13">'Time Log'!$C$31</definedName>
    <definedName name="T54_2013_toMTair" localSheetId="5">Ullage!$J$31</definedName>
    <definedName name="T54_2013_toMTair" localSheetId="7">'Vsl FW'!$C$31</definedName>
    <definedName name="T54_2013_toMTair" localSheetId="6">Wedge!$C$31</definedName>
    <definedName name="T54_toCbm20C" localSheetId="15">Blank!$C$68</definedName>
    <definedName name="T54_toCbm20C" localSheetId="1">'Discharge Summary'!$D$68</definedName>
    <definedName name="T54_toCbm20C" localSheetId="2">'Load Summary'!$D$68</definedName>
    <definedName name="T54_toCbm20C" localSheetId="14">'Load Summary (2)'!$D$68</definedName>
    <definedName name="T54_toCbm20C" localSheetId="3">Quantity!$D$68</definedName>
    <definedName name="T54_toCbm20C" localSheetId="12">Sample!$C$68</definedName>
    <definedName name="T54_toCbm20C" localSheetId="8">'Shore Tk'!$I$68</definedName>
    <definedName name="T54_toCbm20C" localSheetId="9">'Shore Tk (2)'!$I$68</definedName>
    <definedName name="T54_toCbm20C" localSheetId="13">'Time Log'!$C$68</definedName>
    <definedName name="T54_toCbm20C" localSheetId="5">Ullage!$J$68</definedName>
    <definedName name="T54_toCbm20C" localSheetId="7">'Vsl FW'!$C$68</definedName>
    <definedName name="T54_toCbm20C" localSheetId="6">Wedge!$C$68</definedName>
    <definedName name="T54_toCbm30C" localSheetId="15">Blank!$C$73</definedName>
    <definedName name="T54_toCbm30C" localSheetId="1">'Discharge Summary'!$D$73</definedName>
    <definedName name="T54_toCbm30C" localSheetId="2">'Load Summary'!$D$73</definedName>
    <definedName name="T54_toCbm30C" localSheetId="14">'Load Summary (2)'!$D$73</definedName>
    <definedName name="T54_toCbm30C" localSheetId="3">Quantity!$D$73</definedName>
    <definedName name="T54_toCbm30C" localSheetId="12">Sample!$C$73</definedName>
    <definedName name="T54_toCbm30C" localSheetId="8">'Shore Tk'!$I$73</definedName>
    <definedName name="T54_toCbm30C" localSheetId="9">'Shore Tk (2)'!$I$73</definedName>
    <definedName name="T54_toCbm30C" localSheetId="13">'Time Log'!$C$73</definedName>
    <definedName name="T54_toCbm30C" localSheetId="5">Ullage!$J$73</definedName>
    <definedName name="T54_toCbm30C" localSheetId="7">'Vsl FW'!$C$73</definedName>
    <definedName name="T54_toCbm30C" localSheetId="6">Wedge!$C$73</definedName>
    <definedName name="T54_toMTvacuo" localSheetId="15">Blank!$C$37</definedName>
    <definedName name="T54_toMTvacuo" localSheetId="1">'Discharge Summary'!$D$37</definedName>
    <definedName name="T54_toMTvacuo" localSheetId="2">'Load Summary'!$D$37</definedName>
    <definedName name="T54_toMTvacuo" localSheetId="14">'Load Summary (2)'!$D$37</definedName>
    <definedName name="T54_toMTvacuo" localSheetId="3">Quantity!$D$37</definedName>
    <definedName name="T54_toMTvacuo" localSheetId="12">Sample!$C$37</definedName>
    <definedName name="T54_toMTvacuo" localSheetId="8">'Shore Tk'!$I$37</definedName>
    <definedName name="T54_toMTvacuo" localSheetId="9">'Shore Tk (2)'!$I$37</definedName>
    <definedName name="T54_toMTvacuo" localSheetId="13">'Time Log'!$C$37</definedName>
    <definedName name="T54_toMTvacuo" localSheetId="5">Ullage!$J$37</definedName>
    <definedName name="T54_toMTvacuo" localSheetId="7">'Vsl FW'!$C$37</definedName>
    <definedName name="T54_toMTvacuo" localSheetId="6">Wedge!$C$37</definedName>
    <definedName name="T6_1980_toCbm15C" localSheetId="15">Blank!$C$66</definedName>
    <definedName name="T6_1980_toCbm15C" localSheetId="1">'Discharge Summary'!$D$66</definedName>
    <definedName name="T6_1980_toCbm15C" localSheetId="2">'Load Summary'!$D$66</definedName>
    <definedName name="T6_1980_toCbm15C" localSheetId="14">'Load Summary (2)'!$D$66</definedName>
    <definedName name="T6_1980_toCbm15C" localSheetId="3">Quantity!$D$66</definedName>
    <definedName name="T6_1980_toCbm15C" localSheetId="12">Sample!$C$66</definedName>
    <definedName name="T6_1980_toCbm15C" localSheetId="8">'Shore Tk'!$I$66</definedName>
    <definedName name="T6_1980_toCbm15C" localSheetId="9">'Shore Tk (2)'!$I$66</definedName>
    <definedName name="T6_1980_toCbm15C" localSheetId="13">'Time Log'!$C$66</definedName>
    <definedName name="T6_1980_toCbm15C" localSheetId="5">Ullage!$J$66</definedName>
    <definedName name="T6_1980_toCbm15C" localSheetId="7">'Vsl FW'!$C$66</definedName>
    <definedName name="T6_1980_toCbm15C" localSheetId="6">Wedge!$C$66</definedName>
    <definedName name="T6_1980_toCbm20C" localSheetId="15">Blank!$C$71</definedName>
    <definedName name="T6_1980_toCbm20C" localSheetId="1">'Discharge Summary'!$D$71</definedName>
    <definedName name="T6_1980_toCbm20C" localSheetId="2">'Load Summary'!$D$71</definedName>
    <definedName name="T6_1980_toCbm20C" localSheetId="14">'Load Summary (2)'!$D$71</definedName>
    <definedName name="T6_1980_toCbm20C" localSheetId="3">Quantity!$D$71</definedName>
    <definedName name="T6_1980_toCbm20C" localSheetId="12">Sample!$C$71</definedName>
    <definedName name="T6_1980_toCbm20C" localSheetId="8">'Shore Tk'!$I$71</definedName>
    <definedName name="T6_1980_toCbm20C" localSheetId="9">'Shore Tk (2)'!$I$71</definedName>
    <definedName name="T6_1980_toCbm20C" localSheetId="13">'Time Log'!$C$71</definedName>
    <definedName name="T6_1980_toCbm20C" localSheetId="5">Ullage!$J$71</definedName>
    <definedName name="T6_1980_toCbm20C" localSheetId="7">'Vsl FW'!$C$71</definedName>
    <definedName name="T6_1980_toCbm20C" localSheetId="6">Wedge!$C$71</definedName>
    <definedName name="T6_1980_toCbm30C" localSheetId="15">Blank!$C$77</definedName>
    <definedName name="T6_1980_toCbm30C" localSheetId="1">'Discharge Summary'!$D$77</definedName>
    <definedName name="T6_1980_toCbm30C" localSheetId="2">'Load Summary'!$D$77</definedName>
    <definedName name="T6_1980_toCbm30C" localSheetId="14">'Load Summary (2)'!$D$77</definedName>
    <definedName name="T6_1980_toCbm30C" localSheetId="3">Quantity!$D$77</definedName>
    <definedName name="T6_1980_toCbm30C" localSheetId="12">Sample!$C$77</definedName>
    <definedName name="T6_1980_toCbm30C" localSheetId="8">'Shore Tk'!$I$77</definedName>
    <definedName name="T6_1980_toCbm30C" localSheetId="9">'Shore Tk (2)'!$I$77</definedName>
    <definedName name="T6_1980_toCbm30C" localSheetId="13">'Time Log'!$C$77</definedName>
    <definedName name="T6_1980_toCbm30C" localSheetId="5">Ullage!$J$77</definedName>
    <definedName name="T6_1980_toCbm30C" localSheetId="7">'Vsl FW'!$C$77</definedName>
    <definedName name="T6_1980_toCbm30C" localSheetId="6">Wedge!$C$77</definedName>
    <definedName name="T6_1980_toLTair" localSheetId="15">Blank!$C$49</definedName>
    <definedName name="T6_1980_toLTair" localSheetId="1">'Discharge Summary'!$D$49</definedName>
    <definedName name="T6_1980_toLTair" localSheetId="2">'Load Summary'!$D$49</definedName>
    <definedName name="T6_1980_toLTair" localSheetId="14">'Load Summary (2)'!$D$49</definedName>
    <definedName name="T6_1980_toLTair" localSheetId="3">Quantity!$D$49</definedName>
    <definedName name="T6_1980_toLTair" localSheetId="12">Sample!$C$49</definedName>
    <definedName name="T6_1980_toLTair" localSheetId="8">'Shore Tk'!$I$49</definedName>
    <definedName name="T6_1980_toLTair" localSheetId="9">'Shore Tk (2)'!$I$49</definedName>
    <definedName name="T6_1980_toLTair" localSheetId="13">'Time Log'!$C$49</definedName>
    <definedName name="T6_1980_toLTair" localSheetId="5">Ullage!$J$49</definedName>
    <definedName name="T6_1980_toLTair" localSheetId="7">'Vsl FW'!$C$49</definedName>
    <definedName name="T6_1980_toLTair" localSheetId="6">Wedge!$C$49</definedName>
    <definedName name="T6_1980_toLTvacuo" localSheetId="15">Blank!$C$57</definedName>
    <definedName name="T6_1980_toLTvacuo" localSheetId="1">'Discharge Summary'!$D$57</definedName>
    <definedName name="T6_1980_toLTvacuo" localSheetId="2">'Load Summary'!$D$57</definedName>
    <definedName name="T6_1980_toLTvacuo" localSheetId="14">'Load Summary (2)'!$D$57</definedName>
    <definedName name="T6_1980_toLTvacuo" localSheetId="3">Quantity!$D$57</definedName>
    <definedName name="T6_1980_toLTvacuo" localSheetId="12">Sample!$C$57</definedName>
    <definedName name="T6_1980_toLTvacuo" localSheetId="8">'Shore Tk'!$I$57</definedName>
    <definedName name="T6_1980_toLTvacuo" localSheetId="9">'Shore Tk (2)'!$I$57</definedName>
    <definedName name="T6_1980_toLTvacuo" localSheetId="13">'Time Log'!$C$57</definedName>
    <definedName name="T6_1980_toLTvacuo" localSheetId="5">Ullage!$J$57</definedName>
    <definedName name="T6_1980_toLTvacuo" localSheetId="7">'Vsl FW'!$C$57</definedName>
    <definedName name="T6_1980_toLTvacuo" localSheetId="6">Wedge!$C$57</definedName>
    <definedName name="T6_1980_toMTair" localSheetId="15">Blank!$C$35</definedName>
    <definedName name="T6_1980_toMTair" localSheetId="1">'Discharge Summary'!$D$35</definedName>
    <definedName name="T6_1980_toMTair" localSheetId="2">'Load Summary'!$D$35</definedName>
    <definedName name="T6_1980_toMTair" localSheetId="14">'Load Summary (2)'!$D$35</definedName>
    <definedName name="T6_1980_toMTair" localSheetId="3">Quantity!$D$35</definedName>
    <definedName name="T6_1980_toMTair" localSheetId="12">Sample!$C$35</definedName>
    <definedName name="T6_1980_toMTair" localSheetId="8">'Shore Tk'!$I$35</definedName>
    <definedName name="T6_1980_toMTair" localSheetId="9">'Shore Tk (2)'!$I$35</definedName>
    <definedName name="T6_1980_toMTair" localSheetId="13">'Time Log'!$C$35</definedName>
    <definedName name="T6_1980_toMTair" localSheetId="5">Ullage!$J$35</definedName>
    <definedName name="T6_1980_toMTair" localSheetId="7">'Vsl FW'!$C$35</definedName>
    <definedName name="T6_1980_toMTair" localSheetId="6">Wedge!$C$35</definedName>
    <definedName name="T6_1980_toMTvacuo" localSheetId="15">Blank!$C$39</definedName>
    <definedName name="T6_1980_toMTvacuo" localSheetId="1">'Discharge Summary'!$D$39</definedName>
    <definedName name="T6_1980_toMTvacuo" localSheetId="2">'Load Summary'!$D$39</definedName>
    <definedName name="T6_1980_toMTvacuo" localSheetId="14">'Load Summary (2)'!$D$39</definedName>
    <definedName name="T6_1980_toMTvacuo" localSheetId="3">Quantity!$D$39</definedName>
    <definedName name="T6_1980_toMTvacuo" localSheetId="12">Sample!$C$39</definedName>
    <definedName name="T6_1980_toMTvacuo" localSheetId="8">'Shore Tk'!$I$39</definedName>
    <definedName name="T6_1980_toMTvacuo" localSheetId="9">'Shore Tk (2)'!$I$39</definedName>
    <definedName name="T6_1980_toMTvacuo" localSheetId="13">'Time Log'!$C$39</definedName>
    <definedName name="T6_1980_toMTvacuo" localSheetId="5">Ullage!$J$39</definedName>
    <definedName name="T6_1980_toMTvacuo" localSheetId="7">'Vsl FW'!$C$39</definedName>
    <definedName name="T6_1980_toMTvacuo" localSheetId="6">Wedge!$C$39</definedName>
    <definedName name="T6_2013_toCbm15C" localSheetId="15">Blank!$C$67</definedName>
    <definedName name="T6_2013_toCbm15C" localSheetId="1">'Discharge Summary'!$D$67</definedName>
    <definedName name="T6_2013_toCbm15C" localSheetId="2">'Load Summary'!$D$67</definedName>
    <definedName name="T6_2013_toCbm15C" localSheetId="14">'Load Summary (2)'!$D$67</definedName>
    <definedName name="T6_2013_toCbm15C" localSheetId="3">Quantity!$D$67</definedName>
    <definedName name="T6_2013_toCbm15C" localSheetId="12">Sample!$C$67</definedName>
    <definedName name="T6_2013_toCbm15C" localSheetId="8">'Shore Tk'!$I$67</definedName>
    <definedName name="T6_2013_toCbm15C" localSheetId="9">'Shore Tk (2)'!$I$67</definedName>
    <definedName name="T6_2013_toCbm15C" localSheetId="13">'Time Log'!$C$67</definedName>
    <definedName name="T6_2013_toCbm15C" localSheetId="5">Ullage!$J$67</definedName>
    <definedName name="T6_2013_toCbm15C" localSheetId="7">'Vsl FW'!$C$67</definedName>
    <definedName name="T6_2013_toCbm15C" localSheetId="6">Wedge!$C$67</definedName>
    <definedName name="T6_2013_toCbm20C" localSheetId="15">Blank!$C$72</definedName>
    <definedName name="T6_2013_toCbm20C" localSheetId="1">'Discharge Summary'!$D$72</definedName>
    <definedName name="T6_2013_toCbm20C" localSheetId="2">'Load Summary'!$D$72</definedName>
    <definedName name="T6_2013_toCbm20C" localSheetId="14">'Load Summary (2)'!$D$72</definedName>
    <definedName name="T6_2013_toCbm20C" localSheetId="3">Quantity!$D$72</definedName>
    <definedName name="T6_2013_toCbm20C" localSheetId="12">Sample!$C$72</definedName>
    <definedName name="T6_2013_toCbm20C" localSheetId="8">'Shore Tk'!$I$72</definedName>
    <definedName name="T6_2013_toCbm20C" localSheetId="9">'Shore Tk (2)'!$I$72</definedName>
    <definedName name="T6_2013_toCbm20C" localSheetId="13">'Time Log'!$C$72</definedName>
    <definedName name="T6_2013_toCbm20C" localSheetId="5">Ullage!$J$72</definedName>
    <definedName name="T6_2013_toCbm20C" localSheetId="7">'Vsl FW'!$C$72</definedName>
    <definedName name="T6_2013_toCbm20C" localSheetId="6">Wedge!$C$72</definedName>
    <definedName name="T6_2013_toCbm30C" localSheetId="15">Blank!$C$78</definedName>
    <definedName name="T6_2013_toCbm30C" localSheetId="1">'Discharge Summary'!$D$78</definedName>
    <definedName name="T6_2013_toCbm30C" localSheetId="2">'Load Summary'!$D$78</definedName>
    <definedName name="T6_2013_toCbm30C" localSheetId="14">'Load Summary (2)'!$D$78</definedName>
    <definedName name="T6_2013_toCbm30C" localSheetId="3">Quantity!$D$78</definedName>
    <definedName name="T6_2013_toCbm30C" localSheetId="12">Sample!$C$78</definedName>
    <definedName name="T6_2013_toCbm30C" localSheetId="8">'Shore Tk'!$I$78</definedName>
    <definedName name="T6_2013_toCbm30C" localSheetId="9">'Shore Tk (2)'!$I$78</definedName>
    <definedName name="T6_2013_toCbm30C" localSheetId="13">'Time Log'!$C$78</definedName>
    <definedName name="T6_2013_toCbm30C" localSheetId="5">Ullage!$J$78</definedName>
    <definedName name="T6_2013_toCbm30C" localSheetId="7">'Vsl FW'!$C$78</definedName>
    <definedName name="T6_2013_toCbm30C" localSheetId="6">Wedge!$C$78</definedName>
    <definedName name="T6_2013_toLTair" localSheetId="15">Blank!$C$50</definedName>
    <definedName name="T6_2013_toLTair" localSheetId="1">'Discharge Summary'!$D$50</definedName>
    <definedName name="T6_2013_toLTair" localSheetId="2">'Load Summary'!$D$50</definedName>
    <definedName name="T6_2013_toLTair" localSheetId="14">'Load Summary (2)'!$D$50</definedName>
    <definedName name="T6_2013_toLTair" localSheetId="3">Quantity!$D$50</definedName>
    <definedName name="T6_2013_toLTair" localSheetId="12">Sample!$C$50</definedName>
    <definedName name="T6_2013_toLTair" localSheetId="8">'Shore Tk'!$I$50</definedName>
    <definedName name="T6_2013_toLTair" localSheetId="9">'Shore Tk (2)'!$I$50</definedName>
    <definedName name="T6_2013_toLTair" localSheetId="13">'Time Log'!$C$50</definedName>
    <definedName name="T6_2013_toLTair" localSheetId="5">Ullage!$J$50</definedName>
    <definedName name="T6_2013_toLTair" localSheetId="7">'Vsl FW'!$C$50</definedName>
    <definedName name="T6_2013_toLTair" localSheetId="6">Wedge!$C$50</definedName>
    <definedName name="T6_2013_toLTvacuo" localSheetId="15">Blank!$C$58</definedName>
    <definedName name="T6_2013_toLTvacuo" localSheetId="1">'Discharge Summary'!$D$58</definedName>
    <definedName name="T6_2013_toLTvacuo" localSheetId="2">'Load Summary'!$D$58</definedName>
    <definedName name="T6_2013_toLTvacuo" localSheetId="14">'Load Summary (2)'!$D$58</definedName>
    <definedName name="T6_2013_toLTvacuo" localSheetId="3">Quantity!$D$58</definedName>
    <definedName name="T6_2013_toLTvacuo" localSheetId="12">Sample!$C$58</definedName>
    <definedName name="T6_2013_toLTvacuo" localSheetId="8">'Shore Tk'!$I$58</definedName>
    <definedName name="T6_2013_toLTvacuo" localSheetId="9">'Shore Tk (2)'!$I$58</definedName>
    <definedName name="T6_2013_toLTvacuo" localSheetId="13">'Time Log'!$C$58</definedName>
    <definedName name="T6_2013_toLTvacuo" localSheetId="5">Ullage!$J$58</definedName>
    <definedName name="T6_2013_toLTvacuo" localSheetId="7">'Vsl FW'!$C$58</definedName>
    <definedName name="T6_2013_toLTvacuo" localSheetId="6">Wedge!$C$58</definedName>
    <definedName name="T6_2013_toMTair" localSheetId="15">Blank!$C$36</definedName>
    <definedName name="T6_2013_toMTair" localSheetId="1">'Discharge Summary'!$D$36</definedName>
    <definedName name="T6_2013_toMTair" localSheetId="2">'Load Summary'!$D$36</definedName>
    <definedName name="T6_2013_toMTair" localSheetId="14">'Load Summary (2)'!$D$36</definedName>
    <definedName name="T6_2013_toMTair" localSheetId="3">Quantity!$D$36</definedName>
    <definedName name="T6_2013_toMTair" localSheetId="12">Sample!$C$36</definedName>
    <definedName name="T6_2013_toMTair" localSheetId="8">'Shore Tk'!$I$36</definedName>
    <definedName name="T6_2013_toMTair" localSheetId="9">'Shore Tk (2)'!$I$36</definedName>
    <definedName name="T6_2013_toMTair" localSheetId="13">'Time Log'!$C$36</definedName>
    <definedName name="T6_2013_toMTair" localSheetId="5">Ullage!$J$36</definedName>
    <definedName name="T6_2013_toMTair" localSheetId="7">'Vsl FW'!$C$36</definedName>
    <definedName name="T6_2013_toMTair" localSheetId="6">Wedge!$C$36</definedName>
    <definedName name="T6_2013_toMTvacuo" localSheetId="15">Blank!$C$40</definedName>
    <definedName name="T6_2013_toMTvacuo" localSheetId="1">'Discharge Summary'!$D$40</definedName>
    <definedName name="T6_2013_toMTvacuo" localSheetId="2">'Load Summary'!$D$40</definedName>
    <definedName name="T6_2013_toMTvacuo" localSheetId="14">'Load Summary (2)'!$D$40</definedName>
    <definedName name="T6_2013_toMTvacuo" localSheetId="3">Quantity!$D$40</definedName>
    <definedName name="T6_2013_toMTvacuo" localSheetId="12">Sample!$C$40</definedName>
    <definedName name="T6_2013_toMTvacuo" localSheetId="8">'Shore Tk'!$I$40</definedName>
    <definedName name="T6_2013_toMTvacuo" localSheetId="9">'Shore Tk (2)'!$I$40</definedName>
    <definedName name="T6_2013_toMTvacuo" localSheetId="13">'Time Log'!$C$40</definedName>
    <definedName name="T6_2013_toMTvacuo" localSheetId="5">Ullage!$J$40</definedName>
    <definedName name="T6_2013_toMTvacuo" localSheetId="7">'Vsl FW'!$C$40</definedName>
    <definedName name="T6_2013_toMTvacuo" localSheetId="6">Wedge!$C$40</definedName>
    <definedName name="T60_1980_toLTair" localSheetId="15">Blank!$C$45</definedName>
    <definedName name="T60_1980_toLTair" localSheetId="1">'Discharge Summary'!$D$45</definedName>
    <definedName name="T60_1980_toLTair" localSheetId="2">'Load Summary'!$D$45</definedName>
    <definedName name="T60_1980_toLTair" localSheetId="14">'Load Summary (2)'!$D$45</definedName>
    <definedName name="T60_1980_toLTair" localSheetId="3">Quantity!$D$45</definedName>
    <definedName name="T60_1980_toLTair" localSheetId="12">Sample!$C$45</definedName>
    <definedName name="T60_1980_toLTair" localSheetId="8">'Shore Tk'!$I$45</definedName>
    <definedName name="T60_1980_toLTair" localSheetId="9">'Shore Tk (2)'!$I$45</definedName>
    <definedName name="T60_1980_toLTair" localSheetId="13">'Time Log'!$C$45</definedName>
    <definedName name="T60_1980_toLTair" localSheetId="5">Ullage!$J$45</definedName>
    <definedName name="T60_1980_toLTair" localSheetId="7">'Vsl FW'!$C$45</definedName>
    <definedName name="T60_1980_toLTair" localSheetId="6">Wedge!$C$45</definedName>
    <definedName name="T60_1980_toLTvacuo" localSheetId="15">Blank!$C$53</definedName>
    <definedName name="T60_1980_toLTvacuo" localSheetId="1">'Discharge Summary'!$D$53</definedName>
    <definedName name="T60_1980_toLTvacuo" localSheetId="2">'Load Summary'!$D$53</definedName>
    <definedName name="T60_1980_toLTvacuo" localSheetId="14">'Load Summary (2)'!$D$53</definedName>
    <definedName name="T60_1980_toLTvacuo" localSheetId="3">Quantity!$D$53</definedName>
    <definedName name="T60_1980_toLTvacuo" localSheetId="12">Sample!$C$53</definedName>
    <definedName name="T60_1980_toLTvacuo" localSheetId="8">'Shore Tk'!$I$53</definedName>
    <definedName name="T60_1980_toLTvacuo" localSheetId="9">'Shore Tk (2)'!$I$53</definedName>
    <definedName name="T60_1980_toLTvacuo" localSheetId="13">'Time Log'!$C$53</definedName>
    <definedName name="T60_1980_toLTvacuo" localSheetId="5">Ullage!$J$53</definedName>
    <definedName name="T60_1980_toLTvacuo" localSheetId="7">'Vsl FW'!$C$53</definedName>
    <definedName name="T60_1980_toLTvacuo" localSheetId="6">Wedge!$C$53</definedName>
    <definedName name="T60_2013_toLTair" localSheetId="15">Blank!$C$46</definedName>
    <definedName name="T60_2013_toLTair" localSheetId="1">'Discharge Summary'!$D$46</definedName>
    <definedName name="T60_2013_toLTair" localSheetId="2">'Load Summary'!$D$46</definedName>
    <definedName name="T60_2013_toLTair" localSheetId="14">'Load Summary (2)'!$D$46</definedName>
    <definedName name="T60_2013_toLTair" localSheetId="3">Quantity!$D$46</definedName>
    <definedName name="T60_2013_toLTair" localSheetId="12">Sample!$C$46</definedName>
    <definedName name="T60_2013_toLTair" localSheetId="8">'Shore Tk'!$I$46</definedName>
    <definedName name="T60_2013_toLTair" localSheetId="9">'Shore Tk (2)'!$I$46</definedName>
    <definedName name="T60_2013_toLTair" localSheetId="13">'Time Log'!$C$46</definedName>
    <definedName name="T60_2013_toLTair" localSheetId="5">Ullage!$J$46</definedName>
    <definedName name="T60_2013_toLTair" localSheetId="7">'Vsl FW'!$C$46</definedName>
    <definedName name="T60_2013_toLTair" localSheetId="6">Wedge!$C$46</definedName>
    <definedName name="T60_2013_toLTvacuo" localSheetId="15">Blank!$C$54</definedName>
    <definedName name="T60_2013_toLTvacuo" localSheetId="1">'Discharge Summary'!$D$54</definedName>
    <definedName name="T60_2013_toLTvacuo" localSheetId="2">'Load Summary'!$D$54</definedName>
    <definedName name="T60_2013_toLTvacuo" localSheetId="14">'Load Summary (2)'!$D$54</definedName>
    <definedName name="T60_2013_toLTvacuo" localSheetId="3">Quantity!$D$54</definedName>
    <definedName name="T60_2013_toLTvacuo" localSheetId="12">Sample!$C$54</definedName>
    <definedName name="T60_2013_toLTvacuo" localSheetId="8">'Shore Tk'!$I$54</definedName>
    <definedName name="T60_2013_toLTvacuo" localSheetId="9">'Shore Tk (2)'!$I$54</definedName>
    <definedName name="T60_2013_toLTvacuo" localSheetId="13">'Time Log'!$C$54</definedName>
    <definedName name="T60_2013_toLTvacuo" localSheetId="5">Ullage!$J$54</definedName>
    <definedName name="T60_2013_toLTvacuo" localSheetId="7">'Vsl FW'!$C$54</definedName>
    <definedName name="T60_2013_toLTvacuo" localSheetId="6">Wedge!$C$54</definedName>
    <definedName name="T60_toBbls60F" localSheetId="15">Blank!$C$61</definedName>
    <definedName name="T60_toBbls60F" localSheetId="1">'Discharge Summary'!$D$61</definedName>
    <definedName name="T60_toBbls60F" localSheetId="2">'Load Summary'!$D$61</definedName>
    <definedName name="T60_toBbls60F" localSheetId="14">'Load Summary (2)'!$D$61</definedName>
    <definedName name="T60_toBbls60F" localSheetId="3">Quantity!$D$61</definedName>
    <definedName name="T60_toBbls60F" localSheetId="12">Sample!$C$61</definedName>
    <definedName name="T60_toBbls60F" localSheetId="8">'Shore Tk'!$I$61</definedName>
    <definedName name="T60_toBbls60F" localSheetId="9">'Shore Tk (2)'!$I$61</definedName>
    <definedName name="T60_toBbls60F" localSheetId="13">'Time Log'!$C$61</definedName>
    <definedName name="T60_toBbls60F" localSheetId="5">Ullage!$J$61</definedName>
    <definedName name="T60_toBbls60F" localSheetId="7">'Vsl FW'!$C$61</definedName>
    <definedName name="T60_toBbls60F" localSheetId="6">Wedge!$C$61</definedName>
    <definedName name="T60_toCbm15C" localSheetId="15">Blank!$C$63</definedName>
    <definedName name="T60_toCbm15C" localSheetId="1">'Discharge Summary'!$D$63</definedName>
    <definedName name="T60_toCbm15C" localSheetId="2">'Load Summary'!$D$63</definedName>
    <definedName name="T60_toCbm15C" localSheetId="14">'Load Summary (2)'!$D$63</definedName>
    <definedName name="T60_toCbm15C" localSheetId="3">Quantity!$D$63</definedName>
    <definedName name="T60_toCbm15C" localSheetId="12">Sample!$C$63</definedName>
    <definedName name="T60_toCbm15C" localSheetId="8">'Shore Tk'!$I$63</definedName>
    <definedName name="T60_toCbm15C" localSheetId="9">'Shore Tk (2)'!$I$63</definedName>
    <definedName name="T60_toCbm15C" localSheetId="13">'Time Log'!$C$63</definedName>
    <definedName name="T60_toCbm15C" localSheetId="5">Ullage!$J$63</definedName>
    <definedName name="T60_toCbm15C" localSheetId="7">'Vsl FW'!$C$63</definedName>
    <definedName name="T60_toCbm15C" localSheetId="6">Wedge!$C$63</definedName>
    <definedName name="T60_toCbm30C" localSheetId="15">Blank!$C$74</definedName>
    <definedName name="T60_toCbm30C" localSheetId="1">'Discharge Summary'!$D$74</definedName>
    <definedName name="T60_toCbm30C" localSheetId="2">'Load Summary'!$D$74</definedName>
    <definedName name="T60_toCbm30C" localSheetId="14">'Load Summary (2)'!$D$74</definedName>
    <definedName name="T60_toCbm30C" localSheetId="3">Quantity!$D$74</definedName>
    <definedName name="T60_toCbm30C" localSheetId="12">Sample!$C$74</definedName>
    <definedName name="T60_toCbm30C" localSheetId="8">'Shore Tk'!$I$74</definedName>
    <definedName name="T60_toCbm30C" localSheetId="9">'Shore Tk (2)'!$I$74</definedName>
    <definedName name="T60_toCbm30C" localSheetId="13">'Time Log'!$C$74</definedName>
    <definedName name="T60_toCbm30C" localSheetId="5">Ullage!$J$74</definedName>
    <definedName name="T60_toCbm30C" localSheetId="7">'Vsl FW'!$C$74</definedName>
    <definedName name="T60_toCbm30C" localSheetId="6">Wedge!$C$74</definedName>
    <definedName name="T60_toMTair" localSheetId="15">Blank!$C$32</definedName>
    <definedName name="T60_toMTair" localSheetId="1">'Discharge Summary'!$D$32</definedName>
    <definedName name="T60_toMTair" localSheetId="2">'Load Summary'!$D$32</definedName>
    <definedName name="T60_toMTair" localSheetId="14">'Load Summary (2)'!$D$32</definedName>
    <definedName name="T60_toMTair" localSheetId="3">Quantity!$D$32</definedName>
    <definedName name="T60_toMTair" localSheetId="12">Sample!$C$32</definedName>
    <definedName name="T60_toMTair" localSheetId="8">'Shore Tk'!$I$32</definedName>
    <definedName name="T60_toMTair" localSheetId="9">'Shore Tk (2)'!$I$32</definedName>
    <definedName name="T60_toMTair" localSheetId="13">'Time Log'!$C$32</definedName>
    <definedName name="T60_toMTair" localSheetId="5">Ullage!$J$32</definedName>
    <definedName name="T60_toMTair" localSheetId="7">'Vsl FW'!$C$32</definedName>
    <definedName name="T60_toMTair" localSheetId="6">Wedge!$C$32</definedName>
    <definedName name="T60_toMTvacuo" localSheetId="15">Blank!$C$38</definedName>
    <definedName name="T60_toMTvacuo" localSheetId="1">'Discharge Summary'!$D$38</definedName>
    <definedName name="T60_toMTvacuo" localSheetId="2">'Load Summary'!$D$38</definedName>
    <definedName name="T60_toMTvacuo" localSheetId="14">'Load Summary (2)'!$D$38</definedName>
    <definedName name="T60_toMTvacuo" localSheetId="3">Quantity!$D$38</definedName>
    <definedName name="T60_toMTvacuo" localSheetId="12">Sample!$C$38</definedName>
    <definedName name="T60_toMTvacuo" localSheetId="8">'Shore Tk'!$I$38</definedName>
    <definedName name="T60_toMTvacuo" localSheetId="9">'Shore Tk (2)'!$I$38</definedName>
    <definedName name="T60_toMTvacuo" localSheetId="13">'Time Log'!$C$38</definedName>
    <definedName name="T60_toMTvacuo" localSheetId="5">Ullage!$J$38</definedName>
    <definedName name="T60_toMTvacuo" localSheetId="7">'Vsl FW'!$C$38</definedName>
    <definedName name="T60_toMTvacuo" localSheetId="6">Wedge!$C$38</definedName>
    <definedName name="Temp℃" localSheetId="4">OBQ!$B$122:$B$139</definedName>
    <definedName name="Temp℃" localSheetId="10">ROB!$B$122:$B$139</definedName>
    <definedName name="Temp℉" localSheetId="4">OBQ!$C$122:$C$139</definedName>
    <definedName name="Temp℉" localSheetId="10">ROB!$C$122:$C$139</definedName>
    <definedName name="Terminal">Cover!$F$25</definedName>
    <definedName name="Title_cargo" localSheetId="15">Blank!$N$95</definedName>
    <definedName name="Title_cargo" localSheetId="1">'Discharge Summary'!$G$95</definedName>
    <definedName name="Title_cargo" localSheetId="2">'Load Summary'!$G$95</definedName>
    <definedName name="Title_cargo" localSheetId="14">'Load Summary (2)'!$G$95</definedName>
    <definedName name="Title_cargo" localSheetId="3">Quantity!$G$95</definedName>
    <definedName name="Title_cargo" localSheetId="12">Sample!$G$95</definedName>
    <definedName name="Title_cargo" localSheetId="8">'Shore Tk'!$L$95</definedName>
    <definedName name="Title_cargo" localSheetId="9">'Shore Tk (2)'!$L$95</definedName>
    <definedName name="Title_cargo" localSheetId="13">'Time Log'!$N$95</definedName>
    <definedName name="Title_cargo" localSheetId="5">Ullage!$P$95</definedName>
    <definedName name="Title_cargo" localSheetId="11">VEF!$O$94</definedName>
    <definedName name="Title_cargo" localSheetId="7">'Vsl FW'!$N$94</definedName>
    <definedName name="Title_cargo" localSheetId="6">Wedge!$O$95</definedName>
    <definedName name="Title_client" localSheetId="15">Blank!$N$93</definedName>
    <definedName name="Title_client" localSheetId="1">'Discharge Summary'!$G$93</definedName>
    <definedName name="Title_client" localSheetId="2">'Load Summary'!$G$93</definedName>
    <definedName name="Title_client" localSheetId="14">'Load Summary (2)'!$G$93</definedName>
    <definedName name="Title_client" localSheetId="3">Quantity!$G$93</definedName>
    <definedName name="Title_client" localSheetId="12">Sample!$G$93</definedName>
    <definedName name="Title_client" localSheetId="8">'Shore Tk'!$L$93</definedName>
    <definedName name="Title_client" localSheetId="9">'Shore Tk (2)'!$L$93</definedName>
    <definedName name="Title_client" localSheetId="13">'Time Log'!$N$93</definedName>
    <definedName name="Title_client" localSheetId="5">Ullage!$P$93</definedName>
    <definedName name="Title_client" localSheetId="11">VEF!$O$92</definedName>
    <definedName name="Title_client" localSheetId="7">'Vsl FW'!$N$92</definedName>
    <definedName name="Title_client" localSheetId="6">Wedge!$O$93</definedName>
    <definedName name="Title_client_No." localSheetId="15">Blank!$N$94</definedName>
    <definedName name="Title_client_No." localSheetId="1">'Discharge Summary'!$G$94</definedName>
    <definedName name="Title_client_No." localSheetId="2">'Load Summary'!$G$94</definedName>
    <definedName name="Title_client_No." localSheetId="14">'Load Summary (2)'!$G$94</definedName>
    <definedName name="Title_client_No." localSheetId="3">Quantity!$G$94</definedName>
    <definedName name="Title_client_No." localSheetId="12">Sample!$G$94</definedName>
    <definedName name="Title_client_No." localSheetId="8">'Shore Tk'!$L$94</definedName>
    <definedName name="Title_client_No." localSheetId="9">'Shore Tk (2)'!$L$94</definedName>
    <definedName name="Title_client_No." localSheetId="13">'Time Log'!$N$94</definedName>
    <definedName name="Title_client_No." localSheetId="5">Ullage!$P$94</definedName>
    <definedName name="Title_client_No." localSheetId="11">VEF!$O$93</definedName>
    <definedName name="Title_client_No." localSheetId="7">'Vsl FW'!$N$93</definedName>
    <definedName name="Title_client_No." localSheetId="6">Wedge!$O$94</definedName>
    <definedName name="Title_port" localSheetId="15">Blank!$N$97</definedName>
    <definedName name="Title_port" localSheetId="1">'Discharge Summary'!$G$97</definedName>
    <definedName name="Title_port" localSheetId="2">'Load Summary'!$G$97</definedName>
    <definedName name="Title_port" localSheetId="14">'Load Summary (2)'!$G$97</definedName>
    <definedName name="Title_port" localSheetId="3">Quantity!$G$97</definedName>
    <definedName name="Title_port" localSheetId="12">Sample!$G$97</definedName>
    <definedName name="Title_port" localSheetId="8">'Shore Tk'!$L$97</definedName>
    <definedName name="Title_port" localSheetId="9">'Shore Tk (2)'!$L$97</definedName>
    <definedName name="Title_port" localSheetId="13">'Time Log'!$N$97</definedName>
    <definedName name="Title_port" localSheetId="5">Ullage!$P$97</definedName>
    <definedName name="Title_port" localSheetId="11">VEF!$O$96</definedName>
    <definedName name="Title_port" localSheetId="7">'Vsl FW'!$N$96</definedName>
    <definedName name="Title_port" localSheetId="6">Wedge!$O$97</definedName>
    <definedName name="Title_terminal" localSheetId="15">Blank!$N$98</definedName>
    <definedName name="Title_terminal" localSheetId="1">'Discharge Summary'!$G$98</definedName>
    <definedName name="Title_terminal" localSheetId="2">'Load Summary'!$G$98</definedName>
    <definedName name="Title_terminal" localSheetId="14">'Load Summary (2)'!$G$98</definedName>
    <definedName name="Title_terminal" localSheetId="3">Quantity!$G$98</definedName>
    <definedName name="Title_terminal" localSheetId="12">Sample!$G$98</definedName>
    <definedName name="Title_terminal" localSheetId="8">'Shore Tk'!$L$98</definedName>
    <definedName name="Title_terminal" localSheetId="9">'Shore Tk (2)'!$L$98</definedName>
    <definedName name="Title_terminal" localSheetId="13">'Time Log'!$N$98</definedName>
    <definedName name="Title_terminal" localSheetId="5">Ullage!$P$98</definedName>
    <definedName name="Title_terminal" localSheetId="11">VEF!$O$97</definedName>
    <definedName name="Title_terminal" localSheetId="7">'Vsl FW'!$N$97</definedName>
    <definedName name="Title_terminal" localSheetId="6">Wedge!$O$98</definedName>
    <definedName name="Title_Vessel" localSheetId="15">Blank!$N$96</definedName>
    <definedName name="Title_Vessel" localSheetId="1">'Discharge Summary'!$G$96</definedName>
    <definedName name="Title_Vessel" localSheetId="2">'Load Summary'!$G$96</definedName>
    <definedName name="Title_Vessel" localSheetId="14">'Load Summary (2)'!$G$96</definedName>
    <definedName name="Title_Vessel" localSheetId="3">Quantity!$G$96</definedName>
    <definedName name="Title_Vessel" localSheetId="12">Sample!$G$96</definedName>
    <definedName name="Title_Vessel" localSheetId="8">'Shore Tk'!$L$96</definedName>
    <definedName name="Title_Vessel" localSheetId="9">'Shore Tk (2)'!$L$96</definedName>
    <definedName name="Title_Vessel" localSheetId="13">'Time Log'!$N$96</definedName>
    <definedName name="Title_Vessel" localSheetId="5">Ullage!$P$96</definedName>
    <definedName name="Title_Vessel" localSheetId="11">VEF!$O$95</definedName>
    <definedName name="Title_Vessel" localSheetId="7">'Vsl FW'!$N$95</definedName>
    <definedName name="Title_Vessel" localSheetId="6">Wedge!$O$96</definedName>
    <definedName name="toP" localSheetId="5">Ullage!$U$39</definedName>
    <definedName name="toS" localSheetId="5">Ullage!$U$40</definedName>
    <definedName name="TOV" localSheetId="5">Ullage!$P$111:$P$128</definedName>
    <definedName name="TOV_FW" localSheetId="4">OBQ!$I$122:$I$139</definedName>
    <definedName name="TOV_FW" localSheetId="10">ROB!$I$122:$I$139</definedName>
    <definedName name="TOV_FW_bbls" localSheetId="4">OBQ!$K$122:$K$139</definedName>
    <definedName name="TOV_FW_bbls" localSheetId="10">ROB!$K$122:$K$139</definedName>
    <definedName name="TOV_FW_CBM" localSheetId="4">OBQ!$J$122:$J$139</definedName>
    <definedName name="TOV_FW_CBM" localSheetId="10">ROB!$J$122:$J$139</definedName>
    <definedName name="TOV_Liquid" localSheetId="4">OBQ!$D$122:$D$139</definedName>
    <definedName name="TOV_Liquid" localSheetId="10">ROB!$D$122:$D$139</definedName>
    <definedName name="TOV_Liquid_bbls" localSheetId="4">OBQ!$F$122:$F$139</definedName>
    <definedName name="TOV_Liquid_bbls" localSheetId="10">ROB!$F$122:$F$139</definedName>
    <definedName name="TOV_Liquid_CBM" localSheetId="4">OBQ!$E$122:$E$139</definedName>
    <definedName name="TOV_Liquid_CBM" localSheetId="10">ROB!$E$122:$E$139</definedName>
    <definedName name="TOV_Nonliquid_bbls" localSheetId="4">OBQ!$H$122:$H$139</definedName>
    <definedName name="TOV_Nonliquid_bbls" localSheetId="10">ROB!$H$122:$H$139</definedName>
    <definedName name="TOV_Nonliquid_CBM" localSheetId="4">OBQ!$G$122:$G$139</definedName>
    <definedName name="TOV_Nonliquid_CBM" localSheetId="10">ROB!$G$122:$G$139</definedName>
    <definedName name="TOVunit" localSheetId="5">Ullage!$P$110</definedName>
    <definedName name="TOV单位序号" localSheetId="4">OBQ!$L$8</definedName>
    <definedName name="TOV单位序号" localSheetId="10">ROB!$L$8</definedName>
    <definedName name="TOV单位序号" localSheetId="8">'Shore Tk'!$K$10</definedName>
    <definedName name="TOV单位序号" localSheetId="9">'Shore Tk (2)'!$K$10</definedName>
    <definedName name="TOV单位序号" localSheetId="5">Ullage!$L$8</definedName>
    <definedName name="trim" localSheetId="5">Ullage!$K$105</definedName>
    <definedName name="unload" localSheetId="13">'Time Log'!$H$118:$H$129</definedName>
    <definedName name="upright" localSheetId="5">Ullage!$U$38</definedName>
    <definedName name="UTI" localSheetId="5">Ullage!$U$69</definedName>
    <definedName name="UTI和水膏" localSheetId="5">Ullage!$U$72</definedName>
    <definedName name="vcfTab" localSheetId="15">Blank!$F$4</definedName>
    <definedName name="vcfTab" localSheetId="1">'Discharge Summary'!$J$4</definedName>
    <definedName name="vcfTab" localSheetId="2">'Load Summary'!$J$4</definedName>
    <definedName name="vcfTab" localSheetId="14">'Load Summary (2)'!$J$4</definedName>
    <definedName name="vcfTab" localSheetId="4">OBQ!$M$4</definedName>
    <definedName name="vcfTab" localSheetId="3">Quantity!$J$4</definedName>
    <definedName name="vcfTab" localSheetId="10">ROB!$M$4</definedName>
    <definedName name="vcfTab" localSheetId="12">Sample!$F$4</definedName>
    <definedName name="vcfTab" localSheetId="8">'Shore Tk'!$L$4</definedName>
    <definedName name="vcfTab" localSheetId="9">'Shore Tk (2)'!$L$4</definedName>
    <definedName name="vcfTab" localSheetId="13">'Time Log'!$F$4</definedName>
    <definedName name="vcfTab" localSheetId="5">Ullage!$M$4</definedName>
    <definedName name="vcfTab" localSheetId="7">'Vsl FW'!$F$4</definedName>
    <definedName name="vcfTab" localSheetId="6">Wedge!$F$4</definedName>
    <definedName name="vcfVersion" localSheetId="15">Blank!$F$5</definedName>
    <definedName name="vcfVersion" localSheetId="1">'Discharge Summary'!$J$5</definedName>
    <definedName name="vcfVersion" localSheetId="2">'Load Summary'!$J$5</definedName>
    <definedName name="vcfVersion" localSheetId="14">'Load Summary (2)'!$J$5</definedName>
    <definedName name="vcfVersion" localSheetId="4">OBQ!$M$5</definedName>
    <definedName name="vcfVersion" localSheetId="3">Quantity!$J$5</definedName>
    <definedName name="vcfVersion" localSheetId="10">ROB!$M$5</definedName>
    <definedName name="vcfVersion" localSheetId="12">Sample!$F$5</definedName>
    <definedName name="vcfVersion" localSheetId="8">'Shore Tk'!$L$5</definedName>
    <definedName name="vcfVersion" localSheetId="9">'Shore Tk (2)'!$L$5</definedName>
    <definedName name="vcfVersion" localSheetId="13">'Time Log'!$F$5</definedName>
    <definedName name="vcfVersion" localSheetId="5">Ullage!$M$5</definedName>
    <definedName name="vcfVersion" localSheetId="7">'Vsl FW'!$F$5</definedName>
    <definedName name="vcfVersion" localSheetId="6">Wedge!$F$5</definedName>
    <definedName name="VCF版本" localSheetId="4">OBQ!$K$23:$K$25</definedName>
    <definedName name="VCF版本" localSheetId="10">ROB!$K$23:$K$25</definedName>
    <definedName name="VCF版本" localSheetId="8">'Shore Tk'!$J$23:$J$25</definedName>
    <definedName name="VCF版本" localSheetId="9">'Shore Tk (2)'!$J$23:$J$25</definedName>
    <definedName name="VCF版本" localSheetId="5">Ullage!$K$23:$K$25</definedName>
    <definedName name="vcf版本序号" localSheetId="1">'Discharge Summary'!$I$5</definedName>
    <definedName name="vcf版本序号" localSheetId="2">'Load Summary'!$I$5</definedName>
    <definedName name="vcf版本序号" localSheetId="14">'Load Summary (2)'!$I$5</definedName>
    <definedName name="vcf版本序号" localSheetId="4">OBQ!$L$5</definedName>
    <definedName name="vcf版本序号" localSheetId="3">Quantity!$I$5</definedName>
    <definedName name="vcf版本序号" localSheetId="10">ROB!$L$5</definedName>
    <definedName name="vcf版本序号" localSheetId="8">'Shore Tk'!$K$5</definedName>
    <definedName name="vcf版本序号" localSheetId="9">'Shore Tk (2)'!$K$5</definedName>
    <definedName name="vcf版本序号" localSheetId="5">Ullage!$L$5</definedName>
    <definedName name="VCF表" localSheetId="15">Blank!$D$3:$D$20</definedName>
    <definedName name="VCF表" localSheetId="1">'Discharge Summary'!$H$3:$H$20</definedName>
    <definedName name="VCF表" localSheetId="2">'Load Summary'!$H$3:$H$20</definedName>
    <definedName name="VCF表" localSheetId="14">'Load Summary (2)'!$H$3:$H$20</definedName>
    <definedName name="VCF表" localSheetId="4">OBQ!$K$3:$K$20</definedName>
    <definedName name="VCF表" localSheetId="3">Quantity!$H$3:$H$20</definedName>
    <definedName name="VCF表" localSheetId="10">ROB!$K$3:$K$20</definedName>
    <definedName name="VCF表" localSheetId="12">Sample!$D$3:$D$20</definedName>
    <definedName name="VCF表" localSheetId="8">'Shore Tk'!$J$3:$J$20</definedName>
    <definedName name="VCF表" localSheetId="9">'Shore Tk (2)'!$J$3:$J$20</definedName>
    <definedName name="VCF表" localSheetId="13">'Time Log'!$D$3:$D$20</definedName>
    <definedName name="VCF表" localSheetId="5">Ullage!$K$3:$K$20</definedName>
    <definedName name="VCF表序号" localSheetId="1">'Discharge Summary'!$I$4</definedName>
    <definedName name="VCF表序号" localSheetId="2">'Load Summary'!$I$4</definedName>
    <definedName name="VCF表序号" localSheetId="14">'Load Summary (2)'!$I$4</definedName>
    <definedName name="VCF表序号" localSheetId="4">OBQ!$L$4</definedName>
    <definedName name="VCF表序号" localSheetId="3">Quantity!$I$4</definedName>
    <definedName name="VCF表序号" localSheetId="10">ROB!$L$4</definedName>
    <definedName name="VCF表序号" localSheetId="8">'Shore Tk'!$K$4</definedName>
    <definedName name="VCF表序号" localSheetId="9">'Shore Tk (2)'!$K$4</definedName>
    <definedName name="VCF表序号" localSheetId="5">Ullage!$L$4</definedName>
    <definedName name="VEF">VEF!$R$127</definedName>
    <definedName name="Vessel">Cover!$F$23</definedName>
    <definedName name="WCF_1980" localSheetId="15">Blank!$D$21</definedName>
    <definedName name="WCF_1980" localSheetId="0">Cover!$O$10</definedName>
    <definedName name="WCF_1980" localSheetId="1">'Discharge Summary'!$H$21</definedName>
    <definedName name="WCF_1980" localSheetId="2">'Load Summary'!$H$21</definedName>
    <definedName name="WCF_1980" localSheetId="14">'Load Summary (2)'!$H$21</definedName>
    <definedName name="WCF_1980" localSheetId="4">OBQ!$K$21</definedName>
    <definedName name="WCF_1980" localSheetId="3">Quantity!$H$21</definedName>
    <definedName name="WCF_1980" localSheetId="10">ROB!$K$21</definedName>
    <definedName name="WCF_1980" localSheetId="12">Sample!$D$21</definedName>
    <definedName name="WCF_1980" localSheetId="8">'Shore Tk'!$J$21</definedName>
    <definedName name="WCF_1980" localSheetId="9">'Shore Tk (2)'!$J$21</definedName>
    <definedName name="WCF_1980" localSheetId="13">'Time Log'!$D$21</definedName>
    <definedName name="WCF_1980" localSheetId="5">Ullage!$K$21</definedName>
    <definedName name="WCF_1980" localSheetId="7">'Vsl FW'!$D$21</definedName>
    <definedName name="WCF_1980" localSheetId="6">Wedge!$D$21</definedName>
    <definedName name="WCF_2013" localSheetId="15">Blank!$D$22</definedName>
    <definedName name="WCF_2013" localSheetId="0">Cover!$O$11</definedName>
    <definedName name="WCF_2013" localSheetId="1">'Discharge Summary'!$H$22</definedName>
    <definedName name="WCF_2013" localSheetId="2">'Load Summary'!$H$22</definedName>
    <definedName name="WCF_2013" localSheetId="14">'Load Summary (2)'!$H$22</definedName>
    <definedName name="WCF_2013" localSheetId="4">OBQ!$K$22</definedName>
    <definedName name="WCF_2013" localSheetId="3">Quantity!$H$22</definedName>
    <definedName name="WCF_2013" localSheetId="10">ROB!$K$22</definedName>
    <definedName name="WCF_2013" localSheetId="12">Sample!$D$22</definedName>
    <definedName name="WCF_2013" localSheetId="8">'Shore Tk'!$J$22</definedName>
    <definedName name="WCF_2013" localSheetId="9">'Shore Tk (2)'!$J$22</definedName>
    <definedName name="WCF_2013" localSheetId="13">'Time Log'!$D$22</definedName>
    <definedName name="WCF_2013" localSheetId="5">Ullage!$K$22</definedName>
    <definedName name="WCF_2013" localSheetId="7">'Vsl FW'!$D$22</definedName>
    <definedName name="WCF_2013" localSheetId="6">Wedge!$D$22</definedName>
    <definedName name="WCF_Standard" localSheetId="15">Blank!$F$6</definedName>
    <definedName name="WCF_Standard" localSheetId="0">Cover!$Q$14</definedName>
    <definedName name="WCF_Standard" localSheetId="1">'Discharge Summary'!$J$6</definedName>
    <definedName name="WCF_Standard" localSheetId="2">'Load Summary'!$J$6</definedName>
    <definedName name="WCF_Standard" localSheetId="14">'Load Summary (2)'!$J$6</definedName>
    <definedName name="WCF_Standard" localSheetId="4">OBQ!$M$6</definedName>
    <definedName name="WCF_Standard" localSheetId="3">Quantity!$J$6</definedName>
    <definedName name="WCF_Standard" localSheetId="10">ROB!$M$6</definedName>
    <definedName name="WCF_Standard" localSheetId="12">Sample!$F$6</definedName>
    <definedName name="WCF_Standard" localSheetId="8">'Shore Tk'!$L$6</definedName>
    <definedName name="WCF_Standard" localSheetId="9">'Shore Tk (2)'!$L$6</definedName>
    <definedName name="WCF_Standard" localSheetId="13">'Time Log'!$F$6</definedName>
    <definedName name="WCF_Standard" localSheetId="5">Ullage!$M$6</definedName>
    <definedName name="WCF_Standard" localSheetId="7">'Vsl FW'!$F$6</definedName>
    <definedName name="WCF_Standard" localSheetId="6">Wedge!$F$6</definedName>
    <definedName name="WCF标准序号" localSheetId="0">Cover!$P$14</definedName>
    <definedName name="WCF标准序号" localSheetId="1">'Discharge Summary'!$I$6</definedName>
    <definedName name="WCF标准序号" localSheetId="2">'Load Summary'!$I$6</definedName>
    <definedName name="WCF标准序号" localSheetId="14">'Load Summary (2)'!$I$6</definedName>
    <definedName name="WCF标准序号" localSheetId="4">OBQ!$L$6</definedName>
    <definedName name="WCF标准序号" localSheetId="3">Quantity!$I$6</definedName>
    <definedName name="WCF标准序号" localSheetId="10">ROB!$L$6</definedName>
    <definedName name="WCF标准序号" localSheetId="8">'Shore Tk'!$K$6</definedName>
    <definedName name="WCF标准序号" localSheetId="9">'Shore Tk (2)'!$K$6</definedName>
    <definedName name="WCF标准序号" localSheetId="5">Ullage!$L$6</definedName>
    <definedName name="岸罐标定温度" localSheetId="8">'Shore Tk'!$P$74</definedName>
    <definedName name="岸罐标定温度" localSheetId="9">'Shore Tk (2)'!$P$74</definedName>
    <definedName name="岸罐标定温度单位" localSheetId="8">'Shore Tk'!$K$111</definedName>
    <definedName name="岸罐标定温度单位" localSheetId="9">'Shore Tk (2)'!$K$111</definedName>
    <definedName name="岸罐盘库罐号" localSheetId="8">'Shore Tk'!$L$104:$Q$104</definedName>
    <definedName name="岸罐盘库罐号" localSheetId="9">'Shore Tk (2)'!$L$104:$Q$104</definedName>
    <definedName name="岸罐数据类型列表" localSheetId="8">'Shore Tk'!$P$2:$P$4</definedName>
    <definedName name="岸罐数据类型列表" localSheetId="9">'Shore Tk (2)'!$P$2:$P$4</definedName>
    <definedName name="岸罐数据类型序号" localSheetId="8">'Shore Tk'!$K$13</definedName>
    <definedName name="岸罐数据类型序号" localSheetId="9">'Shore Tk (2)'!$K$13</definedName>
    <definedName name="岸罐转输罐号" localSheetId="8">'Shore Tk'!$M$101,'Shore Tk'!$O$101,'Shore Tk'!$Q$101</definedName>
    <definedName name="岸罐转输罐号" localSheetId="9">'Shore Tk (2)'!$M$101,'Shore Tk (2)'!$O$101,'Shore Tk (2)'!$Q$101</definedName>
    <definedName name="保温" localSheetId="8">'Shore Tk'!$P$72</definedName>
    <definedName name="保温" localSheetId="9">'Shore Tk (2)'!$P$72</definedName>
    <definedName name="报告日期" localSheetId="15">Blank!$C$12</definedName>
    <definedName name="报告日期" localSheetId="0">Cover!$Q$31</definedName>
    <definedName name="报告日期" localSheetId="1">'Discharge Summary'!$D$12</definedName>
    <definedName name="报告日期" localSheetId="2">'Load Summary'!$D$12</definedName>
    <definedName name="报告日期" localSheetId="14">'Load Summary (2)'!$D$12</definedName>
    <definedName name="报告日期" localSheetId="4">OBQ!$J$12</definedName>
    <definedName name="报告日期" localSheetId="3">Quantity!$D$12</definedName>
    <definedName name="报告日期" localSheetId="10">ROB!$J$12</definedName>
    <definedName name="报告日期" localSheetId="12">Sample!$C$12</definedName>
    <definedName name="报告日期" localSheetId="8">'Shore Tk'!$I$12</definedName>
    <definedName name="报告日期" localSheetId="9">'Shore Tk (2)'!$I$12</definedName>
    <definedName name="报告日期" localSheetId="13">'Time Log'!$C$12</definedName>
    <definedName name="报告日期" localSheetId="5">Ullage!$J$12</definedName>
    <definedName name="报告日期" localSheetId="11">VEF!$C$12</definedName>
    <definedName name="报告日期" localSheetId="7">'Vsl FW'!$C$12</definedName>
    <definedName name="报告日期" localSheetId="6">Wedge!$C$12</definedName>
    <definedName name="报告种类序号" localSheetId="15">Blank!$E$2</definedName>
    <definedName name="报告种类序号" localSheetId="0">Cover!$P$5</definedName>
    <definedName name="报告种类序号" localSheetId="1">'Discharge Summary'!$I$2</definedName>
    <definedName name="报告种类序号" localSheetId="2">'Load Summary'!$I$2</definedName>
    <definedName name="报告种类序号" localSheetId="14">'Load Summary (2)'!$I$2</definedName>
    <definedName name="报告种类序号" localSheetId="4">OBQ!$L$2</definedName>
    <definedName name="报告种类序号" localSheetId="3">Quantity!$I$2</definedName>
    <definedName name="报告种类序号" localSheetId="10">ROB!$L$2</definedName>
    <definedName name="报告种类序号" localSheetId="12">Sample!$E$2</definedName>
    <definedName name="报告种类序号" localSheetId="8">'Shore Tk'!$K$2</definedName>
    <definedName name="报告种类序号" localSheetId="9">'Shore Tk (2)'!$K$2</definedName>
    <definedName name="报告种类序号" localSheetId="13">'Time Log'!$E$2</definedName>
    <definedName name="报告种类序号" localSheetId="5">Ullage!$L$2</definedName>
    <definedName name="报告种类序号" localSheetId="11">VEF!$E$2</definedName>
    <definedName name="报告种类序号" localSheetId="7">'Vsl FW'!$E$2</definedName>
    <definedName name="报告种类序号" localSheetId="6">Wedge!$E$2</definedName>
    <definedName name="表体积" localSheetId="5">Ullage!$U$83</definedName>
    <definedName name="表体积单位" localSheetId="4">OBQ!$M$8</definedName>
    <definedName name="表体积单位" localSheetId="10">ROB!$M$8</definedName>
    <definedName name="表体积单位" localSheetId="8">'Shore Tk'!$L$10</definedName>
    <definedName name="表体积单位" localSheetId="9">'Shore Tk (2)'!$L$10</definedName>
    <definedName name="表体积单位" localSheetId="5">Ullage!$M$8</definedName>
    <definedName name="驳运后" localSheetId="5">Ullage!$U$16</definedName>
    <definedName name="驳运前" localSheetId="5">Ullage!$U$15</definedName>
    <definedName name="参考高度" localSheetId="8">'Shore Tk'!$P$61</definedName>
    <definedName name="参考高度" localSheetId="9">'Shore Tk (2)'!$P$61</definedName>
    <definedName name="舱号" localSheetId="5">Ullage!$U$78</definedName>
    <definedName name="操作类型序号" localSheetId="13">'Time Log'!$E$8</definedName>
    <definedName name="吃水差" localSheetId="5">Ullage!$U$82</definedName>
    <definedName name="船名" localSheetId="15">Blank!$C$16</definedName>
    <definedName name="船名" localSheetId="1">'Discharge Summary'!$D$16</definedName>
    <definedName name="船名" localSheetId="2">'Load Summary'!$D$16</definedName>
    <definedName name="船名" localSheetId="14">'Load Summary (2)'!$D$16</definedName>
    <definedName name="船名" localSheetId="4">OBQ!$J$16</definedName>
    <definedName name="船名" localSheetId="3">Quantity!$D$16</definedName>
    <definedName name="船名" localSheetId="10">ROB!$J$16</definedName>
    <definedName name="船名" localSheetId="12">Sample!$C$16</definedName>
    <definedName name="船名" localSheetId="8">'Shore Tk'!$I$16</definedName>
    <definedName name="船名" localSheetId="9">'Shore Tk (2)'!$I$16</definedName>
    <definedName name="船名" localSheetId="13">'Time Log'!$C$16</definedName>
    <definedName name="船名" localSheetId="5">Ullage!$J$16</definedName>
    <definedName name="船名" localSheetId="11">VEF!$C$16</definedName>
    <definedName name="船名" localSheetId="7">'Vsl FW'!$C$16</definedName>
    <definedName name="船名" localSheetId="6">Wedge!$C$16</definedName>
    <definedName name="大浪" localSheetId="5">Ullage!$U$45</definedName>
    <definedName name="单号" localSheetId="15">Blank!$C$11</definedName>
    <definedName name="单号" localSheetId="0">Cover!$Q$30</definedName>
    <definedName name="单号" localSheetId="1">'Discharge Summary'!$D$11</definedName>
    <definedName name="单号" localSheetId="2">'Load Summary'!$D$11</definedName>
    <definedName name="单号" localSheetId="14">'Load Summary (2)'!$D$11</definedName>
    <definedName name="单号" localSheetId="4">OBQ!$J$11</definedName>
    <definedName name="单号" localSheetId="3">Quantity!$D$11</definedName>
    <definedName name="单号" localSheetId="10">ROB!$J$11</definedName>
    <definedName name="单号" localSheetId="12">Sample!$C$11</definedName>
    <definedName name="单号" localSheetId="8">'Shore Tk'!$I$11</definedName>
    <definedName name="单号" localSheetId="9">'Shore Tk (2)'!$I$11</definedName>
    <definedName name="单号" localSheetId="13">'Time Log'!$C$11</definedName>
    <definedName name="单号" localSheetId="5">Ullage!$J$11</definedName>
    <definedName name="单号" localSheetId="11">VEF!$C$11</definedName>
    <definedName name="单号" localSheetId="7">'Vsl FW'!$C$11</definedName>
    <definedName name="单号" localSheetId="6">Wedge!$C$11</definedName>
    <definedName name="当前吃水差" localSheetId="5">Ullage!$U$80</definedName>
    <definedName name="非保温" localSheetId="8">'Shore Tk'!$P$73</definedName>
    <definedName name="非保温" localSheetId="9">'Shore Tk (2)'!$P$73</definedName>
    <definedName name="非计量区间" localSheetId="8">'Shore Tk'!$P$79</definedName>
    <definedName name="非计量区间" localSheetId="9">'Shore Tk (2)'!$P$79</definedName>
    <definedName name="浮顶重量" localSheetId="8">'Shore Tk'!$P$63</definedName>
    <definedName name="浮顶重量" localSheetId="9">'Shore Tk (2)'!$P$63</definedName>
    <definedName name="港口名" localSheetId="15">Blank!$C$17</definedName>
    <definedName name="港口名" localSheetId="1">'Discharge Summary'!$D$17</definedName>
    <definedName name="港口名" localSheetId="2">'Load Summary'!$D$17</definedName>
    <definedName name="港口名" localSheetId="14">'Load Summary (2)'!$D$17</definedName>
    <definedName name="港口名" localSheetId="4">OBQ!$J$17</definedName>
    <definedName name="港口名" localSheetId="3">Quantity!$D$17</definedName>
    <definedName name="港口名" localSheetId="10">ROB!$J$17</definedName>
    <definedName name="港口名" localSheetId="12">Sample!$C$17</definedName>
    <definedName name="港口名" localSheetId="8">'Shore Tk'!$I$17</definedName>
    <definedName name="港口名" localSheetId="9">'Shore Tk (2)'!$I$17</definedName>
    <definedName name="港口名" localSheetId="13">'Time Log'!$C$17</definedName>
    <definedName name="港口名" localSheetId="5">Ullage!$J$17</definedName>
    <definedName name="港口名" localSheetId="11">VEF!$C$17</definedName>
    <definedName name="港口名" localSheetId="7">'Vsl FW'!$C$17</definedName>
    <definedName name="港口名" localSheetId="6">Wedge!$C$17</definedName>
    <definedName name="罐壁材质" localSheetId="8">'Shore Tk'!$P$71</definedName>
    <definedName name="罐壁材质" localSheetId="9">'Shore Tk (2)'!$P$71</definedName>
    <definedName name="罐壁线胀系数" localSheetId="8">'Shore Tk'!$P$78</definedName>
    <definedName name="罐壁线胀系数" localSheetId="9">'Shore Tk (2)'!$P$78</definedName>
    <definedName name="罐号" localSheetId="8">'Shore Tk'!$P$56</definedName>
    <definedName name="罐号" localSheetId="9">'Shore Tk (2)'!$P$56</definedName>
    <definedName name="海况列表" localSheetId="5">Ullage!$U$42:$U$45</definedName>
    <definedName name="海况序号" localSheetId="5">Ullage!$L$12</definedName>
    <definedName name="横倾序号" localSheetId="5">Ullage!$L$13</definedName>
    <definedName name="后尺" localSheetId="8">'Shore Tk'!$P$58</definedName>
    <definedName name="后尺" localSheetId="9">'Shore Tk (2)'!$P$58</definedName>
    <definedName name="环温" localSheetId="8">'Shore Tk'!$P$55</definedName>
    <definedName name="环温" localSheetId="9">'Shore Tk (2)'!$P$55</definedName>
    <definedName name="计量单位" localSheetId="8">'Shore Tk'!$P$82</definedName>
    <definedName name="计量单位" localSheetId="9">'Shore Tk (2)'!$P$82</definedName>
    <definedName name="计量工具序号" localSheetId="5">Ullage!$L$10</definedName>
    <definedName name="计量节点序号" localSheetId="5">Ullage!$L$9</definedName>
    <definedName name="计算方法" localSheetId="8">'Shore Tk'!$L$13</definedName>
    <definedName name="计算方法" localSheetId="9">'Shore Tk (2)'!$L$13</definedName>
    <definedName name="检尺方法" localSheetId="8">'Shore Tk'!$P$75</definedName>
    <definedName name="检尺方法" localSheetId="9">'Shore Tk (2)'!$P$75</definedName>
    <definedName name="检尺结果" localSheetId="8">'Shore Tk'!$P$83</definedName>
    <definedName name="检尺结果" localSheetId="9">'Shore Tk (2)'!$P$83</definedName>
    <definedName name="检水工具列表" localSheetId="5">Ullage!$U$69:$U$73</definedName>
    <definedName name="检水工具序号" localSheetId="5">Ullage!$L$11</definedName>
    <definedName name="检验日期" localSheetId="15">Blank!$C$19</definedName>
    <definedName name="检验日期" localSheetId="0">Cover!$Q$38</definedName>
    <definedName name="检验日期" localSheetId="1">'Discharge Summary'!$D$19</definedName>
    <definedName name="检验日期" localSheetId="2">'Load Summary'!$D$19</definedName>
    <definedName name="检验日期" localSheetId="14">'Load Summary (2)'!$D$19</definedName>
    <definedName name="检验日期" localSheetId="4">OBQ!$J$19</definedName>
    <definedName name="检验日期" localSheetId="3">Quantity!$D$19</definedName>
    <definedName name="检验日期" localSheetId="10">ROB!$J$19</definedName>
    <definedName name="检验日期" localSheetId="12">Sample!$C$19</definedName>
    <definedName name="检验日期" localSheetId="8">'Shore Tk'!$I$19</definedName>
    <definedName name="检验日期" localSheetId="9">'Shore Tk (2)'!$I$19</definedName>
    <definedName name="检验日期" localSheetId="13">'Time Log'!$C$19</definedName>
    <definedName name="检验日期" localSheetId="5">Ullage!$J$19</definedName>
    <definedName name="检验日期" localSheetId="11">VEF!$C$19</definedName>
    <definedName name="检验日期" localSheetId="7">'Vsl FW'!$C$19</definedName>
    <definedName name="检验日期" localSheetId="6">Wedge!$C$19</definedName>
    <definedName name="检验员姓名" localSheetId="15">Blank!$Q$121</definedName>
    <definedName name="检验员姓名" localSheetId="0">Cover!$Q$13</definedName>
    <definedName name="检验员姓名" localSheetId="1">'Discharge Summary'!$J$153</definedName>
    <definedName name="检验员姓名" localSheetId="2">'Load Summary'!$J$149</definedName>
    <definedName name="检验员姓名" localSheetId="14">'Load Summary (2)'!$J$149</definedName>
    <definedName name="检验员姓名" localSheetId="4">OBQ!$Y$163</definedName>
    <definedName name="检验员姓名" localSheetId="3">Quantity!$J$143</definedName>
    <definedName name="检验员姓名" localSheetId="10">ROB!$Y$163</definedName>
    <definedName name="检验员姓名" localSheetId="12">Sample!$J$145</definedName>
    <definedName name="检验员姓名" localSheetId="8">'Shore Tk'!$O$214</definedName>
    <definedName name="检验员姓名" localSheetId="9">'Shore Tk (2)'!$O$214</definedName>
    <definedName name="检验员姓名" localSheetId="13">'Time Log'!$Q$152</definedName>
    <definedName name="检验员姓名" localSheetId="5">Ullage!$T$152</definedName>
    <definedName name="检验员姓名" localSheetId="11">VEF!$Q$142</definedName>
    <definedName name="检验员姓名" localSheetId="7">'Vsl FW'!$Q$134</definedName>
    <definedName name="检验员姓名" localSheetId="6">Wedge!$R$147</definedName>
    <definedName name="检验种类序号" localSheetId="0">Cover!$P$6</definedName>
    <definedName name="静压力体积" localSheetId="8">'Shore Tk'!$S$2</definedName>
    <definedName name="静压力体积" localSheetId="9">'Shore Tk (2)'!$S$2</definedName>
    <definedName name="客户编号" localSheetId="15">Blank!$C$14</definedName>
    <definedName name="客户编号" localSheetId="0">Cover!$Q$33</definedName>
    <definedName name="客户编号" localSheetId="1">'Discharge Summary'!$D$14</definedName>
    <definedName name="客户编号" localSheetId="2">'Load Summary'!$D$14</definedName>
    <definedName name="客户编号" localSheetId="14">'Load Summary (2)'!$D$14</definedName>
    <definedName name="客户编号" localSheetId="4">OBQ!$J$14</definedName>
    <definedName name="客户编号" localSheetId="3">Quantity!$D$14</definedName>
    <definedName name="客户编号" localSheetId="10">ROB!$J$14</definedName>
    <definedName name="客户编号" localSheetId="12">Sample!$C$14</definedName>
    <definedName name="客户编号" localSheetId="8">'Shore Tk'!$I$14</definedName>
    <definedName name="客户编号" localSheetId="9">'Shore Tk (2)'!$I$14</definedName>
    <definedName name="客户编号" localSheetId="13">'Time Log'!$C$14</definedName>
    <definedName name="客户编号" localSheetId="5">Ullage!$J$14</definedName>
    <definedName name="客户编号" localSheetId="11">VEF!$C$14</definedName>
    <definedName name="客户编号" localSheetId="7">'Vsl FW'!$C$14</definedName>
    <definedName name="客户编号" localSheetId="6">Wedge!$C$14</definedName>
    <definedName name="客户名" localSheetId="15">Blank!$C$13</definedName>
    <definedName name="客户名" localSheetId="1">'Discharge Summary'!$D$13</definedName>
    <definedName name="客户名" localSheetId="2">'Load Summary'!$D$13</definedName>
    <definedName name="客户名" localSheetId="14">'Load Summary (2)'!$D$13</definedName>
    <definedName name="客户名" localSheetId="4">OBQ!$J$13</definedName>
    <definedName name="客户名" localSheetId="3">Quantity!$D$13</definedName>
    <definedName name="客户名" localSheetId="10">ROB!$J$13</definedName>
    <definedName name="客户名" localSheetId="12">Sample!$C$13</definedName>
    <definedName name="客户名" localSheetId="8">'Shore Tk'!$I$13</definedName>
    <definedName name="客户名" localSheetId="9">'Shore Tk (2)'!$I$13</definedName>
    <definedName name="客户名" localSheetId="13">'Time Log'!$C$13</definedName>
    <definedName name="客户名" localSheetId="5">Ullage!$J$13</definedName>
    <definedName name="客户名" localSheetId="11">VEF!$C$13</definedName>
    <definedName name="客户名" localSheetId="7">'Vsl FW'!$C$13</definedName>
    <definedName name="客户名" localSheetId="6">Wedge!$C$13</definedName>
    <definedName name="空距" localSheetId="8">'Shore Tk'!$P$76</definedName>
    <definedName name="空距" localSheetId="9">'Shore Tk (2)'!$P$76</definedName>
    <definedName name="拉呀拉" localSheetId="8">'Shore Tk'!$S$193</definedName>
    <definedName name="拉呀拉" localSheetId="9">'Shore Tk (2)'!$S$193</definedName>
    <definedName name="立方米" localSheetId="4">OBQ!$S$38</definedName>
    <definedName name="立方米" localSheetId="10">ROB!$S$38</definedName>
    <definedName name="立方米" localSheetId="8">'Shore Tk'!$P$16</definedName>
    <definedName name="立方米" localSheetId="9">'Shore Tk (2)'!$P$16</definedName>
    <definedName name="立方米" localSheetId="5">Ullage!$U$47</definedName>
    <definedName name="量油尺" localSheetId="5">Ullage!$U$68</definedName>
    <definedName name="美制桶" localSheetId="4">OBQ!$S$39</definedName>
    <definedName name="美制桶" localSheetId="10">ROB!$S$39</definedName>
    <definedName name="美制桶" localSheetId="8">'Shore Tk'!$P$17</definedName>
    <definedName name="美制桶" localSheetId="9">'Shore Tk (2)'!$P$17</definedName>
    <definedName name="美制桶" localSheetId="5">Ullage!$U$48</definedName>
    <definedName name="米" localSheetId="8">'Shore Tk'!$P$70</definedName>
    <definedName name="米" localSheetId="9">'Shore Tk (2)'!$P$70</definedName>
    <definedName name="内插开关" localSheetId="5">Ullage!$Y$83</definedName>
    <definedName name="品名" localSheetId="15">Blank!$C$15</definedName>
    <definedName name="品名" localSheetId="1">'Discharge Summary'!$D$15</definedName>
    <definedName name="品名" localSheetId="2">'Load Summary'!$D$15</definedName>
    <definedName name="品名" localSheetId="14">'Load Summary (2)'!$D$15</definedName>
    <definedName name="品名" localSheetId="4">OBQ!$J$15</definedName>
    <definedName name="品名" localSheetId="3">Quantity!$D$15</definedName>
    <definedName name="品名" localSheetId="10">ROB!$J$15</definedName>
    <definedName name="品名" localSheetId="12">Sample!$C$15</definedName>
    <definedName name="品名" localSheetId="8">'Shore Tk'!$I$15</definedName>
    <definedName name="品名" localSheetId="9">'Shore Tk (2)'!$I$15</definedName>
    <definedName name="品名" localSheetId="13">'Time Log'!$C$15</definedName>
    <definedName name="品名" localSheetId="5">Ullage!$J$15</definedName>
    <definedName name="品名" localSheetId="11">VEF!$C$15</definedName>
    <definedName name="品名" localSheetId="7">'Vsl FW'!$C$15</definedName>
    <definedName name="品名" localSheetId="6">Wedge!$C$15</definedName>
    <definedName name="前尺" localSheetId="8">'Shore Tk'!$P$57</definedName>
    <definedName name="前尺" localSheetId="9">'Shore Tk (2)'!$P$57</definedName>
    <definedName name="轻浪" localSheetId="5">Ullage!$U$43</definedName>
    <definedName name="日期" localSheetId="8">'Shore Tk'!$P$59</definedName>
    <definedName name="日期" localSheetId="9">'Shore Tk (2)'!$P$59</definedName>
    <definedName name="上限" localSheetId="8">'Shore Tk'!$P$80</definedName>
    <definedName name="上限" localSheetId="9">'Shore Tk (2)'!$P$80</definedName>
    <definedName name="时间" localSheetId="8">'Shore Tk'!$P$60</definedName>
    <definedName name="时间" localSheetId="9">'Shore Tk (2)'!$P$60</definedName>
    <definedName name="实测参考高度" localSheetId="8">'Shore Tk'!$P$62</definedName>
    <definedName name="实测参考高度" localSheetId="9">'Shore Tk (2)'!$P$62</definedName>
    <definedName name="试水膏" localSheetId="5">Ullage!$U$71</definedName>
    <definedName name="输入密度" localSheetId="4">OBQ!$N$7</definedName>
    <definedName name="输入密度" localSheetId="10">ROB!$N$7</definedName>
    <definedName name="输入密度" localSheetId="8">'Shore Tk'!$M$10</definedName>
    <definedName name="输入密度" localSheetId="9">'Shore Tk (2)'!$M$10</definedName>
    <definedName name="输入密度" localSheetId="5">Ullage!$P$105</definedName>
    <definedName name="输入密度15C" localSheetId="15">Blank!$C$20</definedName>
    <definedName name="输入密度15C" localSheetId="1">'Discharge Summary'!$D$20</definedName>
    <definedName name="输入密度15C" localSheetId="2">'Load Summary'!$D$20</definedName>
    <definedName name="输入密度15C" localSheetId="14">'Load Summary (2)'!$D$20</definedName>
    <definedName name="输入密度15C" localSheetId="4">OBQ!$J$20</definedName>
    <definedName name="输入密度15C" localSheetId="3">Quantity!$D$20</definedName>
    <definedName name="输入密度15C" localSheetId="10">ROB!$J$20</definedName>
    <definedName name="输入密度15C" localSheetId="12">Sample!$C$20</definedName>
    <definedName name="输入密度15C" localSheetId="8">'Shore Tk'!$I$20</definedName>
    <definedName name="输入密度15C" localSheetId="9">'Shore Tk (2)'!$I$20</definedName>
    <definedName name="输入密度15C" localSheetId="13">'Time Log'!$C$20</definedName>
    <definedName name="输入密度15C" localSheetId="5">Ullage!$J$20</definedName>
    <definedName name="输入密度15C" localSheetId="7">'Vsl FW'!$C$20</definedName>
    <definedName name="输入密度15C" localSheetId="6">Wedge!$C$20</definedName>
    <definedName name="输入密度20C" localSheetId="15">Blank!$C$21</definedName>
    <definedName name="输入密度20C" localSheetId="1">'Discharge Summary'!$D$21</definedName>
    <definedName name="输入密度20C" localSheetId="2">'Load Summary'!$D$21</definedName>
    <definedName name="输入密度20C" localSheetId="14">'Load Summary (2)'!$D$21</definedName>
    <definedName name="输入密度20C" localSheetId="4">OBQ!$J$21</definedName>
    <definedName name="输入密度20C" localSheetId="3">Quantity!$D$21</definedName>
    <definedName name="输入密度20C" localSheetId="10">ROB!$J$21</definedName>
    <definedName name="输入密度20C" localSheetId="12">Sample!$C$21</definedName>
    <definedName name="输入密度20C" localSheetId="8">'Shore Tk'!$I$21</definedName>
    <definedName name="输入密度20C" localSheetId="9">'Shore Tk (2)'!$I$21</definedName>
    <definedName name="输入密度20C" localSheetId="13">'Time Log'!$C$21</definedName>
    <definedName name="输入密度20C" localSheetId="5">Ullage!$J$21</definedName>
    <definedName name="输入密度20C" localSheetId="7">'Vsl FW'!$C$21</definedName>
    <definedName name="输入密度20C" localSheetId="6">Wedge!$C$21</definedName>
    <definedName name="输入密度API" localSheetId="15">Blank!$C$22</definedName>
    <definedName name="输入密度API" localSheetId="1">'Discharge Summary'!$D$22</definedName>
    <definedName name="输入密度API" localSheetId="2">'Load Summary'!$D$22</definedName>
    <definedName name="输入密度API" localSheetId="14">'Load Summary (2)'!$D$22</definedName>
    <definedName name="输入密度API" localSheetId="4">OBQ!$J$22</definedName>
    <definedName name="输入密度API" localSheetId="3">Quantity!$D$22</definedName>
    <definedName name="输入密度API" localSheetId="10">ROB!$J$22</definedName>
    <definedName name="输入密度API" localSheetId="12">Sample!$C$22</definedName>
    <definedName name="输入密度API" localSheetId="8">'Shore Tk'!$I$22</definedName>
    <definedName name="输入密度API" localSheetId="9">'Shore Tk (2)'!$I$22</definedName>
    <definedName name="输入密度API" localSheetId="13">'Time Log'!$C$22</definedName>
    <definedName name="输入密度API" localSheetId="5">Ullage!$J$22</definedName>
    <definedName name="输入密度API" localSheetId="7">'Vsl FW'!$C$22</definedName>
    <definedName name="输入密度API" localSheetId="6">Wedge!$C$22</definedName>
    <definedName name="输入密度SG" localSheetId="15">Blank!$C$23</definedName>
    <definedName name="输入密度SG" localSheetId="1">'Discharge Summary'!$D$23</definedName>
    <definedName name="输入密度SG" localSheetId="2">'Load Summary'!$D$23</definedName>
    <definedName name="输入密度SG" localSheetId="14">'Load Summary (2)'!$D$23</definedName>
    <definedName name="输入密度SG" localSheetId="4">OBQ!$J$23</definedName>
    <definedName name="输入密度SG" localSheetId="3">Quantity!$D$23</definedName>
    <definedName name="输入密度SG" localSheetId="10">ROB!$J$23</definedName>
    <definedName name="输入密度SG" localSheetId="12">Sample!$C$23</definedName>
    <definedName name="输入密度SG" localSheetId="8">'Shore Tk'!$I$23</definedName>
    <definedName name="输入密度SG" localSheetId="9">'Shore Tk (2)'!$I$23</definedName>
    <definedName name="输入密度SG" localSheetId="13">'Time Log'!$C$23</definedName>
    <definedName name="输入密度SG" localSheetId="5">Ullage!$J$23</definedName>
    <definedName name="输入密度SG" localSheetId="7">'Vsl FW'!$C$23</definedName>
    <definedName name="输入密度SG" localSheetId="6">Wedge!$C$23</definedName>
    <definedName name="输入密度列表" localSheetId="5">Ullage!$J$20:$J$23</definedName>
    <definedName name="输入密度序号" localSheetId="4">OBQ!$L$7</definedName>
    <definedName name="输入密度序号" localSheetId="10">ROB!$L$7</definedName>
    <definedName name="输入密度序号" localSheetId="8">'Shore Tk'!$K$7</definedName>
    <definedName name="输入密度序号" localSheetId="9">'Shore Tk (2)'!$K$7</definedName>
    <definedName name="输入密度序号" localSheetId="5">Ullage!$L$7</definedName>
    <definedName name="水高" localSheetId="8">'Shore Tk'!$P$84</definedName>
    <definedName name="水高" localSheetId="9">'Shore Tk (2)'!$P$84</definedName>
    <definedName name="体积单位" localSheetId="8">'Shore Tk'!$S$3</definedName>
    <definedName name="体积单位" localSheetId="9">'Shore Tk (2)'!$S$3</definedName>
    <definedName name="体积单位" localSheetId="5">Ullage!$U$77</definedName>
    <definedName name="微波" localSheetId="5">Ullage!$U$42</definedName>
    <definedName name="温度单位" localSheetId="8">'Shore Tk'!$S$1</definedName>
    <definedName name="温度单位" localSheetId="9">'Shore Tk (2)'!$S$1</definedName>
    <definedName name="下限" localSheetId="8">'Shore Tk'!$P$81</definedName>
    <definedName name="下限" localSheetId="9">'Shore Tk (2)'!$P$81</definedName>
    <definedName name="现场" localSheetId="15">Blank!$D$26</definedName>
    <definedName name="现场" localSheetId="0">Cover!$O$6</definedName>
    <definedName name="现场" localSheetId="1">'Discharge Summary'!$H$26</definedName>
    <definedName name="现场" localSheetId="2">'Load Summary'!$H$26</definedName>
    <definedName name="现场" localSheetId="14">'Load Summary (2)'!$H$26</definedName>
    <definedName name="现场" localSheetId="4">OBQ!$K$26</definedName>
    <definedName name="现场" localSheetId="3">Quantity!$H$26</definedName>
    <definedName name="现场" localSheetId="10">ROB!$K$26</definedName>
    <definedName name="现场" localSheetId="12">Sample!$D$26</definedName>
    <definedName name="现场" localSheetId="8">'Shore Tk'!$J$26</definedName>
    <definedName name="现场" localSheetId="9">'Shore Tk (2)'!$J$26</definedName>
    <definedName name="现场" localSheetId="13">'Time Log'!$D$26</definedName>
    <definedName name="现场" localSheetId="5">Ullage!$K$26</definedName>
    <definedName name="现场" localSheetId="11">VEF!$D$26</definedName>
    <definedName name="现场" localSheetId="7">'Vsl FW'!$D$26</definedName>
    <definedName name="现场" localSheetId="6">Wedge!$D$26</definedName>
    <definedName name="线胀系数单位" localSheetId="8">'Shore Tk'!$K$112</definedName>
    <definedName name="线胀系数单位" localSheetId="9">'Shore Tk (2)'!$K$112</definedName>
    <definedName name="卸货后" localSheetId="5">Ullage!$U$12</definedName>
    <definedName name="卸货前" localSheetId="5">Ullage!$U$11</definedName>
    <definedName name="修正后液位" localSheetId="5">Ullage!$U$79</definedName>
    <definedName name="液深" localSheetId="8">'Shore Tk'!$P$77</definedName>
    <definedName name="液深" localSheetId="9">'Shore Tk (2)'!$P$77</definedName>
    <definedName name="液位" localSheetId="5">Ullage!$U$81</definedName>
    <definedName name="液位工具" localSheetId="5">Ullage!$U$67:$U$70</definedName>
    <definedName name="液位系统" localSheetId="5">Ullage!$U$67</definedName>
    <definedName name="隐藏船名" localSheetId="15">Blank!$C$96</definedName>
    <definedName name="隐藏船名" localSheetId="0">Cover!$B$23</definedName>
    <definedName name="隐藏船名" localSheetId="1">'Discharge Summary'!$A$96</definedName>
    <definedName name="隐藏船名" localSheetId="2">'Load Summary'!$A$96</definedName>
    <definedName name="隐藏船名" localSheetId="14">'Load Summary (2)'!$A$96</definedName>
    <definedName name="隐藏船名" localSheetId="4">OBQ!$C$109</definedName>
    <definedName name="隐藏船名" localSheetId="3">Quantity!$A$96</definedName>
    <definedName name="隐藏船名" localSheetId="10">ROB!$C$109</definedName>
    <definedName name="隐藏船名" localSheetId="12">Sample!$A$96</definedName>
    <definedName name="隐藏船名" localSheetId="8">'Shore Tk'!$C$96</definedName>
    <definedName name="隐藏船名" localSheetId="9">'Shore Tk (2)'!$C$96</definedName>
    <definedName name="隐藏船名" localSheetId="13">'Time Log'!$C$96</definedName>
    <definedName name="隐藏船名" localSheetId="5">Ullage!$C$96</definedName>
    <definedName name="隐藏船名" localSheetId="11">VEF!$C$95</definedName>
    <definedName name="隐藏船名" localSheetId="7">'Vsl FW'!$C$95</definedName>
    <definedName name="隐藏船名" localSheetId="6">Wedge!$C$96</definedName>
    <definedName name="隐藏港口名称" localSheetId="15">Blank!$C$97</definedName>
    <definedName name="隐藏港口名称" localSheetId="0">Cover!$B$24</definedName>
    <definedName name="隐藏港口名称" localSheetId="1">'Discharge Summary'!$A$97</definedName>
    <definedName name="隐藏港口名称" localSheetId="2">'Load Summary'!$A$97</definedName>
    <definedName name="隐藏港口名称" localSheetId="14">'Load Summary (2)'!$A$97</definedName>
    <definedName name="隐藏港口名称" localSheetId="4">OBQ!$C$110</definedName>
    <definedName name="隐藏港口名称" localSheetId="3">Quantity!$A$97</definedName>
    <definedName name="隐藏港口名称" localSheetId="10">ROB!$C$110</definedName>
    <definedName name="隐藏港口名称" localSheetId="12">Sample!$A$97</definedName>
    <definedName name="隐藏港口名称" localSheetId="8">'Shore Tk'!$C$97</definedName>
    <definedName name="隐藏港口名称" localSheetId="9">'Shore Tk (2)'!$C$97</definedName>
    <definedName name="隐藏港口名称" localSheetId="13">'Time Log'!$C$97</definedName>
    <definedName name="隐藏港口名称" localSheetId="5">Ullage!$C$97</definedName>
    <definedName name="隐藏港口名称" localSheetId="11">VEF!$C$96</definedName>
    <definedName name="隐藏港口名称" localSheetId="7">'Vsl FW'!$C$96</definedName>
    <definedName name="隐藏港口名称" localSheetId="6">Wedge!$C$97</definedName>
    <definedName name="隐藏客户编号" localSheetId="15">Blank!$C$94</definedName>
    <definedName name="隐藏客户编号" localSheetId="0">Cover!$B$21</definedName>
    <definedName name="隐藏客户编号" localSheetId="1">'Discharge Summary'!$A$94</definedName>
    <definedName name="隐藏客户编号" localSheetId="2">'Load Summary'!$A$94</definedName>
    <definedName name="隐藏客户编号" localSheetId="14">'Load Summary (2)'!$A$94</definedName>
    <definedName name="隐藏客户编号" localSheetId="4">OBQ!$C$107</definedName>
    <definedName name="隐藏客户编号" localSheetId="3">Quantity!$A$94</definedName>
    <definedName name="隐藏客户编号" localSheetId="10">ROB!$C$107</definedName>
    <definedName name="隐藏客户编号" localSheetId="12">Sample!$A$94</definedName>
    <definedName name="隐藏客户编号" localSheetId="8">'Shore Tk'!$C$94</definedName>
    <definedName name="隐藏客户编号" localSheetId="9">'Shore Tk (2)'!$C$94</definedName>
    <definedName name="隐藏客户编号" localSheetId="13">'Time Log'!$C$94</definedName>
    <definedName name="隐藏客户编号" localSheetId="5">Ullage!$C$94</definedName>
    <definedName name="隐藏客户编号" localSheetId="11">VEF!$C$93</definedName>
    <definedName name="隐藏客户编号" localSheetId="7">'Vsl FW'!$C$93</definedName>
    <definedName name="隐藏客户编号" localSheetId="6">Wedge!$C$94</definedName>
    <definedName name="隐藏客户名称" localSheetId="15">Blank!$C$93</definedName>
    <definedName name="隐藏客户名称" localSheetId="0">Cover!$B$20</definedName>
    <definedName name="隐藏客户名称" localSheetId="1">'Discharge Summary'!$A$93</definedName>
    <definedName name="隐藏客户名称" localSheetId="2">'Load Summary'!$A$93</definedName>
    <definedName name="隐藏客户名称" localSheetId="14">'Load Summary (2)'!$A$93</definedName>
    <definedName name="隐藏客户名称" localSheetId="4">OBQ!$C$106</definedName>
    <definedName name="隐藏客户名称" localSheetId="3">Quantity!$A$93</definedName>
    <definedName name="隐藏客户名称" localSheetId="10">ROB!$C$106</definedName>
    <definedName name="隐藏客户名称" localSheetId="12">Sample!$A$93</definedName>
    <definedName name="隐藏客户名称" localSheetId="8">'Shore Tk'!$C$93</definedName>
    <definedName name="隐藏客户名称" localSheetId="9">'Shore Tk (2)'!$C$93</definedName>
    <definedName name="隐藏客户名称" localSheetId="13">'Time Log'!$C$93</definedName>
    <definedName name="隐藏客户名称" localSheetId="5">Ullage!$C$93</definedName>
    <definedName name="隐藏客户名称" localSheetId="11">VEF!$C$92</definedName>
    <definedName name="隐藏客户名称" localSheetId="7">'Vsl FW'!$C$92</definedName>
    <definedName name="隐藏客户名称" localSheetId="6">Wedge!$C$93</definedName>
    <definedName name="隐藏油库名称" localSheetId="15">Blank!$C$98</definedName>
    <definedName name="隐藏油库名称" localSheetId="0">Cover!$B$25</definedName>
    <definedName name="隐藏油库名称" localSheetId="1">'Discharge Summary'!$A$98</definedName>
    <definedName name="隐藏油库名称" localSheetId="2">'Load Summary'!$A$98</definedName>
    <definedName name="隐藏油库名称" localSheetId="14">'Load Summary (2)'!$A$98</definedName>
    <definedName name="隐藏油库名称" localSheetId="4">OBQ!$C$111</definedName>
    <definedName name="隐藏油库名称" localSheetId="3">Quantity!$A$98</definedName>
    <definedName name="隐藏油库名称" localSheetId="10">ROB!$C$111</definedName>
    <definedName name="隐藏油库名称" localSheetId="12">Sample!$A$98</definedName>
    <definedName name="隐藏油库名称" localSheetId="8">'Shore Tk'!$C$98</definedName>
    <definedName name="隐藏油库名称" localSheetId="9">'Shore Tk (2)'!$C$98</definedName>
    <definedName name="隐藏油库名称" localSheetId="13">'Time Log'!$C$98</definedName>
    <definedName name="隐藏油库名称" localSheetId="5">Ullage!$C$98</definedName>
    <definedName name="隐藏油库名称" localSheetId="11">VEF!$C$97</definedName>
    <definedName name="隐藏油库名称" localSheetId="7">'Vsl FW'!$C$97</definedName>
    <definedName name="隐藏油库名称" localSheetId="6">Wedge!$C$98</definedName>
    <definedName name="英文船名" localSheetId="15">Blank!$A$16</definedName>
    <definedName name="英文船名" localSheetId="0">Cover!$O$35</definedName>
    <definedName name="英文船名" localSheetId="1">'Discharge Summary'!$B$16</definedName>
    <definedName name="英文船名" localSheetId="2">'Load Summary'!$B$16</definedName>
    <definedName name="英文船名" localSheetId="14">'Load Summary (2)'!$B$16</definedName>
    <definedName name="英文船名" localSheetId="4">OBQ!$H$16</definedName>
    <definedName name="英文船名" localSheetId="3">Quantity!$B$16</definedName>
    <definedName name="英文船名" localSheetId="10">ROB!$H$16</definedName>
    <definedName name="英文船名" localSheetId="12">Sample!$A$16</definedName>
    <definedName name="英文船名" localSheetId="8">'Shore Tk'!$G$16</definedName>
    <definedName name="英文船名" localSheetId="9">'Shore Tk (2)'!$G$16</definedName>
    <definedName name="英文船名" localSheetId="13">'Time Log'!$A$16</definedName>
    <definedName name="英文船名" localSheetId="5">Ullage!$H$16</definedName>
    <definedName name="英文船名" localSheetId="11">VEF!$A$16</definedName>
    <definedName name="英文船名" localSheetId="7">'Vsl FW'!$A$16</definedName>
    <definedName name="英文船名" localSheetId="6">Wedge!$A$16</definedName>
    <definedName name="英文港口名" localSheetId="15">Blank!$A$17</definedName>
    <definedName name="英文港口名" localSheetId="0">Cover!$O$36</definedName>
    <definedName name="英文港口名" localSheetId="1">'Discharge Summary'!$B$17</definedName>
    <definedName name="英文港口名" localSheetId="2">'Load Summary'!$B$17</definedName>
    <definedName name="英文港口名" localSheetId="14">'Load Summary (2)'!$B$17</definedName>
    <definedName name="英文港口名" localSheetId="4">OBQ!$H$17</definedName>
    <definedName name="英文港口名" localSheetId="3">Quantity!$B$17</definedName>
    <definedName name="英文港口名" localSheetId="10">ROB!$H$17</definedName>
    <definedName name="英文港口名" localSheetId="12">Sample!$A$17</definedName>
    <definedName name="英文港口名" localSheetId="8">'Shore Tk'!$G$17</definedName>
    <definedName name="英文港口名" localSheetId="9">'Shore Tk (2)'!$G$17</definedName>
    <definedName name="英文港口名" localSheetId="13">'Time Log'!$A$17</definedName>
    <definedName name="英文港口名" localSheetId="5">Ullage!$H$17</definedName>
    <definedName name="英文港口名" localSheetId="11">VEF!$A$17</definedName>
    <definedName name="英文港口名" localSheetId="7">'Vsl FW'!$A$17</definedName>
    <definedName name="英文港口名" localSheetId="6">Wedge!$A$17</definedName>
    <definedName name="英文客户名" localSheetId="15">Blank!$A$13</definedName>
    <definedName name="英文客户名" localSheetId="0">Cover!$O$32</definedName>
    <definedName name="英文客户名" localSheetId="1">'Discharge Summary'!$B$13</definedName>
    <definedName name="英文客户名" localSheetId="2">'Load Summary'!$B$13</definedName>
    <definedName name="英文客户名" localSheetId="14">'Load Summary (2)'!$B$13</definedName>
    <definedName name="英文客户名" localSheetId="4">OBQ!$H$13</definedName>
    <definedName name="英文客户名" localSheetId="3">Quantity!$B$13</definedName>
    <definedName name="英文客户名" localSheetId="10">ROB!$H$13</definedName>
    <definedName name="英文客户名" localSheetId="12">Sample!$A$13</definedName>
    <definedName name="英文客户名" localSheetId="8">'Shore Tk'!$G$13</definedName>
    <definedName name="英文客户名" localSheetId="9">'Shore Tk (2)'!$G$13</definedName>
    <definedName name="英文客户名" localSheetId="13">'Time Log'!$A$13</definedName>
    <definedName name="英文客户名" localSheetId="5">Ullage!$H$13</definedName>
    <definedName name="英文客户名" localSheetId="11">VEF!$A$13</definedName>
    <definedName name="英文客户名" localSheetId="7">'Vsl FW'!$A$13</definedName>
    <definedName name="英文客户名" localSheetId="6">Wedge!$A$13</definedName>
    <definedName name="英文品名" localSheetId="15">Blank!$A$15</definedName>
    <definedName name="英文品名" localSheetId="0">Cover!$O$34</definedName>
    <definedName name="英文品名" localSheetId="1">'Discharge Summary'!$B$15</definedName>
    <definedName name="英文品名" localSheetId="2">'Load Summary'!$B$15</definedName>
    <definedName name="英文品名" localSheetId="14">'Load Summary (2)'!$B$15</definedName>
    <definedName name="英文品名" localSheetId="4">OBQ!$H$15</definedName>
    <definedName name="英文品名" localSheetId="3">Quantity!$B$15</definedName>
    <definedName name="英文品名" localSheetId="10">ROB!$H$15</definedName>
    <definedName name="英文品名" localSheetId="12">Sample!$A$15</definedName>
    <definedName name="英文品名" localSheetId="8">'Shore Tk'!$G$15</definedName>
    <definedName name="英文品名" localSheetId="9">'Shore Tk (2)'!$G$15</definedName>
    <definedName name="英文品名" localSheetId="13">'Time Log'!$A$15</definedName>
    <definedName name="英文品名" localSheetId="5">Ullage!$H$15</definedName>
    <definedName name="英文品名" localSheetId="11">VEF!$A$15</definedName>
    <definedName name="英文品名" localSheetId="7">'Vsl FW'!$A$15</definedName>
    <definedName name="英文品名" localSheetId="6">Wedge!$A$15</definedName>
    <definedName name="英文油库名" localSheetId="15">Blank!$A$18</definedName>
    <definedName name="英文油库名" localSheetId="0">Cover!$O$37</definedName>
    <definedName name="英文油库名" localSheetId="1">'Discharge Summary'!$B$18</definedName>
    <definedName name="英文油库名" localSheetId="2">'Load Summary'!$B$18</definedName>
    <definedName name="英文油库名" localSheetId="14">'Load Summary (2)'!$B$18</definedName>
    <definedName name="英文油库名" localSheetId="4">OBQ!$H$18</definedName>
    <definedName name="英文油库名" localSheetId="3">Quantity!$B$18</definedName>
    <definedName name="英文油库名" localSheetId="10">ROB!$H$18</definedName>
    <definedName name="英文油库名" localSheetId="12">Sample!$A$18</definedName>
    <definedName name="英文油库名" localSheetId="8">'Shore Tk'!$G$18</definedName>
    <definedName name="英文油库名" localSheetId="9">'Shore Tk (2)'!$G$18</definedName>
    <definedName name="英文油库名" localSheetId="13">'Time Log'!$A$18</definedName>
    <definedName name="英文油库名" localSheetId="5">Ullage!$H$18</definedName>
    <definedName name="英文油库名" localSheetId="11">VEF!$A$18</definedName>
    <definedName name="英文油库名" localSheetId="7">'Vsl FW'!$A$18</definedName>
    <definedName name="英文油库名" localSheetId="6">Wedge!$A$18</definedName>
    <definedName name="油库名" localSheetId="15">Blank!$C$18</definedName>
    <definedName name="油库名" localSheetId="1">'Discharge Summary'!$D$18</definedName>
    <definedName name="油库名" localSheetId="2">'Load Summary'!$D$18</definedName>
    <definedName name="油库名" localSheetId="14">'Load Summary (2)'!$D$18</definedName>
    <definedName name="油库名" localSheetId="4">OBQ!$J$18</definedName>
    <definedName name="油库名" localSheetId="3">Quantity!$D$18</definedName>
    <definedName name="油库名" localSheetId="10">ROB!$J$18</definedName>
    <definedName name="油库名" localSheetId="12">Sample!$C$18</definedName>
    <definedName name="油库名" localSheetId="8">'Shore Tk'!$I$18</definedName>
    <definedName name="油库名" localSheetId="9">'Shore Tk (2)'!$I$18</definedName>
    <definedName name="油库名" localSheetId="13">'Time Log'!$C$18</definedName>
    <definedName name="油库名" localSheetId="5">Ullage!$J$18</definedName>
    <definedName name="油库名" localSheetId="11">VEF!$C$18</definedName>
    <definedName name="油库名" localSheetId="7">'Vsl FW'!$C$18</definedName>
    <definedName name="油库名" localSheetId="6">Wedge!$C$18</definedName>
    <definedName name="油品分类序号" localSheetId="15">Blank!$E$3</definedName>
    <definedName name="油品分类序号" localSheetId="0">Cover!$P$12</definedName>
    <definedName name="油品分类序号" localSheetId="1">'Discharge Summary'!$I$3</definedName>
    <definedName name="油品分类序号" localSheetId="2">'Load Summary'!$I$3</definedName>
    <definedName name="油品分类序号" localSheetId="14">'Load Summary (2)'!$I$3</definedName>
    <definedName name="油品分类序号" localSheetId="4">OBQ!$L$3</definedName>
    <definedName name="油品分类序号" localSheetId="3">Quantity!$I$3</definedName>
    <definedName name="油品分类序号" localSheetId="10">ROB!$L$3</definedName>
    <definedName name="油品分类序号" localSheetId="12">Sample!$E$3</definedName>
    <definedName name="油品分类序号" localSheetId="8">'Shore Tk'!$K$3</definedName>
    <definedName name="油品分类序号" localSheetId="9">'Shore Tk (2)'!$K$3</definedName>
    <definedName name="油品分类序号" localSheetId="13">'Time Log'!$E$3</definedName>
    <definedName name="油品分类序号" localSheetId="5">Ullage!$L$3</definedName>
    <definedName name="油品分类序号" localSheetId="11">VEF!$E$3</definedName>
    <definedName name="油品分类序号" localSheetId="7">'Vsl FW'!$E$3</definedName>
    <definedName name="油品分类序号" localSheetId="6">Wedge!$E$3</definedName>
    <definedName name="油品类型" localSheetId="0">Cover!$Q$12</definedName>
    <definedName name="油品类型" localSheetId="4">OBQ!$M$3</definedName>
    <definedName name="油品类型" localSheetId="10">ROB!$M$3</definedName>
    <definedName name="油品类型" localSheetId="8">'Shore Tk'!$L$3</definedName>
    <definedName name="油品类型" localSheetId="9">'Shore Tk (2)'!$L$3</definedName>
    <definedName name="油品类型" localSheetId="5">Ullage!$M$3</definedName>
    <definedName name="油温" localSheetId="8">'Shore Tk'!$P$54</definedName>
    <definedName name="油温" localSheetId="9">'Shore Tk (2)'!$P$54</definedName>
    <definedName name="油温单位" localSheetId="8">'Shore Tk'!$K$124</definedName>
    <definedName name="油温单位" localSheetId="9">'Shore Tk (2)'!$K$124</definedName>
    <definedName name="游离水表体积" localSheetId="8">'Shore Tk'!$S$7</definedName>
    <definedName name="游离水表体积" localSheetId="9">'Shore Tk (2)'!$S$7</definedName>
    <definedName name="语言序号" localSheetId="15">Blank!$E$1</definedName>
    <definedName name="语言序号" localSheetId="0">Cover!$P$4</definedName>
    <definedName name="语言序号" localSheetId="1">'Discharge Summary'!$I$1</definedName>
    <definedName name="语言序号" localSheetId="2">'Load Summary'!$I$1</definedName>
    <definedName name="语言序号" localSheetId="14">'Load Summary (2)'!$I$1</definedName>
    <definedName name="语言序号" localSheetId="4">OBQ!$L$1</definedName>
    <definedName name="语言序号" localSheetId="3">Quantity!$I$1</definedName>
    <definedName name="语言序号" localSheetId="10">ROB!$L$1</definedName>
    <definedName name="语言序号" localSheetId="12">Sample!$E$1</definedName>
    <definedName name="语言序号" localSheetId="8">'Shore Tk'!$K$1</definedName>
    <definedName name="语言序号" localSheetId="9">'Shore Tk (2)'!$K$1</definedName>
    <definedName name="语言序号" localSheetId="13">'Time Log'!$E$1</definedName>
    <definedName name="语言序号" localSheetId="5">Ullage!$L$1</definedName>
    <definedName name="语言序号" localSheetId="11">VEF!$E$1</definedName>
    <definedName name="语言序号" localSheetId="7">'Vsl FW'!$E$1</definedName>
    <definedName name="语言序号" localSheetId="6">Wedge!$E$1</definedName>
    <definedName name="正式" localSheetId="15">Blank!$D$27</definedName>
    <definedName name="正式" localSheetId="0">Cover!$O$7</definedName>
    <definedName name="正式" localSheetId="1">'Discharge Summary'!$H$27</definedName>
    <definedName name="正式" localSheetId="2">'Load Summary'!$H$27</definedName>
    <definedName name="正式" localSheetId="14">'Load Summary (2)'!$H$27</definedName>
    <definedName name="正式" localSheetId="4">OBQ!$K$27</definedName>
    <definedName name="正式" localSheetId="3">Quantity!$H$27</definedName>
    <definedName name="正式" localSheetId="10">ROB!$K$27</definedName>
    <definedName name="正式" localSheetId="12">Sample!$D$27</definedName>
    <definedName name="正式" localSheetId="8">'Shore Tk'!$J$27</definedName>
    <definedName name="正式" localSheetId="9">'Shore Tk (2)'!$J$27</definedName>
    <definedName name="正式" localSheetId="13">'Time Log'!$D$27</definedName>
    <definedName name="正式" localSheetId="5">Ullage!$K$27</definedName>
    <definedName name="正式" localSheetId="11">VEF!$D$27</definedName>
    <definedName name="正式" localSheetId="7">'Vsl FW'!$D$27</definedName>
    <definedName name="正式" localSheetId="6">Wedge!$D$27</definedName>
    <definedName name="中浪" localSheetId="5">Ullage!$U$44</definedName>
    <definedName name="中文船名" localSheetId="15">Blank!$B$16</definedName>
    <definedName name="中文船名" localSheetId="0">Cover!$P$35</definedName>
    <definedName name="中文船名" localSheetId="1">'Discharge Summary'!$C$16</definedName>
    <definedName name="中文船名" localSheetId="2">'Load Summary'!$C$16</definedName>
    <definedName name="中文船名" localSheetId="14">'Load Summary (2)'!$C$16</definedName>
    <definedName name="中文船名" localSheetId="4">OBQ!$I$16</definedName>
    <definedName name="中文船名" localSheetId="3">Quantity!$C$16</definedName>
    <definedName name="中文船名" localSheetId="10">ROB!$I$16</definedName>
    <definedName name="中文船名" localSheetId="12">Sample!$B$16</definedName>
    <definedName name="中文船名" localSheetId="8">'Shore Tk'!$H$16</definedName>
    <definedName name="中文船名" localSheetId="9">'Shore Tk (2)'!$H$16</definedName>
    <definedName name="中文船名" localSheetId="13">'Time Log'!$B$16</definedName>
    <definedName name="中文船名" localSheetId="5">Ullage!$I$16</definedName>
    <definedName name="中文船名" localSheetId="11">VEF!$B$16</definedName>
    <definedName name="中文船名" localSheetId="7">'Vsl FW'!$B$16</definedName>
    <definedName name="中文船名" localSheetId="6">Wedge!$B$16</definedName>
    <definedName name="中文港口名" localSheetId="15">Blank!$B$17</definedName>
    <definedName name="中文港口名" localSheetId="0">Cover!$P$36</definedName>
    <definedName name="中文港口名" localSheetId="1">'Discharge Summary'!$C$17</definedName>
    <definedName name="中文港口名" localSheetId="2">'Load Summary'!$C$17</definedName>
    <definedName name="中文港口名" localSheetId="14">'Load Summary (2)'!$C$17</definedName>
    <definedName name="中文港口名" localSheetId="4">OBQ!$I$17</definedName>
    <definedName name="中文港口名" localSheetId="3">Quantity!$C$17</definedName>
    <definedName name="中文港口名" localSheetId="10">ROB!$I$17</definedName>
    <definedName name="中文港口名" localSheetId="12">Sample!$B$17</definedName>
    <definedName name="中文港口名" localSheetId="8">'Shore Tk'!$H$17</definedName>
    <definedName name="中文港口名" localSheetId="9">'Shore Tk (2)'!$H$17</definedName>
    <definedName name="中文港口名" localSheetId="13">'Time Log'!$B$17</definedName>
    <definedName name="中文港口名" localSheetId="5">Ullage!$I$17</definedName>
    <definedName name="中文港口名" localSheetId="11">VEF!$B$17</definedName>
    <definedName name="中文港口名" localSheetId="7">'Vsl FW'!$B$17</definedName>
    <definedName name="中文港口名" localSheetId="6">Wedge!$B$17</definedName>
    <definedName name="中文客户名" localSheetId="15">Blank!$B$13</definedName>
    <definedName name="中文客户名" localSheetId="0">Cover!$P$32</definedName>
    <definedName name="中文客户名" localSheetId="1">'Discharge Summary'!$C$13</definedName>
    <definedName name="中文客户名" localSheetId="2">'Load Summary'!$C$13</definedName>
    <definedName name="中文客户名" localSheetId="14">'Load Summary (2)'!$C$13</definedName>
    <definedName name="中文客户名" localSheetId="4">OBQ!$I$13</definedName>
    <definedName name="中文客户名" localSheetId="3">Quantity!$C$13</definedName>
    <definedName name="中文客户名" localSheetId="10">ROB!$I$13</definedName>
    <definedName name="中文客户名" localSheetId="12">Sample!$B$13</definedName>
    <definedName name="中文客户名" localSheetId="8">'Shore Tk'!$H$13</definedName>
    <definedName name="中文客户名" localSheetId="9">'Shore Tk (2)'!$H$13</definedName>
    <definedName name="中文客户名" localSheetId="13">'Time Log'!$B$13</definedName>
    <definedName name="中文客户名" localSheetId="5">Ullage!$I$13</definedName>
    <definedName name="中文客户名" localSheetId="11">VEF!$B$13</definedName>
    <definedName name="中文客户名" localSheetId="7">'Vsl FW'!$B$13</definedName>
    <definedName name="中文客户名" localSheetId="6">Wedge!$B$13</definedName>
    <definedName name="中文品名" localSheetId="15">Blank!$B$15</definedName>
    <definedName name="中文品名" localSheetId="0">Cover!$P$34</definedName>
    <definedName name="中文品名" localSheetId="1">'Discharge Summary'!$C$15</definedName>
    <definedName name="中文品名" localSheetId="2">'Load Summary'!$C$15</definedName>
    <definedName name="中文品名" localSheetId="14">'Load Summary (2)'!$C$15</definedName>
    <definedName name="中文品名" localSheetId="4">OBQ!$I$15</definedName>
    <definedName name="中文品名" localSheetId="3">Quantity!$C$15</definedName>
    <definedName name="中文品名" localSheetId="10">ROB!$I$15</definedName>
    <definedName name="中文品名" localSheetId="12">Sample!$B$15</definedName>
    <definedName name="中文品名" localSheetId="8">'Shore Tk'!$H$15</definedName>
    <definedName name="中文品名" localSheetId="9">'Shore Tk (2)'!$H$15</definedName>
    <definedName name="中文品名" localSheetId="13">'Time Log'!$B$15</definedName>
    <definedName name="中文品名" localSheetId="5">Ullage!$I$15</definedName>
    <definedName name="中文品名" localSheetId="11">VEF!$B$15</definedName>
    <definedName name="中文品名" localSheetId="7">'Vsl FW'!$B$15</definedName>
    <definedName name="中文品名" localSheetId="6">Wedge!$B$15</definedName>
    <definedName name="中文油库名" localSheetId="15">Blank!$B$18</definedName>
    <definedName name="中文油库名" localSheetId="0">Cover!$P$37</definedName>
    <definedName name="中文油库名" localSheetId="1">'Discharge Summary'!$C$18</definedName>
    <definedName name="中文油库名" localSheetId="2">'Load Summary'!$C$18</definedName>
    <definedName name="中文油库名" localSheetId="14">'Load Summary (2)'!$C$18</definedName>
    <definedName name="中文油库名" localSheetId="4">OBQ!$I$18</definedName>
    <definedName name="中文油库名" localSheetId="3">Quantity!$C$18</definedName>
    <definedName name="中文油库名" localSheetId="10">ROB!$I$18</definedName>
    <definedName name="中文油库名" localSheetId="12">Sample!$B$18</definedName>
    <definedName name="中文油库名" localSheetId="8">'Shore Tk'!$H$18</definedName>
    <definedName name="中文油库名" localSheetId="9">'Shore Tk (2)'!$H$18</definedName>
    <definedName name="中文油库名" localSheetId="13">'Time Log'!$B$18</definedName>
    <definedName name="中文油库名" localSheetId="5">Ullage!$I$18</definedName>
    <definedName name="中文油库名" localSheetId="11">VEF!$B$18</definedName>
    <definedName name="中文油库名" localSheetId="7">'Vsl FW'!$B$18</definedName>
    <definedName name="中文油库名" localSheetId="6">Wedge!$B$18</definedName>
    <definedName name="装货后" localSheetId="5">Ullage!$U$14</definedName>
    <definedName name="装货前" localSheetId="5">Ullage!$U$13</definedName>
  </definedNames>
  <calcPr calcId="144525"/>
</workbook>
</file>

<file path=xl/sharedStrings.xml><?xml version="1.0" encoding="utf-8"?>
<sst xmlns="http://schemas.openxmlformats.org/spreadsheetml/2006/main" count="6334" uniqueCount="1399">
  <si>
    <r>
      <rPr>
        <b/>
        <sz val="9"/>
        <color theme="0"/>
        <rFont val="微软雅黑"/>
        <charset val="134"/>
      </rPr>
      <t>报告语言</t>
    </r>
    <r>
      <rPr>
        <b/>
        <sz val="9"/>
        <color theme="0"/>
        <rFont val="Arial"/>
        <charset val="134"/>
      </rPr>
      <t xml:space="preserve"> Report Language</t>
    </r>
  </si>
  <si>
    <t>中文 Chinese</t>
  </si>
  <si>
    <t>英文 English</t>
  </si>
  <si>
    <t>现场报告 Field Report</t>
  </si>
  <si>
    <t>正式报告 Official Report</t>
  </si>
  <si>
    <t>ASTM D1250-1980</t>
  </si>
  <si>
    <t>API MPMS 11.5 (2013)</t>
  </si>
  <si>
    <r>
      <rPr>
        <sz val="8"/>
        <color theme="1"/>
        <rFont val="Arial"/>
        <charset val="134"/>
      </rPr>
      <t>A--</t>
    </r>
    <r>
      <rPr>
        <sz val="8"/>
        <color theme="1"/>
        <rFont val="宋体"/>
        <charset val="134"/>
      </rPr>
      <t>原油</t>
    </r>
    <r>
      <rPr>
        <sz val="8"/>
        <color theme="1"/>
        <rFont val="Arial"/>
        <charset val="134"/>
      </rPr>
      <t xml:space="preserve"> Crude Oil</t>
    </r>
  </si>
  <si>
    <r>
      <rPr>
        <sz val="8"/>
        <color theme="1"/>
        <rFont val="Arial"/>
        <charset val="134"/>
      </rPr>
      <t>B--</t>
    </r>
    <r>
      <rPr>
        <sz val="8"/>
        <color theme="1"/>
        <rFont val="宋体"/>
        <charset val="134"/>
      </rPr>
      <t>成品油</t>
    </r>
    <r>
      <rPr>
        <sz val="8"/>
        <color theme="1"/>
        <rFont val="Arial"/>
        <charset val="134"/>
      </rPr>
      <t xml:space="preserve"> Refined Products</t>
    </r>
  </si>
  <si>
    <t>检验员姓名</t>
  </si>
  <si>
    <t>习大大.特朗普.普京.金三胖</t>
  </si>
  <si>
    <r>
      <rPr>
        <sz val="8"/>
        <color theme="1"/>
        <rFont val="Arial"/>
        <charset val="134"/>
      </rPr>
      <t>C--</t>
    </r>
    <r>
      <rPr>
        <sz val="8"/>
        <color theme="1"/>
        <rFont val="宋体"/>
        <charset val="134"/>
      </rPr>
      <t>特殊应用</t>
    </r>
    <r>
      <rPr>
        <sz val="8"/>
        <color theme="1"/>
        <rFont val="Arial"/>
        <charset val="134"/>
      </rPr>
      <t xml:space="preserve"> Special Application</t>
    </r>
  </si>
  <si>
    <r>
      <rPr>
        <sz val="8"/>
        <color theme="1"/>
        <rFont val="Arial"/>
        <charset val="134"/>
      </rPr>
      <t>D--</t>
    </r>
    <r>
      <rPr>
        <sz val="8"/>
        <color theme="1"/>
        <rFont val="宋体"/>
        <charset val="134"/>
      </rPr>
      <t>滑油类</t>
    </r>
    <r>
      <rPr>
        <sz val="8"/>
        <color theme="1"/>
        <rFont val="Arial"/>
        <charset val="134"/>
      </rPr>
      <t xml:space="preserve"> Lubricating Oils</t>
    </r>
  </si>
  <si>
    <r>
      <rPr>
        <b/>
        <sz val="8"/>
        <color theme="0"/>
        <rFont val="微软雅黑"/>
        <charset val="134"/>
      </rPr>
      <t>英文</t>
    </r>
    <r>
      <rPr>
        <b/>
        <sz val="8"/>
        <color theme="0"/>
        <rFont val="Arial"/>
        <charset val="134"/>
      </rPr>
      <t xml:space="preserve"> English</t>
    </r>
  </si>
  <si>
    <r>
      <rPr>
        <b/>
        <sz val="8"/>
        <color theme="0"/>
        <rFont val="微软雅黑"/>
        <charset val="134"/>
      </rPr>
      <t>中文</t>
    </r>
    <r>
      <rPr>
        <b/>
        <sz val="8"/>
        <color theme="0"/>
        <rFont val="Arial"/>
        <charset val="134"/>
      </rPr>
      <t xml:space="preserve"> Chinese</t>
    </r>
  </si>
  <si>
    <t>JOB NO.</t>
  </si>
  <si>
    <r>
      <rPr>
        <sz val="8"/>
        <color theme="1"/>
        <rFont val="微软雅黑"/>
        <charset val="134"/>
      </rPr>
      <t>工作单号</t>
    </r>
  </si>
  <si>
    <t>DATE OF REPORT</t>
  </si>
  <si>
    <r>
      <rPr>
        <sz val="8"/>
        <color theme="1"/>
        <rFont val="微软雅黑"/>
        <charset val="134"/>
      </rPr>
      <t>报告日期</t>
    </r>
  </si>
  <si>
    <t>隐藏客户名称</t>
  </si>
  <si>
    <t>APPLICANT</t>
  </si>
  <si>
    <r>
      <rPr>
        <sz val="8"/>
        <color theme="1"/>
        <rFont val="微软雅黑"/>
        <charset val="134"/>
      </rPr>
      <t>申请人</t>
    </r>
  </si>
  <si>
    <t>隐藏客户编号</t>
  </si>
  <si>
    <t>CLIENT'S REF. NO.</t>
  </si>
  <si>
    <r>
      <rPr>
        <sz val="8"/>
        <color theme="1"/>
        <rFont val="微软雅黑"/>
        <charset val="134"/>
      </rPr>
      <t>客户参考编号</t>
    </r>
  </si>
  <si>
    <t>COMMODITY</t>
  </si>
  <si>
    <r>
      <rPr>
        <sz val="8"/>
        <color theme="1"/>
        <rFont val="微软雅黑"/>
        <charset val="134"/>
      </rPr>
      <t>货物</t>
    </r>
  </si>
  <si>
    <t>隐藏船名</t>
  </si>
  <si>
    <t>VESSEL</t>
  </si>
  <si>
    <r>
      <rPr>
        <sz val="8"/>
        <color theme="1"/>
        <rFont val="微软雅黑"/>
        <charset val="134"/>
      </rPr>
      <t>船名</t>
    </r>
  </si>
  <si>
    <t>隐藏港口名称</t>
  </si>
  <si>
    <t>PORT</t>
  </si>
  <si>
    <r>
      <rPr>
        <sz val="8"/>
        <color theme="1"/>
        <rFont val="微软雅黑"/>
        <charset val="134"/>
      </rPr>
      <t>港口</t>
    </r>
  </si>
  <si>
    <t>隐藏油库名称</t>
  </si>
  <si>
    <t>TERMINAL</t>
  </si>
  <si>
    <r>
      <rPr>
        <sz val="8"/>
        <color theme="1"/>
        <rFont val="微软雅黑"/>
        <charset val="134"/>
      </rPr>
      <t>油库</t>
    </r>
  </si>
  <si>
    <t>DATE OF INSPECTION</t>
  </si>
  <si>
    <r>
      <rPr>
        <sz val="8"/>
        <color theme="1"/>
        <rFont val="微软雅黑"/>
        <charset val="134"/>
      </rPr>
      <t>检验日期</t>
    </r>
  </si>
  <si>
    <t>CONTENTS</t>
  </si>
  <si>
    <r>
      <rPr>
        <sz val="8"/>
        <color theme="1"/>
        <rFont val="微软雅黑"/>
        <charset val="134"/>
      </rPr>
      <t>目录</t>
    </r>
  </si>
  <si>
    <t>SUPPORTING DOCUMENTS</t>
  </si>
  <si>
    <r>
      <rPr>
        <sz val="8"/>
        <color theme="1"/>
        <rFont val="微软雅黑"/>
        <charset val="134"/>
      </rPr>
      <t>支持文件</t>
    </r>
  </si>
  <si>
    <t>Pages</t>
  </si>
  <si>
    <r>
      <rPr>
        <sz val="8"/>
        <color theme="1"/>
        <rFont val="微软雅黑"/>
        <charset val="134"/>
      </rPr>
      <t>页数</t>
    </r>
  </si>
  <si>
    <t>SG0020031202-I</t>
  </si>
  <si>
    <t>这就是爱</t>
  </si>
  <si>
    <t>YYYY-MM-DD</t>
  </si>
  <si>
    <t>Certificate of Quality</t>
  </si>
  <si>
    <t xml:space="preserve">PETROCHINA </t>
  </si>
  <si>
    <t>中石油国际（</t>
  </si>
  <si>
    <t>DG3242342</t>
  </si>
  <si>
    <t>说也说不清楚</t>
  </si>
  <si>
    <t>Crude Oil6658</t>
  </si>
  <si>
    <t>就是伊</t>
  </si>
  <si>
    <t>MT ZhenYuanefdasdf</t>
  </si>
  <si>
    <t xml:space="preserve">MT </t>
  </si>
  <si>
    <t>Dalian, Chinafsadfa</t>
  </si>
  <si>
    <t>大唐黄金港</t>
  </si>
  <si>
    <t>Dalian Chinaoil, China1325415</t>
  </si>
  <si>
    <t>天朝大唐免税库</t>
  </si>
  <si>
    <t>YYYY-MM-DD To YYYY-MM-DD</t>
  </si>
  <si>
    <t>INSPECTION REPORT</t>
  </si>
  <si>
    <t>检验报告</t>
  </si>
  <si>
    <t>DISCHARGING INSPECTION</t>
  </si>
  <si>
    <t>卸货检验</t>
  </si>
  <si>
    <t>Bunker Report</t>
  </si>
  <si>
    <t>LOADING INSPECTION</t>
  </si>
  <si>
    <t>装货检验</t>
  </si>
  <si>
    <t>ITT INSPECTION</t>
  </si>
  <si>
    <t>岸罐转输检验</t>
  </si>
  <si>
    <t>STS INSPECTION</t>
  </si>
  <si>
    <t>船对船过驳检验</t>
  </si>
  <si>
    <t>INVENTORY INSPECTION</t>
  </si>
  <si>
    <t>库存盘点检验</t>
  </si>
  <si>
    <t>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t>
  </si>
  <si>
    <t>本证书/报告仅反映本公司检验当时当地之检验结果。本证书/报告的签发并不免除合约所规定的贸易双方的权利和义务，与此相反的规定对我方无约束力。未经本公司批准不得复制（全文复制除外）本证书/报告。</t>
  </si>
  <si>
    <t xml:space="preserve"> To </t>
  </si>
  <si>
    <t xml:space="preserve"> 至 </t>
  </si>
  <si>
    <t>Obtaining shore tank(s) open sample</t>
  </si>
  <si>
    <t>取岸罐前尺杨</t>
  </si>
  <si>
    <t>JOB NO.:</t>
  </si>
  <si>
    <r>
      <rPr>
        <sz val="8"/>
        <color theme="1"/>
        <rFont val="微软雅黑"/>
        <charset val="134"/>
      </rPr>
      <t>工作单号</t>
    </r>
    <r>
      <rPr>
        <sz val="8"/>
        <color theme="1"/>
        <rFont val="宋体"/>
        <charset val="134"/>
      </rPr>
      <t>：</t>
    </r>
  </si>
  <si>
    <t>Perform shore tank(s) open measurent</t>
  </si>
  <si>
    <t>岸罐前尺计量</t>
  </si>
  <si>
    <t>DATE OF REPORT:</t>
  </si>
  <si>
    <r>
      <rPr>
        <sz val="8"/>
        <color theme="1"/>
        <rFont val="微软雅黑"/>
        <charset val="134"/>
      </rPr>
      <t>报告日期</t>
    </r>
    <r>
      <rPr>
        <sz val="8"/>
        <color theme="1"/>
        <rFont val="宋体"/>
        <charset val="134"/>
      </rPr>
      <t>：</t>
    </r>
  </si>
  <si>
    <t>Obtaining shore tank(s) close sample</t>
  </si>
  <si>
    <t>取岸罐后尺样</t>
  </si>
  <si>
    <t>T-6A</t>
  </si>
  <si>
    <t>Perform shore tank(s) close measurent</t>
  </si>
  <si>
    <t>岸罐后尺计量</t>
  </si>
  <si>
    <t>T-6B</t>
  </si>
  <si>
    <t>T-6C</t>
  </si>
  <si>
    <t>End of sea passage</t>
  </si>
  <si>
    <t>航行结束</t>
  </si>
  <si>
    <t>T-6D</t>
  </si>
  <si>
    <t>Notice of readiness tendered</t>
  </si>
  <si>
    <t>备妥通知书发出</t>
  </si>
  <si>
    <t>T-24A</t>
  </si>
  <si>
    <t>Notice of readiness accepted</t>
  </si>
  <si>
    <t>备妥通知书接受</t>
  </si>
  <si>
    <t>T-24B</t>
  </si>
  <si>
    <t>Pilot on board</t>
  </si>
  <si>
    <t>领航员上船</t>
  </si>
  <si>
    <t>T-24C</t>
  </si>
  <si>
    <t>First line ashore</t>
  </si>
  <si>
    <t>首缆上岸</t>
  </si>
  <si>
    <t>T-24D</t>
  </si>
  <si>
    <t>Docked (Gangway in place)</t>
  </si>
  <si>
    <t>停驻（舷梯放置就位）</t>
  </si>
  <si>
    <t>T-54A</t>
  </si>
  <si>
    <t>All fast</t>
  </si>
  <si>
    <t>所有缆绳全部系妥</t>
  </si>
  <si>
    <t>T-54B</t>
  </si>
  <si>
    <t>Vessel cleared by governmental official</t>
  </si>
  <si>
    <t>官方联检结束</t>
  </si>
  <si>
    <t>T-54C</t>
  </si>
  <si>
    <t>DG3242343</t>
  </si>
  <si>
    <t>Surveyor on board</t>
  </si>
  <si>
    <t>检验员登轮</t>
  </si>
  <si>
    <t>T-54D</t>
  </si>
  <si>
    <t>Key meeting held</t>
  </si>
  <si>
    <t>操作前会议</t>
  </si>
  <si>
    <t>T-60A</t>
  </si>
  <si>
    <t>Vessel tanks sampling</t>
  </si>
  <si>
    <t>船舱取样</t>
  </si>
  <si>
    <t>T-60B</t>
  </si>
  <si>
    <t>Vessel tanks measurement</t>
  </si>
  <si>
    <t>船舱计量</t>
  </si>
  <si>
    <t>T-60C</t>
  </si>
  <si>
    <t>Calculation and figures agreed</t>
  </si>
  <si>
    <t>计算、数量确认</t>
  </si>
  <si>
    <t>T-60D</t>
  </si>
  <si>
    <t>YYYY-MM-DD -- YYYY-MM-DD</t>
  </si>
  <si>
    <t xml:space="preserve">       Arms/          Hoses connected</t>
  </si>
  <si>
    <r>
      <rPr>
        <sz val="8"/>
        <color theme="1"/>
        <rFont val="Arial"/>
        <charset val="134"/>
      </rPr>
      <t xml:space="preserve">       </t>
    </r>
    <r>
      <rPr>
        <sz val="8"/>
        <color theme="1"/>
        <rFont val="宋体"/>
        <charset val="134"/>
      </rPr>
      <t>输油臂/        输油管接妥</t>
    </r>
  </si>
  <si>
    <t>T-6</t>
  </si>
  <si>
    <t>Density@15℃ (g/cm³)</t>
  </si>
  <si>
    <t>密度(15℃, g/cm³)</t>
  </si>
  <si>
    <t>Samples analysis passed</t>
  </si>
  <si>
    <t>样品分析通过</t>
  </si>
  <si>
    <t>T-24</t>
  </si>
  <si>
    <t>Density@20℃ (g/cm³)</t>
  </si>
  <si>
    <t>密度(20℃, g/cm³)</t>
  </si>
  <si>
    <t>Commenced discharge</t>
  </si>
  <si>
    <t>开始卸货</t>
  </si>
  <si>
    <t>API@60℉</t>
  </si>
  <si>
    <t>Suspended discharge for line displacement verification</t>
  </si>
  <si>
    <t>暂停卸货，验证管线置换</t>
  </si>
  <si>
    <t>S.G.@60℉/60℉</t>
  </si>
  <si>
    <t>相对密度(60℉/60℉)</t>
  </si>
  <si>
    <t>Resumed discharge</t>
  </si>
  <si>
    <t>重新开始卸货</t>
  </si>
  <si>
    <t>α60℉ (1/℉)</t>
  </si>
  <si>
    <t>温度膨胀系数60℉ (1/℉)</t>
  </si>
  <si>
    <t>Completed discharge</t>
  </si>
  <si>
    <t>卸货完毕</t>
  </si>
  <si>
    <t>α60℉ (1/℃)</t>
  </si>
  <si>
    <t>温度膨胀系数60℉ (1/℃)</t>
  </si>
  <si>
    <t>Vessel tanks inspection</t>
  </si>
  <si>
    <t>验舱</t>
  </si>
  <si>
    <t>Density@15℃ (kg/m³)</t>
  </si>
  <si>
    <t>密度 (15℃ kg/m³)</t>
  </si>
  <si>
    <t xml:space="preserve">       Arms/          Hoses disconnected</t>
  </si>
  <si>
    <r>
      <rPr>
        <sz val="8"/>
        <color theme="1"/>
        <rFont val="Arial"/>
        <charset val="134"/>
      </rPr>
      <t xml:space="preserve">       </t>
    </r>
    <r>
      <rPr>
        <sz val="8"/>
        <color theme="1"/>
        <rFont val="宋体"/>
        <charset val="134"/>
      </rPr>
      <t>输油臂/        输油管分离</t>
    </r>
  </si>
  <si>
    <r>
      <rPr>
        <sz val="8"/>
        <color theme="1"/>
        <rFont val="宋体"/>
        <charset val="134"/>
      </rPr>
      <t>现场报告</t>
    </r>
    <r>
      <rPr>
        <sz val="8"/>
        <color theme="1"/>
        <rFont val="宋体"/>
        <charset val="134"/>
      </rPr>
      <t xml:space="preserve"> Field Report</t>
    </r>
  </si>
  <si>
    <t>Shore Received Quantity (Flow Meter)</t>
  </si>
  <si>
    <t>Density@20℃ (kg/m³)</t>
  </si>
  <si>
    <t>密度 (20℃ kg/m³)</t>
  </si>
  <si>
    <t>Filling out documents and sign</t>
  </si>
  <si>
    <t>完成并签署相关文件</t>
  </si>
  <si>
    <r>
      <rPr>
        <sz val="8"/>
        <color theme="1"/>
        <rFont val="宋体"/>
        <charset val="134"/>
      </rPr>
      <t>正式报告</t>
    </r>
    <r>
      <rPr>
        <sz val="8"/>
        <color theme="1"/>
        <rFont val="Arial"/>
        <charset val="134"/>
      </rPr>
      <t xml:space="preserve"> Official Report</t>
    </r>
  </si>
  <si>
    <t>Shore Tanks Received Quantity</t>
  </si>
  <si>
    <t>API(60℉)</t>
  </si>
  <si>
    <t>Commenced load</t>
  </si>
  <si>
    <t>开始装货</t>
  </si>
  <si>
    <t>Total Lighter Received Quantity</t>
  </si>
  <si>
    <t>相对密度(@60℉/60℉)</t>
  </si>
  <si>
    <t>1st foot sampling</t>
  </si>
  <si>
    <t>取一英尺样</t>
  </si>
  <si>
    <t>Total Tank Cars received Quantity</t>
  </si>
  <si>
    <r>
      <rPr>
        <sz val="8"/>
        <color theme="1"/>
        <rFont val="Arial"/>
        <charset val="134"/>
      </rPr>
      <t>WCF MT(in air)/m³@15</t>
    </r>
    <r>
      <rPr>
        <sz val="8"/>
        <color indexed="8"/>
        <rFont val="Segoe UI Symbol"/>
        <charset val="134"/>
      </rPr>
      <t xml:space="preserve">℃ </t>
    </r>
    <r>
      <rPr>
        <sz val="8"/>
        <color rgb="FF000000"/>
        <rFont val="Arial"/>
        <charset val="134"/>
      </rPr>
      <t>[T-56]</t>
    </r>
  </si>
  <si>
    <r>
      <rPr>
        <sz val="8"/>
        <color indexed="8"/>
        <rFont val="宋体"/>
        <charset val="134"/>
      </rPr>
      <t>重量转换系数</t>
    </r>
    <r>
      <rPr>
        <sz val="8"/>
        <color indexed="8"/>
        <rFont val="Arial"/>
        <charset val="134"/>
      </rPr>
      <t xml:space="preserve"> </t>
    </r>
    <r>
      <rPr>
        <sz val="8"/>
        <color indexed="8"/>
        <rFont val="宋体"/>
        <charset val="134"/>
      </rPr>
      <t>公吨(空气中)</t>
    </r>
    <r>
      <rPr>
        <sz val="8"/>
        <color indexed="8"/>
        <rFont val="Arial"/>
        <charset val="134"/>
      </rPr>
      <t>/</t>
    </r>
    <r>
      <rPr>
        <sz val="8"/>
        <color indexed="8"/>
        <rFont val="宋体"/>
        <charset val="134"/>
      </rPr>
      <t>立方米(</t>
    </r>
    <r>
      <rPr>
        <sz val="8"/>
        <color rgb="FF000000"/>
        <rFont val="Arial"/>
        <charset val="134"/>
      </rPr>
      <t>15</t>
    </r>
    <r>
      <rPr>
        <sz val="8"/>
        <color rgb="FF000000"/>
        <rFont val="Segoe UI Symbol"/>
        <charset val="134"/>
      </rPr>
      <t>℃</t>
    </r>
    <r>
      <rPr>
        <sz val="8"/>
        <color indexed="8"/>
        <rFont val="宋体"/>
        <charset val="134"/>
      </rPr>
      <t xml:space="preserve">) </t>
    </r>
    <r>
      <rPr>
        <sz val="8"/>
        <color rgb="FF000000"/>
        <rFont val="Arial"/>
        <charset val="134"/>
      </rPr>
      <t>[T-56]</t>
    </r>
  </si>
  <si>
    <t>1st foot samples analysis passed</t>
  </si>
  <si>
    <t>一英尺样分析通过</t>
  </si>
  <si>
    <t>Total Received Quantity</t>
  </si>
  <si>
    <r>
      <rPr>
        <sz val="8"/>
        <color theme="1"/>
        <rFont val="Arial"/>
        <charset val="134"/>
      </rPr>
      <t>WCF MT(in air)/m³@15</t>
    </r>
    <r>
      <rPr>
        <sz val="8"/>
        <color indexed="8"/>
        <rFont val="Segoe UI Symbol"/>
        <charset val="134"/>
      </rPr>
      <t>℃</t>
    </r>
  </si>
  <si>
    <r>
      <rPr>
        <sz val="8"/>
        <color indexed="8"/>
        <rFont val="宋体"/>
        <charset val="134"/>
      </rPr>
      <t>重量转换系数</t>
    </r>
    <r>
      <rPr>
        <sz val="8"/>
        <color indexed="8"/>
        <rFont val="Arial"/>
        <charset val="134"/>
      </rPr>
      <t xml:space="preserve"> </t>
    </r>
    <r>
      <rPr>
        <sz val="8"/>
        <color indexed="8"/>
        <rFont val="宋体"/>
        <charset val="134"/>
      </rPr>
      <t>公吨(空气中)</t>
    </r>
    <r>
      <rPr>
        <sz val="8"/>
        <color indexed="8"/>
        <rFont val="Arial"/>
        <charset val="134"/>
      </rPr>
      <t>/</t>
    </r>
    <r>
      <rPr>
        <sz val="8"/>
        <color indexed="8"/>
        <rFont val="宋体"/>
        <charset val="134"/>
      </rPr>
      <t>立方米(</t>
    </r>
    <r>
      <rPr>
        <sz val="8"/>
        <color rgb="FF000000"/>
        <rFont val="Arial"/>
        <charset val="134"/>
      </rPr>
      <t>15</t>
    </r>
    <r>
      <rPr>
        <sz val="8"/>
        <color rgb="FF000000"/>
        <rFont val="Segoe UI Symbol"/>
        <charset val="134"/>
      </rPr>
      <t>℃</t>
    </r>
    <r>
      <rPr>
        <sz val="8"/>
        <color indexed="8"/>
        <rFont val="宋体"/>
        <charset val="134"/>
      </rPr>
      <t>)</t>
    </r>
  </si>
  <si>
    <t>Suspended load for line displacement verification</t>
  </si>
  <si>
    <t>暂停装货，验证管线置换</t>
  </si>
  <si>
    <t>Vessel Tanks Quantity Upon Arrival</t>
  </si>
  <si>
    <r>
      <rPr>
        <sz val="8"/>
        <color theme="1"/>
        <rFont val="Arial"/>
        <charset val="134"/>
      </rPr>
      <t>WCF MT(in air)/m³@20</t>
    </r>
    <r>
      <rPr>
        <sz val="8"/>
        <color indexed="8"/>
        <rFont val="Segoe UI Symbol"/>
        <charset val="134"/>
      </rPr>
      <t>℃</t>
    </r>
  </si>
  <si>
    <r>
      <rPr>
        <sz val="8"/>
        <color indexed="8"/>
        <rFont val="宋体"/>
        <charset val="134"/>
      </rPr>
      <t>重量转换系数 公吨(空气中)/立方米(</t>
    </r>
    <r>
      <rPr>
        <sz val="8"/>
        <color rgb="FF000000"/>
        <rFont val="Arial"/>
        <charset val="134"/>
      </rPr>
      <t>20</t>
    </r>
    <r>
      <rPr>
        <sz val="8"/>
        <color rgb="FF000000"/>
        <rFont val="Segoe UI Symbol"/>
        <charset val="134"/>
      </rPr>
      <t>℃</t>
    </r>
    <r>
      <rPr>
        <sz val="8"/>
        <color indexed="8"/>
        <rFont val="宋体"/>
        <charset val="134"/>
      </rPr>
      <t>)</t>
    </r>
  </si>
  <si>
    <t>Resumed load</t>
  </si>
  <si>
    <t>重新开始装货</t>
  </si>
  <si>
    <t>*Vessel Tanks Quantity Upon Arrival Applied VEF</t>
  </si>
  <si>
    <t xml:space="preserve">MT/LT [T-1] </t>
  </si>
  <si>
    <r>
      <rPr>
        <sz val="8"/>
        <color indexed="8"/>
        <rFont val="宋体"/>
        <charset val="134"/>
      </rPr>
      <t>公吨</t>
    </r>
    <r>
      <rPr>
        <sz val="8"/>
        <color indexed="8"/>
        <rFont val="Arial"/>
        <charset val="134"/>
      </rPr>
      <t>/</t>
    </r>
    <r>
      <rPr>
        <sz val="8"/>
        <color indexed="8"/>
        <rFont val="宋体"/>
        <charset val="134"/>
      </rPr>
      <t xml:space="preserve">长吨 </t>
    </r>
    <r>
      <rPr>
        <sz val="8"/>
        <color rgb="FF000000"/>
        <rFont val="Arial"/>
        <charset val="134"/>
      </rPr>
      <t>[T-1]</t>
    </r>
  </si>
  <si>
    <t>Completed load</t>
  </si>
  <si>
    <t>装货完毕</t>
  </si>
  <si>
    <t>Vessel Discharged Quantity</t>
  </si>
  <si>
    <t>MT/LT</t>
  </si>
  <si>
    <r>
      <rPr>
        <sz val="8"/>
        <color indexed="8"/>
        <rFont val="宋体"/>
        <charset val="134"/>
      </rPr>
      <t>公吨</t>
    </r>
    <r>
      <rPr>
        <sz val="8"/>
        <color indexed="8"/>
        <rFont val="Arial"/>
        <charset val="134"/>
      </rPr>
      <t>/</t>
    </r>
    <r>
      <rPr>
        <sz val="8"/>
        <color indexed="8"/>
        <rFont val="宋体"/>
        <charset val="134"/>
      </rPr>
      <t>长吨</t>
    </r>
  </si>
  <si>
    <t>Estimated sailing time</t>
  </si>
  <si>
    <t>预计启航时间</t>
  </si>
  <si>
    <t>*Vessel Discharged Quantity Applied VEF</t>
  </si>
  <si>
    <r>
      <rPr>
        <sz val="8"/>
        <color theme="1"/>
        <rFont val="Arial"/>
        <charset val="134"/>
      </rPr>
      <t>WCF MT(in air)/bbls@60</t>
    </r>
    <r>
      <rPr>
        <sz val="8"/>
        <color indexed="8"/>
        <rFont val="Segoe UI Symbol"/>
        <charset val="134"/>
      </rPr>
      <t xml:space="preserve">℉ </t>
    </r>
    <r>
      <rPr>
        <sz val="8"/>
        <color rgb="FF000000"/>
        <rFont val="Arial"/>
        <charset val="134"/>
      </rPr>
      <t>[T-13]</t>
    </r>
  </si>
  <si>
    <r>
      <rPr>
        <sz val="8"/>
        <color indexed="8"/>
        <rFont val="宋体"/>
        <charset val="134"/>
      </rPr>
      <t>重量转换系数</t>
    </r>
    <r>
      <rPr>
        <sz val="8"/>
        <color indexed="8"/>
        <rFont val="Arial"/>
        <charset val="134"/>
      </rPr>
      <t xml:space="preserve"> </t>
    </r>
    <r>
      <rPr>
        <sz val="8"/>
        <color indexed="8"/>
        <rFont val="宋体"/>
        <charset val="134"/>
      </rPr>
      <t>公吨(空气中)</t>
    </r>
    <r>
      <rPr>
        <sz val="8"/>
        <color indexed="8"/>
        <rFont val="Arial"/>
        <charset val="134"/>
      </rPr>
      <t>/</t>
    </r>
    <r>
      <rPr>
        <sz val="8"/>
        <color indexed="8"/>
        <rFont val="宋体"/>
        <charset val="134"/>
      </rPr>
      <t>美桶(</t>
    </r>
    <r>
      <rPr>
        <sz val="8"/>
        <color rgb="FF000000"/>
        <rFont val="Arial"/>
        <charset val="134"/>
      </rPr>
      <t>60</t>
    </r>
    <r>
      <rPr>
        <sz val="8"/>
        <color rgb="FF000000"/>
        <rFont val="Segoe UI Symbol"/>
        <charset val="134"/>
      </rPr>
      <t>℉</t>
    </r>
    <r>
      <rPr>
        <sz val="8"/>
        <color indexed="8"/>
        <rFont val="宋体"/>
        <charset val="134"/>
      </rPr>
      <t>)</t>
    </r>
    <r>
      <rPr>
        <sz val="8"/>
        <color rgb="FF000000"/>
        <rFont val="Arial"/>
        <charset val="134"/>
      </rPr>
      <t>[T-13]</t>
    </r>
  </si>
  <si>
    <t>Date</t>
  </si>
  <si>
    <t>日期</t>
  </si>
  <si>
    <r>
      <rPr>
        <sz val="8"/>
        <color theme="1"/>
        <rFont val="Arial"/>
        <charset val="134"/>
      </rPr>
      <t>WCF MT(in air)/bbls@60</t>
    </r>
    <r>
      <rPr>
        <sz val="8"/>
        <color indexed="8"/>
        <rFont val="Segoe UI Symbol"/>
        <charset val="134"/>
      </rPr>
      <t>℉</t>
    </r>
  </si>
  <si>
    <r>
      <rPr>
        <sz val="8"/>
        <color indexed="8"/>
        <rFont val="宋体"/>
        <charset val="134"/>
      </rPr>
      <t>重量转换系数</t>
    </r>
    <r>
      <rPr>
        <sz val="8"/>
        <color indexed="8"/>
        <rFont val="Arial"/>
        <charset val="134"/>
      </rPr>
      <t xml:space="preserve"> </t>
    </r>
    <r>
      <rPr>
        <sz val="8"/>
        <color indexed="8"/>
        <rFont val="宋体"/>
        <charset val="134"/>
      </rPr>
      <t xml:space="preserve"> 公吨(空气中)</t>
    </r>
    <r>
      <rPr>
        <sz val="8"/>
        <color indexed="8"/>
        <rFont val="Arial"/>
        <charset val="134"/>
      </rPr>
      <t>/</t>
    </r>
    <r>
      <rPr>
        <sz val="8"/>
        <color indexed="8"/>
        <rFont val="微软雅黑"/>
        <charset val="134"/>
      </rPr>
      <t>美桶(</t>
    </r>
    <r>
      <rPr>
        <sz val="8"/>
        <color rgb="FF000000"/>
        <rFont val="Arial"/>
        <charset val="134"/>
      </rPr>
      <t>60</t>
    </r>
    <r>
      <rPr>
        <sz val="8"/>
        <color rgb="FF000000"/>
        <rFont val="Segoe UI Symbol"/>
        <charset val="134"/>
      </rPr>
      <t>℉</t>
    </r>
    <r>
      <rPr>
        <sz val="8"/>
        <color indexed="8"/>
        <rFont val="微软雅黑"/>
        <charset val="134"/>
      </rPr>
      <t>)</t>
    </r>
  </si>
  <si>
    <t>Time</t>
  </si>
  <si>
    <t>时间</t>
  </si>
  <si>
    <t>Density@15℃ MT(Vacuo)/m³</t>
  </si>
  <si>
    <t>密度 (15℃) 公吨(真空中)/立方米</t>
  </si>
  <si>
    <t>FROM</t>
  </si>
  <si>
    <t>起</t>
  </si>
  <si>
    <t>Density@20℃ MT(Vacuo)/m³</t>
  </si>
  <si>
    <t>密度 (20℃) 公吨(真空中)/立方米</t>
  </si>
  <si>
    <t>TO</t>
  </si>
  <si>
    <t>止</t>
  </si>
  <si>
    <r>
      <rPr>
        <sz val="8"/>
        <color theme="1"/>
        <rFont val="Arial"/>
        <charset val="134"/>
      </rPr>
      <t>WCF MT(in vacuo)/bbls@60</t>
    </r>
    <r>
      <rPr>
        <sz val="8"/>
        <color indexed="8"/>
        <rFont val="Segoe UI Symbol"/>
        <charset val="134"/>
      </rPr>
      <t xml:space="preserve">℉ </t>
    </r>
    <r>
      <rPr>
        <sz val="8"/>
        <color rgb="FF000000"/>
        <rFont val="Arial"/>
        <charset val="134"/>
      </rPr>
      <t>[T-13]</t>
    </r>
  </si>
  <si>
    <r>
      <rPr>
        <sz val="8"/>
        <color indexed="8"/>
        <rFont val="宋体"/>
        <charset val="134"/>
      </rPr>
      <t>重量转换系数</t>
    </r>
    <r>
      <rPr>
        <sz val="8"/>
        <color indexed="8"/>
        <rFont val="Arial"/>
        <charset val="134"/>
      </rPr>
      <t xml:space="preserve"> </t>
    </r>
    <r>
      <rPr>
        <sz val="8"/>
        <color indexed="8"/>
        <rFont val="宋体"/>
        <charset val="134"/>
      </rPr>
      <t>公吨(</t>
    </r>
    <r>
      <rPr>
        <sz val="8"/>
        <color rgb="FF000000"/>
        <rFont val="宋体"/>
        <charset val="134"/>
      </rPr>
      <t>真空中</t>
    </r>
    <r>
      <rPr>
        <sz val="8"/>
        <color indexed="8"/>
        <rFont val="宋体"/>
        <charset val="134"/>
      </rPr>
      <t>)</t>
    </r>
    <r>
      <rPr>
        <sz val="8"/>
        <color indexed="8"/>
        <rFont val="Arial"/>
        <charset val="134"/>
      </rPr>
      <t>/</t>
    </r>
    <r>
      <rPr>
        <sz val="8"/>
        <color indexed="8"/>
        <rFont val="宋体"/>
        <charset val="134"/>
      </rPr>
      <t>美桶(</t>
    </r>
    <r>
      <rPr>
        <sz val="8"/>
        <color rgb="FF000000"/>
        <rFont val="Arial"/>
        <charset val="134"/>
      </rPr>
      <t>60</t>
    </r>
    <r>
      <rPr>
        <sz val="8"/>
        <color rgb="FF000000"/>
        <rFont val="Segoe UI Symbol"/>
        <charset val="134"/>
      </rPr>
      <t>℉</t>
    </r>
    <r>
      <rPr>
        <sz val="8"/>
        <color indexed="8"/>
        <rFont val="宋体"/>
        <charset val="134"/>
      </rPr>
      <t>)</t>
    </r>
    <r>
      <rPr>
        <sz val="8"/>
        <color rgb="FF000000"/>
        <rFont val="Arial"/>
        <charset val="134"/>
      </rPr>
      <t>[T-13]</t>
    </r>
  </si>
  <si>
    <t>EVENTS</t>
  </si>
  <si>
    <t>事件</t>
  </si>
  <si>
    <r>
      <rPr>
        <sz val="8"/>
        <color theme="1"/>
        <rFont val="Arial"/>
        <charset val="134"/>
      </rPr>
      <t>WCF MT(in vacuo)/bbls@60</t>
    </r>
    <r>
      <rPr>
        <sz val="8"/>
        <color indexed="8"/>
        <rFont val="Segoe UI Symbol"/>
        <charset val="134"/>
      </rPr>
      <t>℉</t>
    </r>
  </si>
  <si>
    <r>
      <rPr>
        <sz val="8"/>
        <color indexed="8"/>
        <rFont val="宋体"/>
        <charset val="134"/>
      </rPr>
      <t>重量转换系数</t>
    </r>
    <r>
      <rPr>
        <sz val="8"/>
        <color indexed="8"/>
        <rFont val="Arial"/>
        <charset val="134"/>
      </rPr>
      <t xml:space="preserve"> </t>
    </r>
    <r>
      <rPr>
        <sz val="8"/>
        <color indexed="8"/>
        <rFont val="宋体"/>
        <charset val="134"/>
      </rPr>
      <t>公吨</t>
    </r>
    <r>
      <rPr>
        <sz val="8"/>
        <color rgb="FF000000"/>
        <rFont val="Arial"/>
        <charset val="134"/>
      </rPr>
      <t>(</t>
    </r>
    <r>
      <rPr>
        <sz val="8"/>
        <color rgb="FF000000"/>
        <rFont val="宋体"/>
        <charset val="134"/>
      </rPr>
      <t>真空</t>
    </r>
    <r>
      <rPr>
        <sz val="8"/>
        <color indexed="8"/>
        <rFont val="宋体"/>
        <charset val="134"/>
      </rPr>
      <t>中</t>
    </r>
    <r>
      <rPr>
        <sz val="8"/>
        <color rgb="FF000000"/>
        <rFont val="Arial"/>
        <charset val="134"/>
      </rPr>
      <t>)</t>
    </r>
    <r>
      <rPr>
        <sz val="8"/>
        <color indexed="8"/>
        <rFont val="Arial"/>
        <charset val="134"/>
      </rPr>
      <t>/</t>
    </r>
    <r>
      <rPr>
        <sz val="8"/>
        <color indexed="8"/>
        <rFont val="微软雅黑"/>
        <charset val="134"/>
      </rPr>
      <t>美桶</t>
    </r>
    <r>
      <rPr>
        <sz val="8"/>
        <color rgb="FF000000"/>
        <rFont val="Arial"/>
        <charset val="134"/>
      </rPr>
      <t>(60</t>
    </r>
    <r>
      <rPr>
        <sz val="8"/>
        <color rgb="FF000000"/>
        <rFont val="Segoe UI Symbol"/>
        <charset val="134"/>
      </rPr>
      <t>℉</t>
    </r>
    <r>
      <rPr>
        <sz val="8"/>
        <color rgb="FF000000"/>
        <rFont val="Arial"/>
        <charset val="134"/>
      </rPr>
      <t>)</t>
    </r>
  </si>
  <si>
    <t>TIME LOG</t>
  </si>
  <si>
    <t>时间表</t>
  </si>
  <si>
    <t>REMARKS</t>
  </si>
  <si>
    <t>备注</t>
  </si>
  <si>
    <t>油库</t>
  </si>
  <si>
    <r>
      <rPr>
        <sz val="8"/>
        <color theme="1"/>
        <rFont val="Arial"/>
        <charset val="134"/>
      </rPr>
      <t>WCF LT(in air)/m³@15</t>
    </r>
    <r>
      <rPr>
        <sz val="8"/>
        <color indexed="8"/>
        <rFont val="Segoe UI Symbol"/>
        <charset val="134"/>
      </rPr>
      <t xml:space="preserve">℃ </t>
    </r>
    <r>
      <rPr>
        <sz val="8"/>
        <color rgb="FF000000"/>
        <rFont val="Arial"/>
        <charset val="134"/>
      </rPr>
      <t>[T-57]</t>
    </r>
  </si>
  <si>
    <r>
      <rPr>
        <sz val="8"/>
        <color indexed="8"/>
        <rFont val="宋体"/>
        <charset val="134"/>
      </rPr>
      <t>重量转换系数</t>
    </r>
    <r>
      <rPr>
        <sz val="8"/>
        <color indexed="8"/>
        <rFont val="Arial"/>
        <charset val="134"/>
      </rPr>
      <t xml:space="preserve"> </t>
    </r>
    <r>
      <rPr>
        <sz val="8"/>
        <color indexed="8"/>
        <rFont val="宋体"/>
        <charset val="134"/>
      </rPr>
      <t>长吨(空气中)</t>
    </r>
    <r>
      <rPr>
        <sz val="8"/>
        <color indexed="8"/>
        <rFont val="Arial"/>
        <charset val="134"/>
      </rPr>
      <t>/</t>
    </r>
    <r>
      <rPr>
        <sz val="8"/>
        <color indexed="8"/>
        <rFont val="微软雅黑"/>
        <charset val="134"/>
      </rPr>
      <t>立方米(</t>
    </r>
    <r>
      <rPr>
        <sz val="8"/>
        <color rgb="FF000000"/>
        <rFont val="Arial"/>
        <charset val="134"/>
      </rPr>
      <t>15</t>
    </r>
    <r>
      <rPr>
        <sz val="8"/>
        <color rgb="FF000000"/>
        <rFont val="Segoe UI Symbol"/>
        <charset val="134"/>
      </rPr>
      <t>℃</t>
    </r>
    <r>
      <rPr>
        <sz val="8"/>
        <color indexed="8"/>
        <rFont val="微软雅黑"/>
        <charset val="134"/>
      </rPr>
      <t xml:space="preserve">) </t>
    </r>
    <r>
      <rPr>
        <sz val="8"/>
        <color rgb="FF000000"/>
        <rFont val="Arial"/>
        <charset val="134"/>
      </rPr>
      <t>[T-57]</t>
    </r>
  </si>
  <si>
    <t>船舶</t>
  </si>
  <si>
    <r>
      <rPr>
        <sz val="8"/>
        <color theme="1"/>
        <rFont val="Arial"/>
        <charset val="134"/>
      </rPr>
      <t>WCF LT(in air)/m³@15</t>
    </r>
    <r>
      <rPr>
        <sz val="8"/>
        <color indexed="8"/>
        <rFont val="Segoe UI Symbol"/>
        <charset val="134"/>
      </rPr>
      <t>℃</t>
    </r>
  </si>
  <si>
    <r>
      <rPr>
        <sz val="8"/>
        <color indexed="8"/>
        <rFont val="宋体"/>
        <charset val="134"/>
      </rPr>
      <t>重量转换系数</t>
    </r>
    <r>
      <rPr>
        <sz val="8"/>
        <color indexed="8"/>
        <rFont val="Arial"/>
        <charset val="134"/>
      </rPr>
      <t xml:space="preserve"> </t>
    </r>
    <r>
      <rPr>
        <sz val="8"/>
        <color indexed="8"/>
        <rFont val="宋体"/>
        <charset val="134"/>
      </rPr>
      <t>长吨(空气中)</t>
    </r>
    <r>
      <rPr>
        <sz val="8"/>
        <color indexed="8"/>
        <rFont val="Arial"/>
        <charset val="134"/>
      </rPr>
      <t>/</t>
    </r>
    <r>
      <rPr>
        <sz val="8"/>
        <color indexed="8"/>
        <rFont val="微软雅黑"/>
        <charset val="134"/>
      </rPr>
      <t>立方米(</t>
    </r>
    <r>
      <rPr>
        <sz val="8"/>
        <color rgb="FF000000"/>
        <rFont val="Arial"/>
        <charset val="134"/>
      </rPr>
      <t>15</t>
    </r>
    <r>
      <rPr>
        <sz val="8"/>
        <color rgb="FF000000"/>
        <rFont val="Segoe UI Symbol"/>
        <charset val="134"/>
      </rPr>
      <t>℃</t>
    </r>
    <r>
      <rPr>
        <sz val="8"/>
        <color indexed="8"/>
        <rFont val="微软雅黑"/>
        <charset val="134"/>
      </rPr>
      <t xml:space="preserve">) </t>
    </r>
  </si>
  <si>
    <t>Arm(s) connected</t>
  </si>
  <si>
    <t>输油臂连接</t>
  </si>
  <si>
    <t xml:space="preserve">LT/MT [T-1] </t>
  </si>
  <si>
    <r>
      <rPr>
        <sz val="8"/>
        <color indexed="8"/>
        <rFont val="宋体"/>
        <charset val="134"/>
      </rPr>
      <t>长吨</t>
    </r>
    <r>
      <rPr>
        <sz val="8"/>
        <color rgb="FF000000"/>
        <rFont val="Arial"/>
        <charset val="134"/>
      </rPr>
      <t>/</t>
    </r>
    <r>
      <rPr>
        <sz val="8"/>
        <color indexed="8"/>
        <rFont val="宋体"/>
        <charset val="134"/>
      </rPr>
      <t xml:space="preserve">公吨 </t>
    </r>
    <r>
      <rPr>
        <sz val="8"/>
        <color rgb="FF000000"/>
        <rFont val="Arial"/>
        <charset val="134"/>
      </rPr>
      <t>[T-1]</t>
    </r>
  </si>
  <si>
    <t>Hose(s) connected</t>
  </si>
  <si>
    <t>输油管连接</t>
  </si>
  <si>
    <t>LT/MT</t>
  </si>
  <si>
    <r>
      <rPr>
        <sz val="8"/>
        <color indexed="8"/>
        <rFont val="宋体"/>
        <charset val="134"/>
      </rPr>
      <t>长吨</t>
    </r>
    <r>
      <rPr>
        <sz val="8"/>
        <color rgb="FF000000"/>
        <rFont val="Arial"/>
        <charset val="134"/>
      </rPr>
      <t>/</t>
    </r>
    <r>
      <rPr>
        <sz val="8"/>
        <color indexed="8"/>
        <rFont val="宋体"/>
        <charset val="134"/>
      </rPr>
      <t>公吨</t>
    </r>
  </si>
  <si>
    <t>Arm(s) disconnected</t>
  </si>
  <si>
    <t>输油臂分离</t>
  </si>
  <si>
    <r>
      <rPr>
        <sz val="8"/>
        <color theme="1"/>
        <rFont val="Arial"/>
        <charset val="134"/>
      </rPr>
      <t>WCF LT(in air)/bbls@60</t>
    </r>
    <r>
      <rPr>
        <sz val="8"/>
        <color indexed="8"/>
        <rFont val="Segoe UI Symbol"/>
        <charset val="134"/>
      </rPr>
      <t xml:space="preserve">℉ </t>
    </r>
    <r>
      <rPr>
        <sz val="8"/>
        <color rgb="FF000000"/>
        <rFont val="Arial"/>
        <charset val="134"/>
      </rPr>
      <t xml:space="preserve">[T-29] </t>
    </r>
  </si>
  <si>
    <r>
      <rPr>
        <sz val="8"/>
        <color indexed="8"/>
        <rFont val="宋体"/>
        <charset val="134"/>
      </rPr>
      <t>重量转换系数</t>
    </r>
    <r>
      <rPr>
        <sz val="8"/>
        <color indexed="8"/>
        <rFont val="Arial"/>
        <charset val="134"/>
      </rPr>
      <t xml:space="preserve"> </t>
    </r>
    <r>
      <rPr>
        <sz val="8"/>
        <color indexed="8"/>
        <rFont val="宋体"/>
        <charset val="134"/>
      </rPr>
      <t>长吨(空气中)</t>
    </r>
    <r>
      <rPr>
        <sz val="8"/>
        <color indexed="8"/>
        <rFont val="Arial"/>
        <charset val="134"/>
      </rPr>
      <t>/</t>
    </r>
    <r>
      <rPr>
        <sz val="8"/>
        <color indexed="8"/>
        <rFont val="宋体"/>
        <charset val="134"/>
      </rPr>
      <t>美桶(</t>
    </r>
    <r>
      <rPr>
        <sz val="8"/>
        <color rgb="FF000000"/>
        <rFont val="Arial"/>
        <charset val="134"/>
      </rPr>
      <t>60</t>
    </r>
    <r>
      <rPr>
        <sz val="8"/>
        <color rgb="FF000000"/>
        <rFont val="Segoe UI Symbol"/>
        <charset val="134"/>
      </rPr>
      <t>℉</t>
    </r>
    <r>
      <rPr>
        <sz val="8"/>
        <color indexed="8"/>
        <rFont val="宋体"/>
        <charset val="134"/>
      </rPr>
      <t xml:space="preserve">) </t>
    </r>
    <r>
      <rPr>
        <sz val="8"/>
        <color rgb="FF000000"/>
        <rFont val="Arial"/>
        <charset val="134"/>
      </rPr>
      <t xml:space="preserve">[T-29] </t>
    </r>
  </si>
  <si>
    <t>Hose(s) disconnected</t>
  </si>
  <si>
    <t>输油管分离</t>
  </si>
  <si>
    <t>net</t>
  </si>
  <si>
    <r>
      <rPr>
        <sz val="8"/>
        <color theme="1"/>
        <rFont val="Arial"/>
        <charset val="134"/>
      </rPr>
      <t>WCF LT(in air)/bbls@60</t>
    </r>
    <r>
      <rPr>
        <sz val="8"/>
        <color indexed="8"/>
        <rFont val="Segoe UI Symbol"/>
        <charset val="134"/>
      </rPr>
      <t>℉</t>
    </r>
  </si>
  <si>
    <r>
      <rPr>
        <sz val="8"/>
        <color indexed="8"/>
        <rFont val="宋体"/>
        <charset val="134"/>
      </rPr>
      <t>重量转换系数</t>
    </r>
    <r>
      <rPr>
        <sz val="8"/>
        <color indexed="8"/>
        <rFont val="Arial"/>
        <charset val="134"/>
      </rPr>
      <t xml:space="preserve"> </t>
    </r>
    <r>
      <rPr>
        <sz val="8"/>
        <color indexed="8"/>
        <rFont val="宋体"/>
        <charset val="134"/>
      </rPr>
      <t>长吨(空气中)</t>
    </r>
    <r>
      <rPr>
        <sz val="8"/>
        <color indexed="8"/>
        <rFont val="Arial"/>
        <charset val="134"/>
      </rPr>
      <t>/</t>
    </r>
    <r>
      <rPr>
        <sz val="8"/>
        <color indexed="8"/>
        <rFont val="宋体"/>
        <charset val="134"/>
      </rPr>
      <t>美桶(</t>
    </r>
    <r>
      <rPr>
        <sz val="8"/>
        <color rgb="FF000000"/>
        <rFont val="Arial"/>
        <charset val="134"/>
      </rPr>
      <t>60</t>
    </r>
    <r>
      <rPr>
        <sz val="8"/>
        <color rgb="FF000000"/>
        <rFont val="Segoe UI Symbol"/>
        <charset val="134"/>
      </rPr>
      <t>℉</t>
    </r>
    <r>
      <rPr>
        <sz val="8"/>
        <color indexed="8"/>
        <rFont val="宋体"/>
        <charset val="134"/>
      </rPr>
      <t>)</t>
    </r>
  </si>
  <si>
    <t>QUANTITIES</t>
  </si>
  <si>
    <t>数量</t>
  </si>
  <si>
    <t>GSV</t>
  </si>
  <si>
    <t>GMT</t>
  </si>
  <si>
    <r>
      <rPr>
        <sz val="8"/>
        <color theme="1"/>
        <rFont val="Arial"/>
        <charset val="134"/>
      </rPr>
      <t>WCF LT(in air)/bbls@60</t>
    </r>
    <r>
      <rPr>
        <sz val="8"/>
        <color indexed="8"/>
        <rFont val="Segoe UI Symbol"/>
        <charset val="134"/>
      </rPr>
      <t xml:space="preserve">℉ [T-11] </t>
    </r>
  </si>
  <si>
    <r>
      <rPr>
        <sz val="8"/>
        <color indexed="8"/>
        <rFont val="宋体"/>
        <charset val="134"/>
      </rPr>
      <t>重量转换系数</t>
    </r>
    <r>
      <rPr>
        <sz val="8"/>
        <color indexed="8"/>
        <rFont val="Arial"/>
        <charset val="134"/>
      </rPr>
      <t xml:space="preserve"> </t>
    </r>
    <r>
      <rPr>
        <sz val="8"/>
        <color indexed="8"/>
        <rFont val="宋体"/>
        <charset val="134"/>
      </rPr>
      <t>长吨(空气中)</t>
    </r>
    <r>
      <rPr>
        <sz val="8"/>
        <color indexed="8"/>
        <rFont val="Arial"/>
        <charset val="134"/>
      </rPr>
      <t>/</t>
    </r>
    <r>
      <rPr>
        <sz val="8"/>
        <color indexed="8"/>
        <rFont val="宋体"/>
        <charset val="134"/>
      </rPr>
      <t>美桶(</t>
    </r>
    <r>
      <rPr>
        <sz val="8"/>
        <color rgb="FF000000"/>
        <rFont val="Arial"/>
        <charset val="134"/>
      </rPr>
      <t>60</t>
    </r>
    <r>
      <rPr>
        <sz val="8"/>
        <color rgb="FF000000"/>
        <rFont val="Segoe UI Symbol"/>
        <charset val="134"/>
      </rPr>
      <t>℉</t>
    </r>
    <r>
      <rPr>
        <sz val="8"/>
        <color indexed="8"/>
        <rFont val="宋体"/>
        <charset val="134"/>
      </rPr>
      <t xml:space="preserve">) </t>
    </r>
    <r>
      <rPr>
        <sz val="8"/>
        <color rgb="FF000000"/>
        <rFont val="Arial"/>
        <charset val="134"/>
      </rPr>
      <t>[T-11]</t>
    </r>
  </si>
  <si>
    <t>Bill of Lading</t>
  </si>
  <si>
    <t>提单</t>
  </si>
  <si>
    <t>Vessel Tank Quantity After Load</t>
  </si>
  <si>
    <t>装货后船舱数量</t>
  </si>
  <si>
    <r>
      <rPr>
        <sz val="8"/>
        <color theme="1"/>
        <rFont val="Arial"/>
        <charset val="134"/>
      </rPr>
      <t>WCF LT(in vacuo)/m³@15</t>
    </r>
    <r>
      <rPr>
        <sz val="8"/>
        <color indexed="8"/>
        <rFont val="Segoe UI Symbol"/>
        <charset val="134"/>
      </rPr>
      <t xml:space="preserve">℃ </t>
    </r>
    <r>
      <rPr>
        <sz val="8"/>
        <color rgb="FF000000"/>
        <rFont val="Arial"/>
        <charset val="134"/>
      </rPr>
      <t>[T-57]</t>
    </r>
  </si>
  <si>
    <r>
      <rPr>
        <sz val="8"/>
        <color indexed="8"/>
        <rFont val="宋体"/>
        <charset val="134"/>
      </rPr>
      <t>重量转换系数</t>
    </r>
    <r>
      <rPr>
        <sz val="8"/>
        <color indexed="8"/>
        <rFont val="Arial"/>
        <charset val="134"/>
      </rPr>
      <t xml:space="preserve"> </t>
    </r>
    <r>
      <rPr>
        <sz val="8"/>
        <color indexed="8"/>
        <rFont val="宋体"/>
        <charset val="134"/>
      </rPr>
      <t>长吨(真空中)</t>
    </r>
    <r>
      <rPr>
        <sz val="8"/>
        <color indexed="8"/>
        <rFont val="Arial"/>
        <charset val="134"/>
      </rPr>
      <t>/</t>
    </r>
    <r>
      <rPr>
        <sz val="8"/>
        <color indexed="8"/>
        <rFont val="微软雅黑"/>
        <charset val="134"/>
      </rPr>
      <t>立方米(</t>
    </r>
    <r>
      <rPr>
        <sz val="8"/>
        <color rgb="FF000000"/>
        <rFont val="Arial"/>
        <charset val="134"/>
      </rPr>
      <t>15</t>
    </r>
    <r>
      <rPr>
        <sz val="8"/>
        <color rgb="FF000000"/>
        <rFont val="Segoe UI Symbol"/>
        <charset val="134"/>
      </rPr>
      <t>℃</t>
    </r>
    <r>
      <rPr>
        <sz val="8"/>
        <color indexed="8"/>
        <rFont val="微软雅黑"/>
        <charset val="134"/>
      </rPr>
      <t xml:space="preserve">) </t>
    </r>
    <r>
      <rPr>
        <sz val="8"/>
        <color rgb="FF000000"/>
        <rFont val="Arial"/>
        <charset val="134"/>
      </rPr>
      <t>[T-57]</t>
    </r>
  </si>
  <si>
    <t>船舶抵港数量</t>
  </si>
  <si>
    <r>
      <rPr>
        <sz val="8"/>
        <color theme="1"/>
        <rFont val="Arial"/>
        <charset val="134"/>
      </rPr>
      <t>WCF LT(in vacuo)/m³@15</t>
    </r>
    <r>
      <rPr>
        <sz val="8"/>
        <color indexed="8"/>
        <rFont val="Segoe UI Symbol"/>
        <charset val="134"/>
      </rPr>
      <t>℃</t>
    </r>
  </si>
  <si>
    <r>
      <rPr>
        <sz val="8"/>
        <color indexed="8"/>
        <rFont val="宋体"/>
        <charset val="134"/>
      </rPr>
      <t>重量转换系数</t>
    </r>
    <r>
      <rPr>
        <sz val="8"/>
        <color indexed="8"/>
        <rFont val="Arial"/>
        <charset val="134"/>
      </rPr>
      <t xml:space="preserve"> </t>
    </r>
    <r>
      <rPr>
        <sz val="8"/>
        <color indexed="8"/>
        <rFont val="宋体"/>
        <charset val="134"/>
      </rPr>
      <t>长吨(真空中)</t>
    </r>
    <r>
      <rPr>
        <sz val="8"/>
        <color indexed="8"/>
        <rFont val="Arial"/>
        <charset val="134"/>
      </rPr>
      <t>/</t>
    </r>
    <r>
      <rPr>
        <sz val="8"/>
        <color indexed="8"/>
        <rFont val="微软雅黑"/>
        <charset val="134"/>
      </rPr>
      <t>立方米(</t>
    </r>
    <r>
      <rPr>
        <sz val="8"/>
        <color rgb="FF000000"/>
        <rFont val="Arial"/>
        <charset val="134"/>
      </rPr>
      <t>15</t>
    </r>
    <r>
      <rPr>
        <sz val="8"/>
        <color rgb="FF000000"/>
        <rFont val="Segoe UI Symbol"/>
        <charset val="134"/>
      </rPr>
      <t>℃</t>
    </r>
    <r>
      <rPr>
        <sz val="8"/>
        <color indexed="8"/>
        <rFont val="微软雅黑"/>
        <charset val="134"/>
      </rPr>
      <t>)</t>
    </r>
  </si>
  <si>
    <t>船舶经验系数修正后的船舶抵港数量</t>
  </si>
  <si>
    <t>船舱卸货数量</t>
  </si>
  <si>
    <t>船舶经验系数修正后的船舱卸货数量</t>
  </si>
  <si>
    <r>
      <rPr>
        <sz val="8"/>
        <color theme="1"/>
        <rFont val="Arial"/>
        <charset val="134"/>
      </rPr>
      <t>WCF LT(in vacuo)/bbls@60</t>
    </r>
    <r>
      <rPr>
        <sz val="8"/>
        <color indexed="8"/>
        <rFont val="Segoe UI Symbol"/>
        <charset val="134"/>
      </rPr>
      <t xml:space="preserve">℉ </t>
    </r>
    <r>
      <rPr>
        <sz val="8"/>
        <color rgb="FF000000"/>
        <rFont val="Arial"/>
        <charset val="134"/>
      </rPr>
      <t>[T-29]</t>
    </r>
  </si>
  <si>
    <r>
      <rPr>
        <sz val="8"/>
        <color indexed="8"/>
        <rFont val="宋体"/>
        <charset val="134"/>
      </rPr>
      <t>重量转换系数</t>
    </r>
    <r>
      <rPr>
        <sz val="8"/>
        <color indexed="8"/>
        <rFont val="Arial"/>
        <charset val="134"/>
      </rPr>
      <t xml:space="preserve"> </t>
    </r>
    <r>
      <rPr>
        <sz val="8"/>
        <color indexed="8"/>
        <rFont val="宋体"/>
        <charset val="134"/>
      </rPr>
      <t>长吨(真空中)</t>
    </r>
    <r>
      <rPr>
        <sz val="8"/>
        <color indexed="8"/>
        <rFont val="Arial"/>
        <charset val="134"/>
      </rPr>
      <t>/</t>
    </r>
    <r>
      <rPr>
        <sz val="8"/>
        <color indexed="8"/>
        <rFont val="宋体"/>
        <charset val="134"/>
      </rPr>
      <t>美桶(</t>
    </r>
    <r>
      <rPr>
        <sz val="8"/>
        <color rgb="FF000000"/>
        <rFont val="Arial"/>
        <charset val="134"/>
      </rPr>
      <t>60</t>
    </r>
    <r>
      <rPr>
        <sz val="8"/>
        <color rgb="FF000000"/>
        <rFont val="Segoe UI Symbol"/>
        <charset val="134"/>
      </rPr>
      <t>℉</t>
    </r>
    <r>
      <rPr>
        <sz val="8"/>
        <color indexed="8"/>
        <rFont val="宋体"/>
        <charset val="134"/>
      </rPr>
      <t xml:space="preserve">) </t>
    </r>
    <r>
      <rPr>
        <sz val="8"/>
        <color rgb="FF000000"/>
        <rFont val="Arial"/>
        <charset val="134"/>
      </rPr>
      <t xml:space="preserve">[T-29] </t>
    </r>
  </si>
  <si>
    <t>岸方收货数量（流量计计量）</t>
  </si>
  <si>
    <r>
      <rPr>
        <sz val="8"/>
        <color theme="1"/>
        <rFont val="Arial"/>
        <charset val="134"/>
      </rPr>
      <t>WCF LT(in vacuo)/bbls@60</t>
    </r>
    <r>
      <rPr>
        <sz val="8"/>
        <color indexed="8"/>
        <rFont val="Segoe UI Symbol"/>
        <charset val="134"/>
      </rPr>
      <t>℉</t>
    </r>
  </si>
  <si>
    <r>
      <rPr>
        <sz val="8"/>
        <color indexed="8"/>
        <rFont val="宋体"/>
        <charset val="134"/>
      </rPr>
      <t>重量转换系数</t>
    </r>
    <r>
      <rPr>
        <sz val="8"/>
        <color indexed="8"/>
        <rFont val="Arial"/>
        <charset val="134"/>
      </rPr>
      <t xml:space="preserve"> </t>
    </r>
    <r>
      <rPr>
        <sz val="8"/>
        <color indexed="8"/>
        <rFont val="宋体"/>
        <charset val="134"/>
      </rPr>
      <t>长吨(真空中)</t>
    </r>
    <r>
      <rPr>
        <sz val="8"/>
        <color indexed="8"/>
        <rFont val="Arial"/>
        <charset val="134"/>
      </rPr>
      <t>/</t>
    </r>
    <r>
      <rPr>
        <sz val="8"/>
        <color indexed="8"/>
        <rFont val="宋体"/>
        <charset val="134"/>
      </rPr>
      <t>美桶(</t>
    </r>
    <r>
      <rPr>
        <sz val="8"/>
        <color rgb="FF000000"/>
        <rFont val="Arial"/>
        <charset val="134"/>
      </rPr>
      <t>60</t>
    </r>
    <r>
      <rPr>
        <sz val="8"/>
        <color rgb="FF000000"/>
        <rFont val="Segoe UI Symbol"/>
        <charset val="134"/>
      </rPr>
      <t>℉</t>
    </r>
    <r>
      <rPr>
        <sz val="8"/>
        <color indexed="8"/>
        <rFont val="宋体"/>
        <charset val="134"/>
      </rPr>
      <t>)</t>
    </r>
  </si>
  <si>
    <t>岸罐接收数量</t>
  </si>
  <si>
    <r>
      <rPr>
        <sz val="8"/>
        <color theme="1"/>
        <rFont val="Arial"/>
        <charset val="134"/>
      </rPr>
      <t>WCF LT(in vacuo)/bbls@60</t>
    </r>
    <r>
      <rPr>
        <sz val="8"/>
        <color indexed="8"/>
        <rFont val="Segoe UI Symbol"/>
        <charset val="134"/>
      </rPr>
      <t xml:space="preserve">℉ </t>
    </r>
    <r>
      <rPr>
        <sz val="8"/>
        <color rgb="FF000000"/>
        <rFont val="Arial"/>
        <charset val="134"/>
      </rPr>
      <t>[T-11]</t>
    </r>
  </si>
  <si>
    <r>
      <rPr>
        <sz val="8"/>
        <color indexed="8"/>
        <rFont val="宋体"/>
        <charset val="134"/>
      </rPr>
      <t>重量转换系数</t>
    </r>
    <r>
      <rPr>
        <sz val="8"/>
        <color indexed="8"/>
        <rFont val="Arial"/>
        <charset val="134"/>
      </rPr>
      <t xml:space="preserve"> </t>
    </r>
    <r>
      <rPr>
        <sz val="8"/>
        <color indexed="8"/>
        <rFont val="宋体"/>
        <charset val="134"/>
      </rPr>
      <t>长吨(真空中)</t>
    </r>
    <r>
      <rPr>
        <sz val="8"/>
        <color indexed="8"/>
        <rFont val="Arial"/>
        <charset val="134"/>
      </rPr>
      <t>/</t>
    </r>
    <r>
      <rPr>
        <sz val="8"/>
        <color indexed="8"/>
        <rFont val="宋体"/>
        <charset val="134"/>
      </rPr>
      <t>美桶(</t>
    </r>
    <r>
      <rPr>
        <sz val="8"/>
        <color rgb="FF000000"/>
        <rFont val="Arial"/>
        <charset val="134"/>
      </rPr>
      <t>60</t>
    </r>
    <r>
      <rPr>
        <sz val="8"/>
        <color rgb="FF000000"/>
        <rFont val="Segoe UI Symbol"/>
        <charset val="134"/>
      </rPr>
      <t>℉</t>
    </r>
    <r>
      <rPr>
        <sz val="8"/>
        <color indexed="8"/>
        <rFont val="宋体"/>
        <charset val="134"/>
      </rPr>
      <t xml:space="preserve">) </t>
    </r>
    <r>
      <rPr>
        <sz val="8"/>
        <color rgb="FF000000"/>
        <rFont val="Arial"/>
        <charset val="134"/>
      </rPr>
      <t xml:space="preserve">[T-11] </t>
    </r>
  </si>
  <si>
    <t>驳船接收数量</t>
  </si>
  <si>
    <t>槽车接收总量</t>
  </si>
  <si>
    <r>
      <rPr>
        <sz val="8"/>
        <color theme="1"/>
        <rFont val="Arial"/>
        <charset val="134"/>
      </rPr>
      <t>bbls@60</t>
    </r>
    <r>
      <rPr>
        <sz val="8"/>
        <color indexed="8"/>
        <rFont val="Segoe UI Symbol"/>
        <charset val="134"/>
      </rPr>
      <t>℉</t>
    </r>
    <r>
      <rPr>
        <sz val="8"/>
        <color rgb="FF000000"/>
        <rFont val="Arial"/>
        <charset val="134"/>
      </rPr>
      <t>/</t>
    </r>
    <r>
      <rPr>
        <sz val="8"/>
        <color indexed="8"/>
        <rFont val="Arial"/>
        <charset val="134"/>
      </rPr>
      <t>m³@15</t>
    </r>
    <r>
      <rPr>
        <sz val="8"/>
        <color indexed="8"/>
        <rFont val="Segoe UI Symbol"/>
        <charset val="134"/>
      </rPr>
      <t xml:space="preserve">℃ </t>
    </r>
    <r>
      <rPr>
        <sz val="8"/>
        <color rgb="FF000000"/>
        <rFont val="Arial"/>
        <charset val="134"/>
      </rPr>
      <t>[T-52]</t>
    </r>
  </si>
  <si>
    <r>
      <rPr>
        <sz val="8"/>
        <color indexed="8"/>
        <rFont val="宋体"/>
        <charset val="134"/>
      </rPr>
      <t>美制桶(</t>
    </r>
    <r>
      <rPr>
        <sz val="8"/>
        <color indexed="8"/>
        <rFont val="Arial"/>
        <charset val="134"/>
      </rPr>
      <t>60</t>
    </r>
    <r>
      <rPr>
        <sz val="8"/>
        <color indexed="8"/>
        <rFont val="Segoe UI Symbol"/>
        <charset val="134"/>
      </rPr>
      <t>℉</t>
    </r>
    <r>
      <rPr>
        <sz val="8"/>
        <color indexed="8"/>
        <rFont val="宋体"/>
        <charset val="134"/>
      </rPr>
      <t>)</t>
    </r>
    <r>
      <rPr>
        <sz val="8"/>
        <color indexed="8"/>
        <rFont val="Arial"/>
        <charset val="134"/>
      </rPr>
      <t xml:space="preserve"> /</t>
    </r>
    <r>
      <rPr>
        <sz val="8"/>
        <color indexed="8"/>
        <rFont val="宋体"/>
        <charset val="134"/>
      </rPr>
      <t>立方米</t>
    </r>
    <r>
      <rPr>
        <sz val="8"/>
        <color indexed="8"/>
        <rFont val="Arial"/>
        <charset val="134"/>
      </rPr>
      <t>(15</t>
    </r>
    <r>
      <rPr>
        <sz val="8"/>
        <color indexed="8"/>
        <rFont val="Segoe UI Symbol"/>
        <charset val="134"/>
      </rPr>
      <t>℃</t>
    </r>
    <r>
      <rPr>
        <sz val="8"/>
        <color indexed="8"/>
        <rFont val="Arial"/>
        <charset val="134"/>
      </rPr>
      <t>) [T-52]</t>
    </r>
  </si>
  <si>
    <t>总接收数量</t>
  </si>
  <si>
    <r>
      <rPr>
        <sz val="8"/>
        <color theme="1"/>
        <rFont val="Arial"/>
        <charset val="134"/>
      </rPr>
      <t>bbls@60</t>
    </r>
    <r>
      <rPr>
        <sz val="8"/>
        <color indexed="8"/>
        <rFont val="Segoe UI Symbol"/>
        <charset val="134"/>
      </rPr>
      <t>℉</t>
    </r>
    <r>
      <rPr>
        <sz val="8"/>
        <color rgb="FF000000"/>
        <rFont val="Arial"/>
        <charset val="134"/>
      </rPr>
      <t>/</t>
    </r>
    <r>
      <rPr>
        <sz val="8"/>
        <color indexed="8"/>
        <rFont val="Arial"/>
        <charset val="134"/>
      </rPr>
      <t>m³@15</t>
    </r>
    <r>
      <rPr>
        <sz val="8"/>
        <color indexed="8"/>
        <rFont val="Segoe UI Symbol"/>
        <charset val="134"/>
      </rPr>
      <t>℃</t>
    </r>
  </si>
  <si>
    <r>
      <rPr>
        <sz val="8"/>
        <color indexed="8"/>
        <rFont val="宋体"/>
        <charset val="134"/>
      </rPr>
      <t>美制桶(</t>
    </r>
    <r>
      <rPr>
        <sz val="8"/>
        <color indexed="8"/>
        <rFont val="Arial"/>
        <charset val="134"/>
      </rPr>
      <t>60</t>
    </r>
    <r>
      <rPr>
        <sz val="8"/>
        <color indexed="8"/>
        <rFont val="Segoe UI Symbol"/>
        <charset val="134"/>
      </rPr>
      <t>℉</t>
    </r>
    <r>
      <rPr>
        <sz val="8"/>
        <color indexed="8"/>
        <rFont val="宋体"/>
        <charset val="134"/>
      </rPr>
      <t>)</t>
    </r>
    <r>
      <rPr>
        <sz val="8"/>
        <color indexed="8"/>
        <rFont val="Arial"/>
        <charset val="134"/>
      </rPr>
      <t xml:space="preserve"> /</t>
    </r>
    <r>
      <rPr>
        <sz val="8"/>
        <color indexed="8"/>
        <rFont val="宋体"/>
        <charset val="134"/>
      </rPr>
      <t>立方米</t>
    </r>
    <r>
      <rPr>
        <sz val="8"/>
        <color indexed="8"/>
        <rFont val="Arial"/>
        <charset val="134"/>
      </rPr>
      <t>(15</t>
    </r>
    <r>
      <rPr>
        <sz val="8"/>
        <color indexed="8"/>
        <rFont val="Segoe UI Symbol"/>
        <charset val="134"/>
      </rPr>
      <t>℃</t>
    </r>
    <r>
      <rPr>
        <sz val="8"/>
        <color indexed="8"/>
        <rFont val="Arial"/>
        <charset val="134"/>
      </rPr>
      <t>)</t>
    </r>
  </si>
  <si>
    <t>O.B.Q. Quantity</t>
  </si>
  <si>
    <t>装货前船舱底量</t>
  </si>
  <si>
    <r>
      <rPr>
        <sz val="8"/>
        <color theme="1"/>
        <rFont val="Arial"/>
        <charset val="134"/>
      </rPr>
      <t>bbls@60</t>
    </r>
    <r>
      <rPr>
        <sz val="8"/>
        <color indexed="8"/>
        <rFont val="Segoe UI Symbol"/>
        <charset val="134"/>
      </rPr>
      <t>℉</t>
    </r>
    <r>
      <rPr>
        <sz val="8"/>
        <color indexed="8"/>
        <rFont val="Arial"/>
        <charset val="134"/>
      </rPr>
      <t>/MT(in air)</t>
    </r>
  </si>
  <si>
    <r>
      <rPr>
        <sz val="8"/>
        <color indexed="8"/>
        <rFont val="宋体"/>
        <charset val="134"/>
      </rPr>
      <t>美制桶(</t>
    </r>
    <r>
      <rPr>
        <sz val="8"/>
        <color rgb="FF000000"/>
        <rFont val="Arial"/>
        <charset val="134"/>
      </rPr>
      <t>60</t>
    </r>
    <r>
      <rPr>
        <sz val="8"/>
        <color rgb="FF000000"/>
        <rFont val="Segoe UI Symbol"/>
        <charset val="134"/>
      </rPr>
      <t>℉</t>
    </r>
    <r>
      <rPr>
        <sz val="8"/>
        <color indexed="8"/>
        <rFont val="宋体"/>
        <charset val="134"/>
      </rPr>
      <t>)</t>
    </r>
    <r>
      <rPr>
        <sz val="8"/>
        <color indexed="8"/>
        <rFont val="Arial"/>
        <charset val="134"/>
      </rPr>
      <t>/</t>
    </r>
    <r>
      <rPr>
        <sz val="8"/>
        <color indexed="8"/>
        <rFont val="宋体"/>
        <charset val="134"/>
      </rPr>
      <t>公吨(空气中)</t>
    </r>
  </si>
  <si>
    <t>R.O.B. Quantity</t>
  </si>
  <si>
    <t>卸货后船舱底量</t>
  </si>
  <si>
    <t>Standard Volume</t>
  </si>
  <si>
    <t>标准体积</t>
  </si>
  <si>
    <t>In-transit Difference</t>
  </si>
  <si>
    <t>装卸港船舱数量差异</t>
  </si>
  <si>
    <r>
      <rPr>
        <sz val="11"/>
        <color theme="1"/>
        <rFont val="Arial"/>
        <charset val="134"/>
      </rPr>
      <t>m³@15</t>
    </r>
    <r>
      <rPr>
        <sz val="11"/>
        <color theme="1"/>
        <rFont val="宋体"/>
        <charset val="134"/>
      </rPr>
      <t>℃</t>
    </r>
    <r>
      <rPr>
        <sz val="11"/>
        <color theme="1"/>
        <rFont val="Arial"/>
        <charset val="134"/>
      </rPr>
      <t>/m³@20</t>
    </r>
    <r>
      <rPr>
        <sz val="11"/>
        <color theme="1"/>
        <rFont val="宋体"/>
        <charset val="134"/>
      </rPr>
      <t>℃</t>
    </r>
    <r>
      <rPr>
        <sz val="11"/>
        <color theme="1"/>
        <rFont val="Arial"/>
        <charset val="134"/>
      </rPr>
      <t xml:space="preserve"> [1/VCF(15</t>
    </r>
    <r>
      <rPr>
        <sz val="11"/>
        <color theme="1"/>
        <rFont val="宋体"/>
        <charset val="134"/>
      </rPr>
      <t>℃</t>
    </r>
    <r>
      <rPr>
        <sz val="11"/>
        <color theme="1"/>
        <rFont val="Arial"/>
        <charset val="134"/>
      </rPr>
      <t>)]</t>
    </r>
  </si>
  <si>
    <r>
      <rPr>
        <sz val="11"/>
        <color theme="1"/>
        <rFont val="宋体"/>
        <charset val="134"/>
      </rPr>
      <t>立方米(</t>
    </r>
    <r>
      <rPr>
        <sz val="11"/>
        <color theme="1"/>
        <rFont val="Arial"/>
        <charset val="134"/>
      </rPr>
      <t>15</t>
    </r>
    <r>
      <rPr>
        <sz val="11"/>
        <color theme="1"/>
        <rFont val="Segoe UI Symbol"/>
        <charset val="134"/>
      </rPr>
      <t>℃</t>
    </r>
    <r>
      <rPr>
        <sz val="11"/>
        <color theme="1"/>
        <rFont val="宋体"/>
        <charset val="134"/>
      </rPr>
      <t>)</t>
    </r>
    <r>
      <rPr>
        <sz val="11"/>
        <color theme="1"/>
        <rFont val="Arial"/>
        <charset val="134"/>
      </rPr>
      <t>/</t>
    </r>
    <r>
      <rPr>
        <sz val="11"/>
        <color theme="1"/>
        <rFont val="宋体"/>
        <charset val="134"/>
      </rPr>
      <t>立方米(</t>
    </r>
    <r>
      <rPr>
        <sz val="11"/>
        <color theme="1"/>
        <rFont val="Arial"/>
        <charset val="134"/>
      </rPr>
      <t>20</t>
    </r>
    <r>
      <rPr>
        <sz val="11"/>
        <color theme="1"/>
        <rFont val="Segoe UI Symbol"/>
        <charset val="134"/>
      </rPr>
      <t>℃</t>
    </r>
    <r>
      <rPr>
        <sz val="11"/>
        <color theme="1"/>
        <rFont val="宋体"/>
        <charset val="134"/>
      </rPr>
      <t>)</t>
    </r>
    <r>
      <rPr>
        <sz val="11"/>
        <color theme="1"/>
        <rFont val="Arial"/>
        <charset val="134"/>
      </rPr>
      <t xml:space="preserve"> [1/VCF(15</t>
    </r>
    <r>
      <rPr>
        <sz val="11"/>
        <color theme="1"/>
        <rFont val="Segoe UI Symbol"/>
        <charset val="134"/>
      </rPr>
      <t>℃</t>
    </r>
    <r>
      <rPr>
        <sz val="11"/>
        <color theme="1"/>
        <rFont val="Arial"/>
        <charset val="134"/>
      </rPr>
      <t>)]</t>
    </r>
  </si>
  <si>
    <t>Difference Percentage</t>
  </si>
  <si>
    <t>差异百分比</t>
  </si>
  <si>
    <r>
      <rPr>
        <sz val="8"/>
        <color theme="1"/>
        <rFont val="Arial"/>
        <charset val="134"/>
      </rPr>
      <t>m³@15</t>
    </r>
    <r>
      <rPr>
        <sz val="8"/>
        <color indexed="8"/>
        <rFont val="Segoe UI Symbol"/>
        <charset val="134"/>
      </rPr>
      <t>℃</t>
    </r>
    <r>
      <rPr>
        <sz val="8"/>
        <color indexed="8"/>
        <rFont val="Arial"/>
        <charset val="134"/>
      </rPr>
      <t>/bbls@60</t>
    </r>
    <r>
      <rPr>
        <sz val="8"/>
        <color indexed="8"/>
        <rFont val="Segoe UI Symbol"/>
        <charset val="134"/>
      </rPr>
      <t xml:space="preserve">℉ </t>
    </r>
    <r>
      <rPr>
        <sz val="8"/>
        <color rgb="FF000000"/>
        <rFont val="Arial"/>
        <charset val="134"/>
      </rPr>
      <t>[T-22]</t>
    </r>
  </si>
  <si>
    <r>
      <rPr>
        <sz val="8"/>
        <color indexed="8"/>
        <rFont val="宋体"/>
        <charset val="134"/>
      </rPr>
      <t>立方米</t>
    </r>
    <r>
      <rPr>
        <sz val="8"/>
        <color indexed="8"/>
        <rFont val="Arial"/>
        <charset val="134"/>
      </rPr>
      <t>(15</t>
    </r>
    <r>
      <rPr>
        <sz val="8"/>
        <color indexed="8"/>
        <rFont val="Segoe UI Symbol"/>
        <charset val="134"/>
      </rPr>
      <t>℃</t>
    </r>
    <r>
      <rPr>
        <sz val="8"/>
        <color indexed="8"/>
        <rFont val="Arial"/>
        <charset val="134"/>
      </rPr>
      <t>)/</t>
    </r>
    <r>
      <rPr>
        <sz val="8"/>
        <color indexed="8"/>
        <rFont val="宋体"/>
        <charset val="134"/>
      </rPr>
      <t>美制桶(</t>
    </r>
    <r>
      <rPr>
        <sz val="8"/>
        <color indexed="8"/>
        <rFont val="Arial"/>
        <charset val="134"/>
      </rPr>
      <t>60</t>
    </r>
    <r>
      <rPr>
        <sz val="8"/>
        <color indexed="8"/>
        <rFont val="Segoe UI Symbol"/>
        <charset val="134"/>
      </rPr>
      <t>℉</t>
    </r>
    <r>
      <rPr>
        <sz val="8"/>
        <color indexed="8"/>
        <rFont val="宋体"/>
        <charset val="134"/>
      </rPr>
      <t>) [T-22]</t>
    </r>
  </si>
  <si>
    <t>Outturn :</t>
  </si>
  <si>
    <t>结算数量：</t>
  </si>
  <si>
    <r>
      <rPr>
        <sz val="8"/>
        <color theme="1"/>
        <rFont val="Arial"/>
        <charset val="134"/>
      </rPr>
      <t>m³@15</t>
    </r>
    <r>
      <rPr>
        <sz val="8"/>
        <color indexed="8"/>
        <rFont val="Segoe UI Symbol"/>
        <charset val="134"/>
      </rPr>
      <t>℃</t>
    </r>
    <r>
      <rPr>
        <sz val="8"/>
        <color indexed="8"/>
        <rFont val="Arial"/>
        <charset val="134"/>
      </rPr>
      <t>/bbls@60</t>
    </r>
    <r>
      <rPr>
        <sz val="8"/>
        <color indexed="8"/>
        <rFont val="Segoe UI Symbol"/>
        <charset val="134"/>
      </rPr>
      <t>℉</t>
    </r>
  </si>
  <si>
    <r>
      <rPr>
        <sz val="8"/>
        <color indexed="8"/>
        <rFont val="宋体"/>
        <charset val="134"/>
      </rPr>
      <t>立方米</t>
    </r>
    <r>
      <rPr>
        <sz val="8"/>
        <color indexed="8"/>
        <rFont val="Arial"/>
        <charset val="134"/>
      </rPr>
      <t>(15</t>
    </r>
    <r>
      <rPr>
        <sz val="8"/>
        <color indexed="8"/>
        <rFont val="Segoe UI Symbol"/>
        <charset val="134"/>
      </rPr>
      <t>℃</t>
    </r>
    <r>
      <rPr>
        <sz val="8"/>
        <color indexed="8"/>
        <rFont val="Arial"/>
        <charset val="134"/>
      </rPr>
      <t>)/</t>
    </r>
    <r>
      <rPr>
        <sz val="8"/>
        <color indexed="8"/>
        <rFont val="宋体"/>
        <charset val="134"/>
      </rPr>
      <t>美制桶(</t>
    </r>
    <r>
      <rPr>
        <sz val="8"/>
        <color indexed="8"/>
        <rFont val="Arial"/>
        <charset val="134"/>
      </rPr>
      <t>60</t>
    </r>
    <r>
      <rPr>
        <sz val="8"/>
        <color indexed="8"/>
        <rFont val="Segoe UI Symbol"/>
        <charset val="134"/>
      </rPr>
      <t>℉</t>
    </r>
    <r>
      <rPr>
        <sz val="8"/>
        <color indexed="8"/>
        <rFont val="宋体"/>
        <charset val="134"/>
      </rPr>
      <t>)</t>
    </r>
    <r>
      <rPr>
        <sz val="8"/>
        <color indexed="8"/>
        <rFont val="Arial"/>
        <charset val="134"/>
      </rPr>
      <t xml:space="preserve"> </t>
    </r>
  </si>
  <si>
    <t>Shore/Vessel Difference at Discharge Port</t>
  </si>
  <si>
    <t>卸货港岸/船数量差异</t>
  </si>
  <si>
    <r>
      <rPr>
        <sz val="8"/>
        <color theme="1"/>
        <rFont val="Arial"/>
        <charset val="134"/>
      </rPr>
      <t>m³@15</t>
    </r>
    <r>
      <rPr>
        <sz val="8"/>
        <color indexed="8"/>
        <rFont val="Segoe UI Symbol"/>
        <charset val="134"/>
      </rPr>
      <t>℃</t>
    </r>
    <r>
      <rPr>
        <sz val="8"/>
        <color indexed="8"/>
        <rFont val="Arial"/>
        <charset val="134"/>
      </rPr>
      <t>/bbls@60</t>
    </r>
    <r>
      <rPr>
        <sz val="8"/>
        <color indexed="8"/>
        <rFont val="Segoe UI Symbol"/>
        <charset val="134"/>
      </rPr>
      <t xml:space="preserve">℉ </t>
    </r>
    <r>
      <rPr>
        <sz val="8"/>
        <color rgb="FF000000"/>
        <rFont val="Arial"/>
        <charset val="134"/>
      </rPr>
      <t xml:space="preserve">[T-4] </t>
    </r>
  </si>
  <si>
    <r>
      <rPr>
        <sz val="8"/>
        <color indexed="8"/>
        <rFont val="宋体"/>
        <charset val="134"/>
      </rPr>
      <t>立方米</t>
    </r>
    <r>
      <rPr>
        <sz val="8"/>
        <color indexed="8"/>
        <rFont val="Arial"/>
        <charset val="134"/>
      </rPr>
      <t>(15</t>
    </r>
    <r>
      <rPr>
        <sz val="8"/>
        <color indexed="8"/>
        <rFont val="Segoe UI Symbol"/>
        <charset val="134"/>
      </rPr>
      <t>℃</t>
    </r>
    <r>
      <rPr>
        <sz val="8"/>
        <color indexed="8"/>
        <rFont val="Arial"/>
        <charset val="134"/>
      </rPr>
      <t>)/</t>
    </r>
    <r>
      <rPr>
        <sz val="8"/>
        <color indexed="8"/>
        <rFont val="宋体"/>
        <charset val="134"/>
      </rPr>
      <t>美制桶(</t>
    </r>
    <r>
      <rPr>
        <sz val="8"/>
        <color indexed="8"/>
        <rFont val="Arial"/>
        <charset val="134"/>
      </rPr>
      <t>60</t>
    </r>
    <r>
      <rPr>
        <sz val="8"/>
        <color indexed="8"/>
        <rFont val="Segoe UI Symbol"/>
        <charset val="134"/>
      </rPr>
      <t>℉</t>
    </r>
    <r>
      <rPr>
        <sz val="8"/>
        <color indexed="8"/>
        <rFont val="宋体"/>
        <charset val="134"/>
      </rPr>
      <t>)</t>
    </r>
    <r>
      <rPr>
        <sz val="8"/>
        <color indexed="8"/>
        <rFont val="Arial"/>
        <charset val="134"/>
      </rPr>
      <t xml:space="preserve"> [T-4]</t>
    </r>
  </si>
  <si>
    <t>Bbls (60℉)</t>
  </si>
  <si>
    <t>美制桶(60℉)</t>
  </si>
  <si>
    <r>
      <rPr>
        <sz val="8"/>
        <color indexed="8"/>
        <rFont val="宋体"/>
        <charset val="134"/>
      </rPr>
      <t>立方米</t>
    </r>
    <r>
      <rPr>
        <sz val="8"/>
        <color indexed="8"/>
        <rFont val="Arial"/>
        <charset val="134"/>
      </rPr>
      <t>(15</t>
    </r>
    <r>
      <rPr>
        <sz val="8"/>
        <color indexed="8"/>
        <rFont val="Segoe UI Symbol"/>
        <charset val="134"/>
      </rPr>
      <t>℃</t>
    </r>
    <r>
      <rPr>
        <sz val="8"/>
        <color indexed="8"/>
        <rFont val="Arial"/>
        <charset val="134"/>
      </rPr>
      <t>)/</t>
    </r>
    <r>
      <rPr>
        <sz val="8"/>
        <color indexed="8"/>
        <rFont val="宋体"/>
        <charset val="134"/>
      </rPr>
      <t>美制桶(</t>
    </r>
    <r>
      <rPr>
        <sz val="8"/>
        <color indexed="8"/>
        <rFont val="Arial"/>
        <charset val="134"/>
      </rPr>
      <t>60</t>
    </r>
    <r>
      <rPr>
        <sz val="8"/>
        <color indexed="8"/>
        <rFont val="Segoe UI Symbol"/>
        <charset val="134"/>
      </rPr>
      <t>℉</t>
    </r>
    <r>
      <rPr>
        <sz val="8"/>
        <color indexed="8"/>
        <rFont val="宋体"/>
        <charset val="134"/>
      </rPr>
      <t>)</t>
    </r>
  </si>
  <si>
    <t>m³ (15℃)</t>
  </si>
  <si>
    <t>立方米(15℃)</t>
  </si>
  <si>
    <r>
      <rPr>
        <sz val="8"/>
        <color theme="1"/>
        <rFont val="Arial"/>
        <charset val="134"/>
      </rPr>
      <t>m³@20</t>
    </r>
    <r>
      <rPr>
        <sz val="8"/>
        <color indexed="8"/>
        <rFont val="Segoe UI Symbol"/>
        <charset val="134"/>
      </rPr>
      <t>℃</t>
    </r>
    <r>
      <rPr>
        <sz val="8"/>
        <color indexed="8"/>
        <rFont val="Arial"/>
        <charset val="134"/>
      </rPr>
      <t>/m³@15</t>
    </r>
    <r>
      <rPr>
        <sz val="8"/>
        <color indexed="8"/>
        <rFont val="Segoe UI Symbol"/>
        <charset val="134"/>
      </rPr>
      <t>℃</t>
    </r>
    <r>
      <rPr>
        <sz val="8"/>
        <color indexed="8"/>
        <rFont val="Arial"/>
        <charset val="134"/>
      </rPr>
      <t xml:space="preserve"> [1/VCF(20</t>
    </r>
    <r>
      <rPr>
        <sz val="8"/>
        <color indexed="8"/>
        <rFont val="Segoe UI Symbol"/>
        <charset val="134"/>
      </rPr>
      <t>℃</t>
    </r>
    <r>
      <rPr>
        <sz val="8"/>
        <color indexed="8"/>
        <rFont val="Arial"/>
        <charset val="134"/>
      </rPr>
      <t>)]</t>
    </r>
  </si>
  <si>
    <r>
      <rPr>
        <sz val="8"/>
        <color indexed="8"/>
        <rFont val="宋体"/>
        <charset val="134"/>
      </rPr>
      <t>立方米</t>
    </r>
    <r>
      <rPr>
        <sz val="8"/>
        <color indexed="8"/>
        <rFont val="Arial"/>
        <charset val="134"/>
      </rPr>
      <t>(20</t>
    </r>
    <r>
      <rPr>
        <sz val="8"/>
        <color indexed="8"/>
        <rFont val="Segoe UI Symbol"/>
        <charset val="134"/>
      </rPr>
      <t>℃</t>
    </r>
    <r>
      <rPr>
        <sz val="8"/>
        <color indexed="8"/>
        <rFont val="Arial"/>
        <charset val="134"/>
      </rPr>
      <t>)/</t>
    </r>
    <r>
      <rPr>
        <sz val="8"/>
        <color indexed="8"/>
        <rFont val="宋体"/>
        <charset val="134"/>
      </rPr>
      <t>立方米</t>
    </r>
    <r>
      <rPr>
        <sz val="8"/>
        <color indexed="8"/>
        <rFont val="Arial"/>
        <charset val="134"/>
      </rPr>
      <t>(15</t>
    </r>
    <r>
      <rPr>
        <sz val="8"/>
        <color indexed="8"/>
        <rFont val="Segoe UI Symbol"/>
        <charset val="134"/>
      </rPr>
      <t>℃</t>
    </r>
    <r>
      <rPr>
        <sz val="8"/>
        <color indexed="8"/>
        <rFont val="Arial"/>
        <charset val="134"/>
      </rPr>
      <t>) [1/VCF(20</t>
    </r>
    <r>
      <rPr>
        <sz val="8"/>
        <color indexed="8"/>
        <rFont val="Segoe UI Symbol"/>
        <charset val="134"/>
      </rPr>
      <t>℃</t>
    </r>
    <r>
      <rPr>
        <sz val="8"/>
        <color indexed="8"/>
        <rFont val="Arial"/>
        <charset val="134"/>
      </rPr>
      <t>]</t>
    </r>
  </si>
  <si>
    <t>m³ (20℃)</t>
  </si>
  <si>
    <t>立方米(20℃)</t>
  </si>
  <si>
    <r>
      <rPr>
        <sz val="8"/>
        <color theme="1"/>
        <rFont val="Arial"/>
        <charset val="134"/>
      </rPr>
      <t>m³@20</t>
    </r>
    <r>
      <rPr>
        <sz val="8"/>
        <color theme="1"/>
        <rFont val="Segoe UI Symbol"/>
        <charset val="134"/>
      </rPr>
      <t>℃</t>
    </r>
    <r>
      <rPr>
        <sz val="8"/>
        <color theme="1"/>
        <rFont val="Arial"/>
        <charset val="134"/>
      </rPr>
      <t>/bbls@60</t>
    </r>
    <r>
      <rPr>
        <sz val="8"/>
        <color theme="1"/>
        <rFont val="Segoe UI Symbol"/>
        <charset val="134"/>
      </rPr>
      <t>℉</t>
    </r>
    <r>
      <rPr>
        <sz val="8"/>
        <color theme="1"/>
        <rFont val="宋体"/>
        <charset val="134"/>
      </rPr>
      <t xml:space="preserve"> </t>
    </r>
    <r>
      <rPr>
        <sz val="8"/>
        <color theme="1"/>
        <rFont val="Arial"/>
        <charset val="134"/>
      </rPr>
      <t>[T-4] x VCF(59</t>
    </r>
    <r>
      <rPr>
        <sz val="8"/>
        <color indexed="8"/>
        <rFont val="Segoe UI Symbol"/>
        <charset val="134"/>
      </rPr>
      <t>℉</t>
    </r>
    <r>
      <rPr>
        <sz val="8"/>
        <color rgb="FF000000"/>
        <rFont val="Arial"/>
        <charset val="134"/>
      </rPr>
      <t>)/VCF(68</t>
    </r>
    <r>
      <rPr>
        <sz val="8"/>
        <color indexed="8"/>
        <rFont val="Segoe UI Symbol"/>
        <charset val="134"/>
      </rPr>
      <t>℉</t>
    </r>
    <r>
      <rPr>
        <sz val="8"/>
        <color rgb="FF000000"/>
        <rFont val="Arial"/>
        <charset val="134"/>
      </rPr>
      <t>)</t>
    </r>
  </si>
  <si>
    <r>
      <rPr>
        <sz val="8"/>
        <color theme="1"/>
        <rFont val="宋体"/>
        <charset val="134"/>
      </rPr>
      <t>立方米(</t>
    </r>
    <r>
      <rPr>
        <sz val="8"/>
        <color theme="1"/>
        <rFont val="Arial"/>
        <charset val="134"/>
      </rPr>
      <t>20</t>
    </r>
    <r>
      <rPr>
        <sz val="8"/>
        <color theme="1"/>
        <rFont val="Segoe UI Symbol"/>
        <charset val="134"/>
      </rPr>
      <t>℃)</t>
    </r>
    <r>
      <rPr>
        <sz val="8"/>
        <color theme="1"/>
        <rFont val="Arial"/>
        <charset val="134"/>
      </rPr>
      <t>/</t>
    </r>
    <r>
      <rPr>
        <sz val="8"/>
        <color theme="1"/>
        <rFont val="宋体"/>
        <charset val="134"/>
      </rPr>
      <t>美桶(</t>
    </r>
    <r>
      <rPr>
        <sz val="8"/>
        <color theme="1"/>
        <rFont val="Arial"/>
        <charset val="134"/>
      </rPr>
      <t>60</t>
    </r>
    <r>
      <rPr>
        <sz val="8"/>
        <color theme="1"/>
        <rFont val="Segoe UI Symbol"/>
        <charset val="134"/>
      </rPr>
      <t>℉)</t>
    </r>
    <r>
      <rPr>
        <sz val="8"/>
        <color theme="1"/>
        <rFont val="宋体"/>
        <charset val="134"/>
      </rPr>
      <t xml:space="preserve"> </t>
    </r>
    <r>
      <rPr>
        <sz val="8"/>
        <color theme="1"/>
        <rFont val="Arial"/>
        <charset val="134"/>
      </rPr>
      <t>[T-4] x VCF(59</t>
    </r>
    <r>
      <rPr>
        <sz val="8"/>
        <color indexed="8"/>
        <rFont val="Segoe UI Symbol"/>
        <charset val="134"/>
      </rPr>
      <t>℉</t>
    </r>
    <r>
      <rPr>
        <sz val="8"/>
        <color rgb="FF000000"/>
        <rFont val="Arial"/>
        <charset val="134"/>
      </rPr>
      <t>)/VCF(68</t>
    </r>
    <r>
      <rPr>
        <sz val="8"/>
        <color indexed="8"/>
        <rFont val="Segoe UI Symbol"/>
        <charset val="134"/>
      </rPr>
      <t>℉</t>
    </r>
    <r>
      <rPr>
        <sz val="8"/>
        <color rgb="FF000000"/>
        <rFont val="Arial"/>
        <charset val="134"/>
      </rPr>
      <t>)</t>
    </r>
  </si>
  <si>
    <t>MT (air)</t>
  </si>
  <si>
    <t>公吨(空气中)</t>
  </si>
  <si>
    <r>
      <rPr>
        <sz val="8"/>
        <color theme="1"/>
        <rFont val="Arial"/>
        <charset val="134"/>
      </rPr>
      <t>m³@20</t>
    </r>
    <r>
      <rPr>
        <sz val="8"/>
        <color theme="1"/>
        <rFont val="Segoe UI Symbol"/>
        <charset val="134"/>
      </rPr>
      <t>℃</t>
    </r>
    <r>
      <rPr>
        <sz val="8"/>
        <color theme="1"/>
        <rFont val="Arial"/>
        <charset val="134"/>
      </rPr>
      <t>/bbls@60</t>
    </r>
    <r>
      <rPr>
        <sz val="8"/>
        <color theme="1"/>
        <rFont val="Segoe UI Symbol"/>
        <charset val="134"/>
      </rPr>
      <t>℉</t>
    </r>
  </si>
  <si>
    <r>
      <rPr>
        <sz val="8"/>
        <color theme="1"/>
        <rFont val="宋体"/>
        <charset val="134"/>
      </rPr>
      <t>立方米(</t>
    </r>
    <r>
      <rPr>
        <sz val="8"/>
        <color theme="1"/>
        <rFont val="Arial"/>
        <charset val="134"/>
      </rPr>
      <t>20</t>
    </r>
    <r>
      <rPr>
        <sz val="8"/>
        <color theme="1"/>
        <rFont val="Segoe UI Symbol"/>
        <charset val="134"/>
      </rPr>
      <t>℃)</t>
    </r>
    <r>
      <rPr>
        <sz val="8"/>
        <color theme="1"/>
        <rFont val="Arial"/>
        <charset val="134"/>
      </rPr>
      <t>/</t>
    </r>
    <r>
      <rPr>
        <sz val="8"/>
        <color theme="1"/>
        <rFont val="宋体"/>
        <charset val="134"/>
      </rPr>
      <t>美桶(</t>
    </r>
    <r>
      <rPr>
        <sz val="8"/>
        <color theme="1"/>
        <rFont val="Arial"/>
        <charset val="134"/>
      </rPr>
      <t>60</t>
    </r>
    <r>
      <rPr>
        <sz val="8"/>
        <color theme="1"/>
        <rFont val="Segoe UI Symbol"/>
        <charset val="134"/>
      </rPr>
      <t>℉)</t>
    </r>
  </si>
  <si>
    <t>LT (air)</t>
  </si>
  <si>
    <t>长吨(空气中)</t>
  </si>
  <si>
    <r>
      <rPr>
        <sz val="8"/>
        <color theme="1"/>
        <rFont val="Arial"/>
        <charset val="134"/>
      </rPr>
      <t>m³@20</t>
    </r>
    <r>
      <rPr>
        <sz val="8"/>
        <color theme="1"/>
        <rFont val="Segoe UI Symbol"/>
        <charset val="134"/>
      </rPr>
      <t>℃</t>
    </r>
    <r>
      <rPr>
        <sz val="8"/>
        <color theme="1"/>
        <rFont val="Arial"/>
        <charset val="134"/>
      </rPr>
      <t>/bbls@60</t>
    </r>
    <r>
      <rPr>
        <sz val="8"/>
        <color theme="1"/>
        <rFont val="Segoe UI Symbol"/>
        <charset val="134"/>
      </rPr>
      <t>℉</t>
    </r>
    <r>
      <rPr>
        <sz val="8"/>
        <color theme="1"/>
        <rFont val="宋体"/>
        <charset val="134"/>
      </rPr>
      <t xml:space="preserve"> </t>
    </r>
    <r>
      <rPr>
        <sz val="8"/>
        <color theme="1"/>
        <rFont val="Arial"/>
        <charset val="134"/>
      </rPr>
      <t>[T-22] x VCF(59</t>
    </r>
    <r>
      <rPr>
        <sz val="8"/>
        <color indexed="8"/>
        <rFont val="Segoe UI Symbol"/>
        <charset val="134"/>
      </rPr>
      <t>℉</t>
    </r>
    <r>
      <rPr>
        <sz val="8"/>
        <color indexed="8"/>
        <rFont val="Arial"/>
        <charset val="134"/>
      </rPr>
      <t>)/VCF(68</t>
    </r>
    <r>
      <rPr>
        <sz val="8"/>
        <color indexed="8"/>
        <rFont val="Segoe UI Symbol"/>
        <charset val="134"/>
      </rPr>
      <t>℉</t>
    </r>
    <r>
      <rPr>
        <sz val="8"/>
        <color indexed="8"/>
        <rFont val="Arial"/>
        <charset val="134"/>
      </rPr>
      <t>)</t>
    </r>
  </si>
  <si>
    <r>
      <rPr>
        <sz val="8"/>
        <color theme="1"/>
        <rFont val="宋体"/>
        <charset val="134"/>
      </rPr>
      <t>立方米</t>
    </r>
    <r>
      <rPr>
        <sz val="8"/>
        <color theme="1"/>
        <rFont val="Arial"/>
        <charset val="134"/>
      </rPr>
      <t>(20</t>
    </r>
    <r>
      <rPr>
        <sz val="8"/>
        <color theme="1"/>
        <rFont val="Segoe UI Symbol"/>
        <charset val="134"/>
      </rPr>
      <t>℃)</t>
    </r>
    <r>
      <rPr>
        <sz val="8"/>
        <color theme="1"/>
        <rFont val="Arial"/>
        <charset val="134"/>
      </rPr>
      <t>/</t>
    </r>
    <r>
      <rPr>
        <sz val="8"/>
        <color theme="1"/>
        <rFont val="宋体"/>
        <charset val="134"/>
      </rPr>
      <t>美桶(</t>
    </r>
    <r>
      <rPr>
        <sz val="8"/>
        <color theme="1"/>
        <rFont val="Arial"/>
        <charset val="134"/>
      </rPr>
      <t>60</t>
    </r>
    <r>
      <rPr>
        <sz val="8"/>
        <color theme="1"/>
        <rFont val="Segoe UI Symbol"/>
        <charset val="134"/>
      </rPr>
      <t>℉)</t>
    </r>
    <r>
      <rPr>
        <sz val="8"/>
        <color theme="1"/>
        <rFont val="宋体"/>
        <charset val="134"/>
      </rPr>
      <t xml:space="preserve"> </t>
    </r>
    <r>
      <rPr>
        <sz val="8"/>
        <color theme="1"/>
        <rFont val="Arial"/>
        <charset val="134"/>
      </rPr>
      <t>[T-22] x VCF(59</t>
    </r>
    <r>
      <rPr>
        <sz val="8"/>
        <color indexed="8"/>
        <rFont val="Segoe UI Symbol"/>
        <charset val="134"/>
      </rPr>
      <t>℉</t>
    </r>
    <r>
      <rPr>
        <sz val="8"/>
        <color indexed="8"/>
        <rFont val="Arial"/>
        <charset val="134"/>
      </rPr>
      <t>)/VCF(68</t>
    </r>
    <r>
      <rPr>
        <sz val="8"/>
        <color indexed="8"/>
        <rFont val="Segoe UI Symbol"/>
        <charset val="134"/>
      </rPr>
      <t>℉</t>
    </r>
    <r>
      <rPr>
        <sz val="8"/>
        <color indexed="8"/>
        <rFont val="Arial"/>
        <charset val="134"/>
      </rPr>
      <t>)</t>
    </r>
  </si>
  <si>
    <t>- Gross Quantity</t>
  </si>
  <si>
    <t>- 毛量</t>
  </si>
  <si>
    <r>
      <rPr>
        <sz val="8"/>
        <color theme="1"/>
        <rFont val="宋体"/>
        <charset val="134"/>
      </rPr>
      <t>立方米</t>
    </r>
    <r>
      <rPr>
        <sz val="8"/>
        <color theme="1"/>
        <rFont val="Arial"/>
        <charset val="134"/>
      </rPr>
      <t>(20</t>
    </r>
    <r>
      <rPr>
        <sz val="8"/>
        <color theme="1"/>
        <rFont val="Segoe UI Symbol"/>
        <charset val="134"/>
      </rPr>
      <t>℃)</t>
    </r>
    <r>
      <rPr>
        <sz val="8"/>
        <color theme="1"/>
        <rFont val="Arial"/>
        <charset val="134"/>
      </rPr>
      <t>/</t>
    </r>
    <r>
      <rPr>
        <sz val="8"/>
        <color theme="1"/>
        <rFont val="宋体"/>
        <charset val="134"/>
      </rPr>
      <t>美桶(</t>
    </r>
    <r>
      <rPr>
        <sz val="8"/>
        <color theme="1"/>
        <rFont val="Arial"/>
        <charset val="134"/>
      </rPr>
      <t>60</t>
    </r>
    <r>
      <rPr>
        <sz val="8"/>
        <color theme="1"/>
        <rFont val="Segoe UI Symbol"/>
        <charset val="134"/>
      </rPr>
      <t>℉)</t>
    </r>
  </si>
  <si>
    <t>- Net Quantity</t>
  </si>
  <si>
    <t>- 净量</t>
  </si>
  <si>
    <r>
      <rPr>
        <sz val="8"/>
        <color theme="1"/>
        <rFont val="Arial"/>
        <charset val="134"/>
      </rPr>
      <t>m³@30</t>
    </r>
    <r>
      <rPr>
        <sz val="8"/>
        <color indexed="8"/>
        <rFont val="Segoe UI Symbol"/>
        <charset val="134"/>
      </rPr>
      <t>℃</t>
    </r>
    <r>
      <rPr>
        <sz val="8"/>
        <color indexed="8"/>
        <rFont val="Arial"/>
        <charset val="134"/>
      </rPr>
      <t>/m³@15</t>
    </r>
    <r>
      <rPr>
        <sz val="8"/>
        <color indexed="8"/>
        <rFont val="Segoe UI Symbol"/>
        <charset val="134"/>
      </rPr>
      <t>℃</t>
    </r>
    <r>
      <rPr>
        <sz val="8"/>
        <color indexed="8"/>
        <rFont val="Arial"/>
        <charset val="134"/>
      </rPr>
      <t xml:space="preserve"> [1/VCF(30</t>
    </r>
    <r>
      <rPr>
        <sz val="8"/>
        <color indexed="8"/>
        <rFont val="Segoe UI Symbol"/>
        <charset val="134"/>
      </rPr>
      <t>℃</t>
    </r>
    <r>
      <rPr>
        <sz val="8"/>
        <color indexed="8"/>
        <rFont val="Arial"/>
        <charset val="134"/>
      </rPr>
      <t>)]</t>
    </r>
  </si>
  <si>
    <r>
      <rPr>
        <sz val="8"/>
        <color indexed="8"/>
        <rFont val="宋体"/>
        <charset val="134"/>
      </rPr>
      <t>立方米</t>
    </r>
    <r>
      <rPr>
        <sz val="8"/>
        <color indexed="8"/>
        <rFont val="Arial"/>
        <charset val="134"/>
      </rPr>
      <t>(30</t>
    </r>
    <r>
      <rPr>
        <sz val="8"/>
        <color indexed="8"/>
        <rFont val="Segoe UI Symbol"/>
        <charset val="134"/>
      </rPr>
      <t>℃</t>
    </r>
    <r>
      <rPr>
        <sz val="8"/>
        <color indexed="8"/>
        <rFont val="Arial"/>
        <charset val="134"/>
      </rPr>
      <t>)/</t>
    </r>
    <r>
      <rPr>
        <sz val="8"/>
        <color indexed="8"/>
        <rFont val="宋体"/>
        <charset val="134"/>
      </rPr>
      <t>立方米</t>
    </r>
    <r>
      <rPr>
        <sz val="8"/>
        <color indexed="8"/>
        <rFont val="Arial"/>
        <charset val="134"/>
      </rPr>
      <t>(15</t>
    </r>
    <r>
      <rPr>
        <sz val="8"/>
        <color indexed="8"/>
        <rFont val="Segoe UI Symbol"/>
        <charset val="134"/>
      </rPr>
      <t>℃</t>
    </r>
    <r>
      <rPr>
        <sz val="8"/>
        <color indexed="8"/>
        <rFont val="Arial"/>
        <charset val="134"/>
      </rPr>
      <t>) [1/VCF(30</t>
    </r>
    <r>
      <rPr>
        <sz val="8"/>
        <color indexed="8"/>
        <rFont val="Segoe UI Symbol"/>
        <charset val="134"/>
      </rPr>
      <t>℃</t>
    </r>
    <r>
      <rPr>
        <sz val="8"/>
        <color indexed="8"/>
        <rFont val="Arial"/>
        <charset val="134"/>
      </rPr>
      <t>]</t>
    </r>
  </si>
  <si>
    <t>VCF table used at discharge port</t>
  </si>
  <si>
    <t>卸货港使用的体积修正系数表</t>
  </si>
  <si>
    <r>
      <rPr>
        <sz val="8"/>
        <color theme="1"/>
        <rFont val="Arial"/>
        <charset val="134"/>
      </rPr>
      <t>m³@30</t>
    </r>
    <r>
      <rPr>
        <sz val="8"/>
        <color indexed="8"/>
        <rFont val="Segoe UI Symbol"/>
        <charset val="134"/>
      </rPr>
      <t>℃</t>
    </r>
    <r>
      <rPr>
        <sz val="8"/>
        <color indexed="8"/>
        <rFont val="Arial"/>
        <charset val="134"/>
      </rPr>
      <t>/m³@20</t>
    </r>
    <r>
      <rPr>
        <sz val="8"/>
        <color indexed="8"/>
        <rFont val="Segoe UI Symbol"/>
        <charset val="134"/>
      </rPr>
      <t>℃</t>
    </r>
    <r>
      <rPr>
        <sz val="8"/>
        <color indexed="8"/>
        <rFont val="Arial"/>
        <charset val="134"/>
      </rPr>
      <t xml:space="preserve"> [1/VCF(30</t>
    </r>
    <r>
      <rPr>
        <sz val="8"/>
        <color indexed="8"/>
        <rFont val="Segoe UI Symbol"/>
        <charset val="134"/>
      </rPr>
      <t>℃</t>
    </r>
    <r>
      <rPr>
        <sz val="8"/>
        <color indexed="8"/>
        <rFont val="Arial"/>
        <charset val="134"/>
      </rPr>
      <t>)]</t>
    </r>
  </si>
  <si>
    <r>
      <rPr>
        <sz val="8"/>
        <color indexed="8"/>
        <rFont val="宋体"/>
        <charset val="134"/>
      </rPr>
      <t>立方米</t>
    </r>
    <r>
      <rPr>
        <sz val="8"/>
        <color indexed="8"/>
        <rFont val="Arial"/>
        <charset val="134"/>
      </rPr>
      <t>(30</t>
    </r>
    <r>
      <rPr>
        <sz val="8"/>
        <color indexed="8"/>
        <rFont val="Segoe UI Symbol"/>
        <charset val="134"/>
      </rPr>
      <t>℃</t>
    </r>
    <r>
      <rPr>
        <sz val="8"/>
        <color indexed="8"/>
        <rFont val="Arial"/>
        <charset val="134"/>
      </rPr>
      <t>)/</t>
    </r>
    <r>
      <rPr>
        <sz val="8"/>
        <color indexed="8"/>
        <rFont val="宋体"/>
        <charset val="134"/>
      </rPr>
      <t>立方米</t>
    </r>
    <r>
      <rPr>
        <sz val="8"/>
        <color indexed="8"/>
        <rFont val="Arial"/>
        <charset val="134"/>
      </rPr>
      <t>(20</t>
    </r>
    <r>
      <rPr>
        <sz val="8"/>
        <color indexed="8"/>
        <rFont val="Segoe UI Symbol"/>
        <charset val="134"/>
      </rPr>
      <t>℃</t>
    </r>
    <r>
      <rPr>
        <sz val="8"/>
        <color indexed="8"/>
        <rFont val="Arial"/>
        <charset val="134"/>
      </rPr>
      <t>) [1/VCF(30</t>
    </r>
    <r>
      <rPr>
        <sz val="8"/>
        <color indexed="8"/>
        <rFont val="Segoe UI Symbol"/>
        <charset val="134"/>
      </rPr>
      <t>℃</t>
    </r>
    <r>
      <rPr>
        <sz val="8"/>
        <color indexed="8"/>
        <rFont val="Arial"/>
        <charset val="134"/>
      </rPr>
      <t>]</t>
    </r>
  </si>
  <si>
    <t>VEF</t>
  </si>
  <si>
    <t>船舶经验系数</t>
  </si>
  <si>
    <r>
      <rPr>
        <sz val="8"/>
        <color theme="1"/>
        <rFont val="Arial"/>
        <charset val="134"/>
      </rPr>
      <t>m³@30</t>
    </r>
    <r>
      <rPr>
        <sz val="8"/>
        <color theme="1"/>
        <rFont val="Segoe UI Symbol"/>
        <charset val="134"/>
      </rPr>
      <t>℃</t>
    </r>
    <r>
      <rPr>
        <sz val="8"/>
        <color theme="1"/>
        <rFont val="Arial"/>
        <charset val="134"/>
      </rPr>
      <t>/bbls@60</t>
    </r>
    <r>
      <rPr>
        <sz val="8"/>
        <color theme="1"/>
        <rFont val="Segoe UI Symbol"/>
        <charset val="134"/>
      </rPr>
      <t>℉</t>
    </r>
    <r>
      <rPr>
        <sz val="8"/>
        <color theme="1"/>
        <rFont val="Arial"/>
        <charset val="134"/>
      </rPr>
      <t xml:space="preserve"> [T-4] x VCF(59</t>
    </r>
    <r>
      <rPr>
        <sz val="8"/>
        <color indexed="8"/>
        <rFont val="Segoe UI Symbol"/>
        <charset val="134"/>
      </rPr>
      <t>℉</t>
    </r>
    <r>
      <rPr>
        <sz val="8"/>
        <color rgb="FF000000"/>
        <rFont val="Arial"/>
        <charset val="134"/>
      </rPr>
      <t>)/VCF(86</t>
    </r>
    <r>
      <rPr>
        <sz val="8"/>
        <color indexed="8"/>
        <rFont val="Segoe UI Symbol"/>
        <charset val="134"/>
      </rPr>
      <t>℉</t>
    </r>
    <r>
      <rPr>
        <sz val="8"/>
        <color rgb="FF000000"/>
        <rFont val="Arial"/>
        <charset val="134"/>
      </rPr>
      <t>)</t>
    </r>
  </si>
  <si>
    <r>
      <rPr>
        <sz val="8"/>
        <color theme="1"/>
        <rFont val="宋体"/>
        <charset val="134"/>
      </rPr>
      <t>立方米(</t>
    </r>
    <r>
      <rPr>
        <sz val="8"/>
        <color theme="1"/>
        <rFont val="Arial"/>
        <charset val="134"/>
      </rPr>
      <t>30</t>
    </r>
    <r>
      <rPr>
        <sz val="8"/>
        <color theme="1"/>
        <rFont val="Segoe UI Symbol"/>
        <charset val="134"/>
      </rPr>
      <t>℃)</t>
    </r>
    <r>
      <rPr>
        <sz val="8"/>
        <color theme="1"/>
        <rFont val="Arial"/>
        <charset val="134"/>
      </rPr>
      <t>/</t>
    </r>
    <r>
      <rPr>
        <sz val="8"/>
        <color theme="1"/>
        <rFont val="宋体"/>
        <charset val="134"/>
      </rPr>
      <t>美桶(</t>
    </r>
    <r>
      <rPr>
        <sz val="8"/>
        <color theme="1"/>
        <rFont val="Arial"/>
        <charset val="134"/>
      </rPr>
      <t>60</t>
    </r>
    <r>
      <rPr>
        <sz val="8"/>
        <color theme="1"/>
        <rFont val="Segoe UI Symbol"/>
        <charset val="134"/>
      </rPr>
      <t>℉)</t>
    </r>
    <r>
      <rPr>
        <sz val="8"/>
        <color theme="1"/>
        <rFont val="宋体"/>
        <charset val="134"/>
      </rPr>
      <t xml:space="preserve"> </t>
    </r>
    <r>
      <rPr>
        <sz val="8"/>
        <color theme="1"/>
        <rFont val="Arial"/>
        <charset val="134"/>
      </rPr>
      <t>[T-4] x VCF(59</t>
    </r>
    <r>
      <rPr>
        <sz val="8"/>
        <color indexed="8"/>
        <rFont val="Segoe UI Symbol"/>
        <charset val="134"/>
      </rPr>
      <t>℉</t>
    </r>
    <r>
      <rPr>
        <sz val="8"/>
        <color rgb="FF000000"/>
        <rFont val="Arial"/>
        <charset val="134"/>
      </rPr>
      <t>)/VCF(86</t>
    </r>
    <r>
      <rPr>
        <sz val="8"/>
        <color indexed="8"/>
        <rFont val="Segoe UI Symbol"/>
        <charset val="134"/>
      </rPr>
      <t>℉</t>
    </r>
    <r>
      <rPr>
        <sz val="8"/>
        <color rgb="FF000000"/>
        <rFont val="Arial"/>
        <charset val="134"/>
      </rPr>
      <t>)</t>
    </r>
  </si>
  <si>
    <t>DISCHARGING SUMMARY REPORT</t>
  </si>
  <si>
    <t>卸货摘要报告</t>
  </si>
  <si>
    <r>
      <rPr>
        <sz val="8"/>
        <color theme="1"/>
        <rFont val="Arial"/>
        <charset val="134"/>
      </rPr>
      <t>m³@30</t>
    </r>
    <r>
      <rPr>
        <sz val="8"/>
        <color theme="1"/>
        <rFont val="Segoe UI Symbol"/>
        <charset val="134"/>
      </rPr>
      <t>℃</t>
    </r>
    <r>
      <rPr>
        <sz val="8"/>
        <color theme="1"/>
        <rFont val="Arial"/>
        <charset val="134"/>
      </rPr>
      <t>/bbls@60</t>
    </r>
    <r>
      <rPr>
        <sz val="8"/>
        <color theme="1"/>
        <rFont val="Segoe UI Symbol"/>
        <charset val="134"/>
      </rPr>
      <t>℉</t>
    </r>
  </si>
  <si>
    <r>
      <rPr>
        <sz val="8"/>
        <color theme="1"/>
        <rFont val="宋体"/>
        <charset val="134"/>
      </rPr>
      <t>立方米(</t>
    </r>
    <r>
      <rPr>
        <sz val="8"/>
        <color theme="1"/>
        <rFont val="Arial"/>
        <charset val="134"/>
      </rPr>
      <t>30</t>
    </r>
    <r>
      <rPr>
        <sz val="8"/>
        <color theme="1"/>
        <rFont val="Segoe UI Symbol"/>
        <charset val="134"/>
      </rPr>
      <t>℃)</t>
    </r>
    <r>
      <rPr>
        <sz val="8"/>
        <color theme="1"/>
        <rFont val="Arial"/>
        <charset val="134"/>
      </rPr>
      <t>/</t>
    </r>
    <r>
      <rPr>
        <sz val="8"/>
        <color theme="1"/>
        <rFont val="宋体"/>
        <charset val="134"/>
      </rPr>
      <t>美桶(</t>
    </r>
    <r>
      <rPr>
        <sz val="8"/>
        <color theme="1"/>
        <rFont val="Arial"/>
        <charset val="134"/>
      </rPr>
      <t>60</t>
    </r>
    <r>
      <rPr>
        <sz val="8"/>
        <color theme="1"/>
        <rFont val="Segoe UI Symbol"/>
        <charset val="134"/>
      </rPr>
      <t>℉)</t>
    </r>
  </si>
  <si>
    <r>
      <rPr>
        <sz val="8"/>
        <color theme="1"/>
        <rFont val="Arial"/>
        <charset val="134"/>
      </rPr>
      <t>m³@30</t>
    </r>
    <r>
      <rPr>
        <sz val="8"/>
        <color theme="1"/>
        <rFont val="Segoe UI Symbol"/>
        <charset val="134"/>
      </rPr>
      <t>℃</t>
    </r>
    <r>
      <rPr>
        <sz val="8"/>
        <color theme="1"/>
        <rFont val="Arial"/>
        <charset val="134"/>
      </rPr>
      <t>/bbls@60</t>
    </r>
    <r>
      <rPr>
        <sz val="8"/>
        <color theme="1"/>
        <rFont val="Segoe UI Symbol"/>
        <charset val="134"/>
      </rPr>
      <t>℉</t>
    </r>
    <r>
      <rPr>
        <sz val="8"/>
        <color theme="1"/>
        <rFont val="宋体"/>
        <charset val="134"/>
      </rPr>
      <t xml:space="preserve"> </t>
    </r>
    <r>
      <rPr>
        <sz val="8"/>
        <color theme="1"/>
        <rFont val="Arial"/>
        <charset val="134"/>
      </rPr>
      <t>[T-22] x VCF(59</t>
    </r>
    <r>
      <rPr>
        <sz val="8"/>
        <color indexed="8"/>
        <rFont val="Segoe UI Symbol"/>
        <charset val="134"/>
      </rPr>
      <t>℉</t>
    </r>
    <r>
      <rPr>
        <sz val="8"/>
        <color indexed="8"/>
        <rFont val="Arial"/>
        <charset val="134"/>
      </rPr>
      <t>)/VCF(86</t>
    </r>
    <r>
      <rPr>
        <sz val="8"/>
        <color indexed="8"/>
        <rFont val="Segoe UI Symbol"/>
        <charset val="134"/>
      </rPr>
      <t>℉</t>
    </r>
    <r>
      <rPr>
        <sz val="8"/>
        <color indexed="8"/>
        <rFont val="Arial"/>
        <charset val="134"/>
      </rPr>
      <t>)</t>
    </r>
  </si>
  <si>
    <r>
      <rPr>
        <sz val="8"/>
        <color theme="1"/>
        <rFont val="宋体"/>
        <charset val="134"/>
      </rPr>
      <t>立方米</t>
    </r>
    <r>
      <rPr>
        <sz val="8"/>
        <color theme="1"/>
        <rFont val="Arial"/>
        <charset val="134"/>
      </rPr>
      <t>(30</t>
    </r>
    <r>
      <rPr>
        <sz val="8"/>
        <color theme="1"/>
        <rFont val="Segoe UI Symbol"/>
        <charset val="134"/>
      </rPr>
      <t>℃)</t>
    </r>
    <r>
      <rPr>
        <sz val="8"/>
        <color theme="1"/>
        <rFont val="Arial"/>
        <charset val="134"/>
      </rPr>
      <t>/</t>
    </r>
    <r>
      <rPr>
        <sz val="8"/>
        <color theme="1"/>
        <rFont val="宋体"/>
        <charset val="134"/>
      </rPr>
      <t>美桶(</t>
    </r>
    <r>
      <rPr>
        <sz val="8"/>
        <color theme="1"/>
        <rFont val="Arial"/>
        <charset val="134"/>
      </rPr>
      <t>60</t>
    </r>
    <r>
      <rPr>
        <sz val="8"/>
        <color theme="1"/>
        <rFont val="Segoe UI Symbol"/>
        <charset val="134"/>
      </rPr>
      <t>℉)</t>
    </r>
    <r>
      <rPr>
        <sz val="8"/>
        <color theme="1"/>
        <rFont val="宋体"/>
        <charset val="134"/>
      </rPr>
      <t xml:space="preserve"> </t>
    </r>
    <r>
      <rPr>
        <sz val="8"/>
        <color theme="1"/>
        <rFont val="Arial"/>
        <charset val="134"/>
      </rPr>
      <t>[T-22] x VCF(59</t>
    </r>
    <r>
      <rPr>
        <sz val="8"/>
        <color indexed="8"/>
        <rFont val="Segoe UI Symbol"/>
        <charset val="134"/>
      </rPr>
      <t>℉</t>
    </r>
    <r>
      <rPr>
        <sz val="8"/>
        <color indexed="8"/>
        <rFont val="Arial"/>
        <charset val="134"/>
      </rPr>
      <t>)/VCF(86</t>
    </r>
    <r>
      <rPr>
        <sz val="8"/>
        <color indexed="8"/>
        <rFont val="Segoe UI Symbol"/>
        <charset val="134"/>
      </rPr>
      <t>℉</t>
    </r>
    <r>
      <rPr>
        <sz val="8"/>
        <color indexed="8"/>
        <rFont val="Arial"/>
        <charset val="134"/>
      </rPr>
      <t>)</t>
    </r>
  </si>
  <si>
    <r>
      <rPr>
        <sz val="8"/>
        <color theme="1"/>
        <rFont val="宋体"/>
        <charset val="134"/>
      </rPr>
      <t>立方米</t>
    </r>
    <r>
      <rPr>
        <sz val="8"/>
        <color theme="1"/>
        <rFont val="Arial"/>
        <charset val="134"/>
      </rPr>
      <t>(30</t>
    </r>
    <r>
      <rPr>
        <sz val="8"/>
        <color theme="1"/>
        <rFont val="Segoe UI Symbol"/>
        <charset val="134"/>
      </rPr>
      <t>℃)</t>
    </r>
    <r>
      <rPr>
        <sz val="8"/>
        <color theme="1"/>
        <rFont val="Arial"/>
        <charset val="134"/>
      </rPr>
      <t>/</t>
    </r>
    <r>
      <rPr>
        <sz val="8"/>
        <color theme="1"/>
        <rFont val="宋体"/>
        <charset val="134"/>
      </rPr>
      <t>美桶(</t>
    </r>
    <r>
      <rPr>
        <sz val="8"/>
        <color theme="1"/>
        <rFont val="Arial"/>
        <charset val="134"/>
      </rPr>
      <t>60</t>
    </r>
    <r>
      <rPr>
        <sz val="8"/>
        <color theme="1"/>
        <rFont val="Segoe UI Symbol"/>
        <charset val="134"/>
      </rPr>
      <t>℉)</t>
    </r>
  </si>
  <si>
    <t>US Gallon/US Barrels [T-1]</t>
  </si>
  <si>
    <r>
      <rPr>
        <sz val="8"/>
        <color indexed="8"/>
        <rFont val="宋体"/>
        <charset val="134"/>
      </rPr>
      <t>美制加仑</t>
    </r>
    <r>
      <rPr>
        <sz val="8"/>
        <color indexed="8"/>
        <rFont val="Arial"/>
        <charset val="134"/>
      </rPr>
      <t>/</t>
    </r>
    <r>
      <rPr>
        <sz val="8"/>
        <color indexed="8"/>
        <rFont val="宋体"/>
        <charset val="134"/>
      </rPr>
      <t xml:space="preserve">美制桶 </t>
    </r>
    <r>
      <rPr>
        <sz val="8"/>
        <color rgb="FF000000"/>
        <rFont val="Arial"/>
        <charset val="134"/>
      </rPr>
      <t>[T-1]</t>
    </r>
  </si>
  <si>
    <t>Master/Chief Officer</t>
  </si>
  <si>
    <t>船长/大副</t>
  </si>
  <si>
    <t>CCIC Surveyor</t>
  </si>
  <si>
    <t>CCIC检验员</t>
  </si>
  <si>
    <t>Name</t>
  </si>
  <si>
    <t>姓名</t>
  </si>
  <si>
    <t>Signature</t>
  </si>
  <si>
    <t>签字</t>
  </si>
  <si>
    <t>Authorized Signature (S)</t>
  </si>
  <si>
    <t>授权签字人</t>
  </si>
  <si>
    <t xml:space="preserve"> </t>
  </si>
  <si>
    <t>N/A</t>
  </si>
  <si>
    <t>*Vessel Tank Quantity After Load Applied VEF</t>
  </si>
  <si>
    <t>船舶经验系数修正后的装货后船舱数量</t>
  </si>
  <si>
    <t>Vessel Loaded Quantity</t>
  </si>
  <si>
    <t>船舱收货数量</t>
  </si>
  <si>
    <t>*Vessel Loaded Quantity Applied VEF</t>
  </si>
  <si>
    <t>船舶经验系数修正后的船舱收货数量</t>
  </si>
  <si>
    <t>Shore Delivered Quantity (Flow Meter)</t>
  </si>
  <si>
    <t>岸方发货数量（流量计计量）</t>
  </si>
  <si>
    <t>Shore Tanks Delivered Quantity</t>
  </si>
  <si>
    <t>岸罐发货数量</t>
  </si>
  <si>
    <t>毛量</t>
  </si>
  <si>
    <t>净量</t>
  </si>
  <si>
    <t>LOADING SUMMARY REPORT</t>
  </si>
  <si>
    <t>装货摘要报告</t>
  </si>
  <si>
    <t>Cubic Meters (Obsd. Temp.)</t>
  </si>
  <si>
    <t>立方米 (观测温度)</t>
  </si>
  <si>
    <t>Kiloliters (Obsd. Temp.)</t>
  </si>
  <si>
    <t>千升 (观测温度)</t>
  </si>
  <si>
    <t>Cubic Meters (15℃)</t>
  </si>
  <si>
    <t>立方米 (15℃)</t>
  </si>
  <si>
    <t>Kiloliters (15℃)</t>
  </si>
  <si>
    <t>千升 (15℃)</t>
  </si>
  <si>
    <t>Cubic Meters (20℃)</t>
  </si>
  <si>
    <t>立方米 (20℃)</t>
  </si>
  <si>
    <t>Kiloliters (20℃)</t>
  </si>
  <si>
    <t>千升 (20℃)</t>
  </si>
  <si>
    <t>Cubic Meters (30℃)</t>
  </si>
  <si>
    <t>立方米 (30℃)</t>
  </si>
  <si>
    <t>Kiloliters (30℃)</t>
  </si>
  <si>
    <t>千升 (30℃)</t>
  </si>
  <si>
    <t>vessel aft</t>
  </si>
  <si>
    <t>aft vef</t>
  </si>
  <si>
    <t>vessel load</t>
  </si>
  <si>
    <t>load vef</t>
  </si>
  <si>
    <t>vessel b4</t>
  </si>
  <si>
    <t>b4 vef</t>
  </si>
  <si>
    <t>vessel discharge</t>
  </si>
  <si>
    <t>discharge vef</t>
  </si>
  <si>
    <t>meter d</t>
  </si>
  <si>
    <t>meter R</t>
  </si>
  <si>
    <t>shore tank D</t>
  </si>
  <si>
    <t>shore tank R</t>
  </si>
  <si>
    <t>Gross Quantity</t>
  </si>
  <si>
    <t>Net Quantity</t>
  </si>
  <si>
    <t>US Barrels (Obsd. Temp.)</t>
  </si>
  <si>
    <t>美制桶 (观测温度)</t>
  </si>
  <si>
    <t>US Barrels (60℉)</t>
  </si>
  <si>
    <t>美制桶 (60℉)</t>
  </si>
  <si>
    <t>US Gallon (60℉)</t>
  </si>
  <si>
    <t>美制加仑 (60℉)</t>
  </si>
  <si>
    <t>Metric Tons (in vacuo)</t>
  </si>
  <si>
    <t>公吨 (真空中)</t>
  </si>
  <si>
    <t>Metric Tons (in air)</t>
  </si>
  <si>
    <t>公吨 (空气中)</t>
  </si>
  <si>
    <t>Long Tons (in vacuo)</t>
  </si>
  <si>
    <t>长吨 (真空中)</t>
  </si>
  <si>
    <t>Long Tons (in air)</t>
  </si>
  <si>
    <t>长吨 (空气中)</t>
  </si>
  <si>
    <t>QUANTITY REPORT</t>
  </si>
  <si>
    <t>数量报告</t>
  </si>
  <si>
    <t>基本信息</t>
  </si>
  <si>
    <r>
      <rPr>
        <sz val="8"/>
        <color indexed="8"/>
        <rFont val="宋体"/>
        <charset val="134"/>
      </rPr>
      <t xml:space="preserve">英文 </t>
    </r>
    <r>
      <rPr>
        <sz val="8"/>
        <color indexed="8"/>
        <rFont val="Arial"/>
        <charset val="134"/>
      </rPr>
      <t>English</t>
    </r>
  </si>
  <si>
    <r>
      <rPr>
        <sz val="8"/>
        <color indexed="8"/>
        <rFont val="宋体"/>
        <charset val="134"/>
      </rPr>
      <t xml:space="preserve">中文 </t>
    </r>
    <r>
      <rPr>
        <sz val="8"/>
        <color indexed="8"/>
        <rFont val="Arial"/>
        <charset val="134"/>
      </rPr>
      <t>Chinese</t>
    </r>
  </si>
  <si>
    <t>VCF tables</t>
  </si>
  <si>
    <t>Tables Version</t>
  </si>
  <si>
    <t>工作单号</t>
  </si>
  <si>
    <t>Ver.1952</t>
  </si>
  <si>
    <t>报告日期</t>
  </si>
  <si>
    <t>Ver.1980</t>
  </si>
  <si>
    <t>申请人</t>
  </si>
  <si>
    <t>Ver.2004</t>
  </si>
  <si>
    <t>客户参考编号</t>
  </si>
  <si>
    <t>货物</t>
  </si>
  <si>
    <t>船名</t>
  </si>
  <si>
    <t>港口</t>
  </si>
  <si>
    <t>检验日期</t>
  </si>
  <si>
    <t>签名栏</t>
  </si>
  <si>
    <t>套话</t>
  </si>
  <si>
    <t>Note:</t>
  </si>
  <si>
    <t>注释:</t>
  </si>
  <si>
    <t>Remark:</t>
  </si>
  <si>
    <t>备注：</t>
  </si>
  <si>
    <t>Yes</t>
  </si>
  <si>
    <t>是</t>
  </si>
  <si>
    <t>No</t>
  </si>
  <si>
    <t>否</t>
  </si>
  <si>
    <t>时间日期</t>
  </si>
  <si>
    <t>Date :</t>
  </si>
  <si>
    <t>日期 :</t>
  </si>
  <si>
    <t>T-54</t>
  </si>
  <si>
    <t>Time :</t>
  </si>
  <si>
    <t>时间 :</t>
  </si>
  <si>
    <t>水尺</t>
  </si>
  <si>
    <t>Draft Fwd :</t>
  </si>
  <si>
    <t>前吃水 :</t>
  </si>
  <si>
    <t>Draft Aft :</t>
  </si>
  <si>
    <t>后吃水 :</t>
  </si>
  <si>
    <t>List :</t>
  </si>
  <si>
    <t>横倾 :</t>
  </si>
  <si>
    <t>Trim :</t>
  </si>
  <si>
    <t>吃水差 :</t>
  </si>
  <si>
    <t>m By Head</t>
  </si>
  <si>
    <t>米 艏倾</t>
  </si>
  <si>
    <t>m By Stern</t>
  </si>
  <si>
    <t>米 艉倾</t>
  </si>
  <si>
    <t>Upright</t>
  </si>
  <si>
    <t>无横倾</t>
  </si>
  <si>
    <t>Degrees P</t>
  </si>
  <si>
    <t>°左倾</t>
  </si>
  <si>
    <t>Degrees S</t>
  </si>
  <si>
    <t>°右倾</t>
  </si>
  <si>
    <t>海况</t>
  </si>
  <si>
    <t>Sea Condition</t>
  </si>
  <si>
    <t>Calm</t>
  </si>
  <si>
    <t>微波</t>
  </si>
  <si>
    <t>Slight</t>
  </si>
  <si>
    <t>轻浪</t>
  </si>
  <si>
    <t>Moderate</t>
  </si>
  <si>
    <t>中浪</t>
  </si>
  <si>
    <t>Rough</t>
  </si>
  <si>
    <t>大浪</t>
  </si>
  <si>
    <t>单位</t>
  </si>
  <si>
    <t>m</t>
  </si>
  <si>
    <t>米</t>
  </si>
  <si>
    <t>m³</t>
  </si>
  <si>
    <t>立方米</t>
  </si>
  <si>
    <t>bbls</t>
  </si>
  <si>
    <t>美制桶</t>
  </si>
  <si>
    <t>℃</t>
  </si>
  <si>
    <t>℉</t>
  </si>
  <si>
    <r>
      <rPr>
        <sz val="8"/>
        <color theme="1"/>
        <rFont val="Arial"/>
        <charset val="134"/>
      </rPr>
      <t>m³(15</t>
    </r>
    <r>
      <rPr>
        <sz val="8"/>
        <color indexed="8"/>
        <rFont val="Segoe UI Symbol"/>
        <charset val="134"/>
      </rPr>
      <t>℃)</t>
    </r>
  </si>
  <si>
    <r>
      <rPr>
        <sz val="8"/>
        <color indexed="8"/>
        <rFont val="宋体"/>
        <charset val="134"/>
      </rPr>
      <t>立方米</t>
    </r>
    <r>
      <rPr>
        <sz val="8"/>
        <color indexed="8"/>
        <rFont val="Arial"/>
        <charset val="134"/>
      </rPr>
      <t>(15</t>
    </r>
    <r>
      <rPr>
        <sz val="8"/>
        <color indexed="8"/>
        <rFont val="Segoe UI Symbol"/>
        <charset val="134"/>
      </rPr>
      <t>℃)</t>
    </r>
  </si>
  <si>
    <r>
      <rPr>
        <sz val="8"/>
        <color theme="1"/>
        <rFont val="Arial"/>
        <charset val="134"/>
      </rPr>
      <t>m³(20</t>
    </r>
    <r>
      <rPr>
        <sz val="8"/>
        <color indexed="8"/>
        <rFont val="Segoe UI Symbol"/>
        <charset val="134"/>
      </rPr>
      <t>℃</t>
    </r>
    <r>
      <rPr>
        <sz val="8"/>
        <color indexed="8"/>
        <rFont val="Arial"/>
        <charset val="134"/>
      </rPr>
      <t>)</t>
    </r>
  </si>
  <si>
    <r>
      <rPr>
        <sz val="8"/>
        <color indexed="8"/>
        <rFont val="宋体"/>
        <charset val="134"/>
      </rPr>
      <t>立方米</t>
    </r>
    <r>
      <rPr>
        <sz val="8"/>
        <color indexed="8"/>
        <rFont val="Arial"/>
        <charset val="134"/>
      </rPr>
      <t>(20</t>
    </r>
    <r>
      <rPr>
        <sz val="8"/>
        <color indexed="8"/>
        <rFont val="Segoe UI Symbol"/>
        <charset val="134"/>
      </rPr>
      <t>℃</t>
    </r>
    <r>
      <rPr>
        <sz val="8"/>
        <color indexed="8"/>
        <rFont val="Arial"/>
        <charset val="134"/>
      </rPr>
      <t>)</t>
    </r>
  </si>
  <si>
    <r>
      <rPr>
        <sz val="8"/>
        <color theme="1"/>
        <rFont val="Arial"/>
        <charset val="134"/>
      </rPr>
      <t>bbls(60</t>
    </r>
    <r>
      <rPr>
        <sz val="8"/>
        <color indexed="8"/>
        <rFont val="Segoe UI Symbol"/>
        <charset val="134"/>
      </rPr>
      <t>℉</t>
    </r>
    <r>
      <rPr>
        <sz val="8"/>
        <color indexed="8"/>
        <rFont val="Arial"/>
        <charset val="134"/>
      </rPr>
      <t>)</t>
    </r>
  </si>
  <si>
    <r>
      <rPr>
        <sz val="8"/>
        <color indexed="8"/>
        <rFont val="宋体"/>
        <charset val="134"/>
      </rPr>
      <t>美制桶</t>
    </r>
    <r>
      <rPr>
        <sz val="8"/>
        <color indexed="8"/>
        <rFont val="Arial"/>
        <charset val="134"/>
      </rPr>
      <t>(60</t>
    </r>
    <r>
      <rPr>
        <sz val="8"/>
        <color indexed="8"/>
        <rFont val="Segoe UI Symbol"/>
        <charset val="134"/>
      </rPr>
      <t>℉</t>
    </r>
    <r>
      <rPr>
        <sz val="8"/>
        <color indexed="8"/>
        <rFont val="Arial"/>
        <charset val="134"/>
      </rPr>
      <t>)</t>
    </r>
  </si>
  <si>
    <t>检测工具</t>
  </si>
  <si>
    <t>Detected by</t>
  </si>
  <si>
    <t>UTI</t>
  </si>
  <si>
    <t>MMC</t>
  </si>
  <si>
    <t>Sounding Tape</t>
  </si>
  <si>
    <t>量油尺</t>
  </si>
  <si>
    <t>Sounding Rod</t>
  </si>
  <si>
    <t>量油棒</t>
  </si>
  <si>
    <t>Level System</t>
  </si>
  <si>
    <t>液位系统</t>
  </si>
  <si>
    <t>Water Finding Paste</t>
  </si>
  <si>
    <t>试水膏</t>
  </si>
  <si>
    <t>UTI&amp;Paste</t>
  </si>
  <si>
    <r>
      <rPr>
        <sz val="8"/>
        <color theme="1"/>
        <rFont val="Arial"/>
        <charset val="134"/>
      </rPr>
      <t>UTI</t>
    </r>
    <r>
      <rPr>
        <sz val="8"/>
        <color indexed="8"/>
        <rFont val="宋体"/>
        <charset val="134"/>
      </rPr>
      <t>和水膏</t>
    </r>
  </si>
  <si>
    <t>MMC&amp;Paste</t>
  </si>
  <si>
    <t>MMC和水膏</t>
  </si>
  <si>
    <t>UTI Ser. No.</t>
  </si>
  <si>
    <t>UTI 编号</t>
  </si>
  <si>
    <t>Brand of Water Finding Paste</t>
  </si>
  <si>
    <t>试水膏品牌</t>
  </si>
  <si>
    <t>表格常用</t>
  </si>
  <si>
    <t>Tank No.</t>
  </si>
  <si>
    <t>舱号</t>
  </si>
  <si>
    <t>G.H.L.
(1)</t>
  </si>
  <si>
    <t>计量口位置
(1)</t>
  </si>
  <si>
    <t>Gauge</t>
  </si>
  <si>
    <t>液位</t>
  </si>
  <si>
    <t>Interface</t>
  </si>
  <si>
    <t>油水界面高度</t>
  </si>
  <si>
    <t>Temp</t>
  </si>
  <si>
    <t>温度</t>
  </si>
  <si>
    <t>I/U
(2)</t>
  </si>
  <si>
    <t>Obs'd</t>
  </si>
  <si>
    <t>读数</t>
  </si>
  <si>
    <t>Corr'd</t>
  </si>
  <si>
    <t>修正后</t>
  </si>
  <si>
    <t>Total Observed Volume</t>
  </si>
  <si>
    <t>总表观体积</t>
  </si>
  <si>
    <t>Free Water</t>
  </si>
  <si>
    <t>游离水</t>
  </si>
  <si>
    <t>Volume</t>
  </si>
  <si>
    <t>体积</t>
  </si>
  <si>
    <t>Gross Observed Volume</t>
  </si>
  <si>
    <t>净表观体积</t>
  </si>
  <si>
    <t>VCF</t>
  </si>
  <si>
    <t>体积修正系数</t>
  </si>
  <si>
    <t>Gross Standard Volume</t>
  </si>
  <si>
    <t>总标准体积</t>
  </si>
  <si>
    <t>TCV</t>
  </si>
  <si>
    <t>总计算体积</t>
  </si>
  <si>
    <t>TOTAL</t>
  </si>
  <si>
    <t>合计</t>
  </si>
  <si>
    <r>
      <rPr>
        <sz val="8"/>
        <color theme="1"/>
        <rFont val="Arial"/>
        <charset val="134"/>
      </rPr>
      <t>Density@15</t>
    </r>
    <r>
      <rPr>
        <sz val="8"/>
        <color indexed="8"/>
        <rFont val="Segoe UI Symbol"/>
        <charset val="134"/>
      </rPr>
      <t>℃</t>
    </r>
  </si>
  <si>
    <r>
      <rPr>
        <sz val="8"/>
        <color indexed="8"/>
        <rFont val="宋体"/>
        <charset val="134"/>
      </rPr>
      <t>密度(15</t>
    </r>
    <r>
      <rPr>
        <sz val="8"/>
        <color indexed="8"/>
        <rFont val="Segoe UI Symbol"/>
        <charset val="134"/>
      </rPr>
      <t>℃</t>
    </r>
    <r>
      <rPr>
        <sz val="8"/>
        <color indexed="8"/>
        <rFont val="宋体"/>
        <charset val="134"/>
      </rPr>
      <t>)</t>
    </r>
  </si>
  <si>
    <r>
      <rPr>
        <sz val="8"/>
        <color theme="1"/>
        <rFont val="Arial"/>
        <charset val="134"/>
      </rPr>
      <t>Density@20</t>
    </r>
    <r>
      <rPr>
        <sz val="8"/>
        <color indexed="8"/>
        <rFont val="Segoe UI Symbol"/>
        <charset val="134"/>
      </rPr>
      <t>℃</t>
    </r>
  </si>
  <si>
    <r>
      <rPr>
        <sz val="8"/>
        <color indexed="8"/>
        <rFont val="宋体"/>
        <charset val="134"/>
      </rPr>
      <t>密度(20</t>
    </r>
    <r>
      <rPr>
        <sz val="8"/>
        <color indexed="8"/>
        <rFont val="Segoe UI Symbol"/>
        <charset val="134"/>
      </rPr>
      <t>℃</t>
    </r>
    <r>
      <rPr>
        <sz val="8"/>
        <color indexed="8"/>
        <rFont val="宋体"/>
        <charset val="134"/>
      </rPr>
      <t>)</t>
    </r>
  </si>
  <si>
    <r>
      <rPr>
        <sz val="8"/>
        <color theme="1"/>
        <rFont val="Arial"/>
        <charset val="134"/>
      </rPr>
      <t>API@60</t>
    </r>
    <r>
      <rPr>
        <sz val="8"/>
        <color indexed="8"/>
        <rFont val="Segoe UI Symbol"/>
        <charset val="134"/>
      </rPr>
      <t>℉</t>
    </r>
  </si>
  <si>
    <r>
      <rPr>
        <sz val="8"/>
        <color theme="1"/>
        <rFont val="Arial"/>
        <charset val="134"/>
      </rPr>
      <t>API(60</t>
    </r>
    <r>
      <rPr>
        <sz val="8"/>
        <color indexed="8"/>
        <rFont val="Segoe UI Symbol"/>
        <charset val="134"/>
      </rPr>
      <t>℉)</t>
    </r>
  </si>
  <si>
    <r>
      <rPr>
        <sz val="8"/>
        <color theme="1"/>
        <rFont val="Arial"/>
        <charset val="134"/>
      </rPr>
      <t>S.G.@60</t>
    </r>
    <r>
      <rPr>
        <sz val="8"/>
        <color indexed="8"/>
        <rFont val="Segoe UI Symbol"/>
        <charset val="134"/>
      </rPr>
      <t>℉</t>
    </r>
    <r>
      <rPr>
        <sz val="8"/>
        <color indexed="8"/>
        <rFont val="Arial"/>
        <charset val="134"/>
      </rPr>
      <t>/60</t>
    </r>
    <r>
      <rPr>
        <sz val="8"/>
        <color indexed="8"/>
        <rFont val="Segoe UI Symbol"/>
        <charset val="134"/>
      </rPr>
      <t>℉</t>
    </r>
  </si>
  <si>
    <r>
      <rPr>
        <sz val="8"/>
        <color indexed="8"/>
        <rFont val="宋体"/>
        <charset val="134"/>
      </rPr>
      <t>比重(</t>
    </r>
    <r>
      <rPr>
        <sz val="8"/>
        <color indexed="8"/>
        <rFont val="Arial"/>
        <charset val="134"/>
      </rPr>
      <t>@60</t>
    </r>
    <r>
      <rPr>
        <sz val="8"/>
        <color indexed="8"/>
        <rFont val="Segoe UI Symbol"/>
        <charset val="134"/>
      </rPr>
      <t>℉</t>
    </r>
    <r>
      <rPr>
        <sz val="8"/>
        <color indexed="8"/>
        <rFont val="Arial"/>
        <charset val="134"/>
      </rPr>
      <t>/60</t>
    </r>
    <r>
      <rPr>
        <sz val="8"/>
        <color indexed="8"/>
        <rFont val="Segoe UI Symbol"/>
        <charset val="134"/>
      </rPr>
      <t>℉)</t>
    </r>
  </si>
  <si>
    <t>Liquid</t>
  </si>
  <si>
    <t>流体</t>
  </si>
  <si>
    <t>Nonliquid</t>
  </si>
  <si>
    <t>非流体</t>
  </si>
  <si>
    <t>Table</t>
  </si>
  <si>
    <t>表体积</t>
  </si>
  <si>
    <t>Wedge</t>
  </si>
  <si>
    <t>楔形计算</t>
  </si>
  <si>
    <t>(1) G.H.L. -- Gauge Hatch Location, F = Forward; C = Center; A = Aft; M = Average of the multiple gauge points readings.</t>
  </si>
  <si>
    <r>
      <rPr>
        <sz val="8"/>
        <color theme="1"/>
        <rFont val="Arial"/>
        <charset val="134"/>
      </rPr>
      <t xml:space="preserve">(1) G.H.L. -- </t>
    </r>
    <r>
      <rPr>
        <sz val="8"/>
        <color indexed="8"/>
        <rFont val="宋体"/>
        <charset val="134"/>
      </rPr>
      <t>计量口位置，</t>
    </r>
    <r>
      <rPr>
        <sz val="8"/>
        <color indexed="8"/>
        <rFont val="Arial"/>
        <charset val="134"/>
      </rPr>
      <t xml:space="preserve">F = </t>
    </r>
    <r>
      <rPr>
        <sz val="8"/>
        <color indexed="8"/>
        <rFont val="宋体"/>
        <charset val="134"/>
      </rPr>
      <t>前部；</t>
    </r>
    <r>
      <rPr>
        <sz val="8"/>
        <color indexed="8"/>
        <rFont val="Arial"/>
        <charset val="134"/>
      </rPr>
      <t xml:space="preserve"> C = </t>
    </r>
    <r>
      <rPr>
        <sz val="8"/>
        <color indexed="8"/>
        <rFont val="宋体"/>
        <charset val="134"/>
      </rPr>
      <t>中部；</t>
    </r>
    <r>
      <rPr>
        <sz val="8"/>
        <color indexed="8"/>
        <rFont val="Arial"/>
        <charset val="134"/>
      </rPr>
      <t xml:space="preserve"> A = </t>
    </r>
    <r>
      <rPr>
        <sz val="8"/>
        <color indexed="8"/>
        <rFont val="宋体"/>
        <charset val="134"/>
      </rPr>
      <t>后部；</t>
    </r>
    <r>
      <rPr>
        <sz val="8"/>
        <color indexed="8"/>
        <rFont val="Arial"/>
        <charset val="134"/>
      </rPr>
      <t xml:space="preserve"> M = </t>
    </r>
    <r>
      <rPr>
        <sz val="8"/>
        <color indexed="8"/>
        <rFont val="宋体"/>
        <charset val="134"/>
      </rPr>
      <t>多个计量口平均值。</t>
    </r>
  </si>
  <si>
    <t>(2) I/U -- Innage/Ullage, I = Innage; U = Ullage.</t>
  </si>
  <si>
    <r>
      <rPr>
        <sz val="8"/>
        <color theme="1"/>
        <rFont val="Arial"/>
        <charset val="134"/>
      </rPr>
      <t xml:space="preserve">(2) I/U -- </t>
    </r>
    <r>
      <rPr>
        <sz val="8"/>
        <color indexed="8"/>
        <rFont val="宋体"/>
        <charset val="134"/>
      </rPr>
      <t>液深</t>
    </r>
    <r>
      <rPr>
        <sz val="8"/>
        <color indexed="8"/>
        <rFont val="Arial"/>
        <charset val="134"/>
      </rPr>
      <t>/</t>
    </r>
    <r>
      <rPr>
        <sz val="8"/>
        <color indexed="8"/>
        <rFont val="宋体"/>
        <charset val="134"/>
      </rPr>
      <t>空距，</t>
    </r>
    <r>
      <rPr>
        <sz val="8"/>
        <color indexed="8"/>
        <rFont val="Arial"/>
        <charset val="134"/>
      </rPr>
      <t xml:space="preserve">I = </t>
    </r>
    <r>
      <rPr>
        <sz val="8"/>
        <color indexed="8"/>
        <rFont val="宋体"/>
        <charset val="134"/>
      </rPr>
      <t>液深；</t>
    </r>
    <r>
      <rPr>
        <sz val="8"/>
        <color indexed="8"/>
        <rFont val="Arial"/>
        <charset val="134"/>
      </rPr>
      <t xml:space="preserve"> U = </t>
    </r>
    <r>
      <rPr>
        <sz val="8"/>
        <color indexed="8"/>
        <rFont val="宋体"/>
        <charset val="134"/>
      </rPr>
      <t>空距。</t>
    </r>
  </si>
  <si>
    <t>TOTAL QUANTITY OF OBQ</t>
  </si>
  <si>
    <t>装货前船舱底量合计</t>
  </si>
  <si>
    <t>Top Lines</t>
  </si>
  <si>
    <t>甲板管线</t>
  </si>
  <si>
    <t>Bottom Lines</t>
  </si>
  <si>
    <t>舱底管线</t>
  </si>
  <si>
    <t>Hoses/Arms</t>
  </si>
  <si>
    <r>
      <rPr>
        <sz val="8"/>
        <color indexed="8"/>
        <rFont val="宋体"/>
        <charset val="134"/>
      </rPr>
      <t>输油软管</t>
    </r>
    <r>
      <rPr>
        <sz val="8"/>
        <color indexed="8"/>
        <rFont val="Arial"/>
        <charset val="134"/>
      </rPr>
      <t>/</t>
    </r>
    <r>
      <rPr>
        <sz val="8"/>
        <color indexed="8"/>
        <rFont val="宋体"/>
        <charset val="134"/>
      </rPr>
      <t>输油臂</t>
    </r>
  </si>
  <si>
    <t>Stripped</t>
  </si>
  <si>
    <t>扫线</t>
  </si>
  <si>
    <t>Dropped</t>
  </si>
  <si>
    <t>排空</t>
  </si>
  <si>
    <t>To Tank No.</t>
  </si>
  <si>
    <t>至船舱</t>
  </si>
  <si>
    <t>Ballast Tanks Used during Discharge</t>
  </si>
  <si>
    <t>卸货过程中使用的压载水舱</t>
  </si>
  <si>
    <t>Sea Valve Seal Numbers</t>
  </si>
  <si>
    <t>海底阀封号</t>
  </si>
  <si>
    <t>- Reference Standards: API MPMS Chapter 3.1A (2013), Chapter 7 (2012), Chapter 17.4 (2016), Chapter 17.11(2016).</t>
  </si>
  <si>
    <r>
      <rPr>
        <sz val="8"/>
        <color theme="1"/>
        <rFont val="Arial"/>
        <charset val="134"/>
      </rPr>
      <t xml:space="preserve">- </t>
    </r>
    <r>
      <rPr>
        <sz val="8"/>
        <color indexed="8"/>
        <rFont val="微软雅黑"/>
        <charset val="134"/>
      </rPr>
      <t>参考标准</t>
    </r>
    <r>
      <rPr>
        <sz val="8"/>
        <color indexed="8"/>
        <rFont val="Arial"/>
        <charset val="134"/>
      </rPr>
      <t>: API MPMS Chapter 3.1A (2013), Chapter 7 (2012), Chapter 17.4 (2016), Chapter 17.11(2016).</t>
    </r>
  </si>
  <si>
    <t>- The above OBQ does not  address clingage, remaining in vessel’s lines, or cargo pumpablity. unless otherwise stated in this report.</t>
  </si>
  <si>
    <r>
      <rPr>
        <sz val="8"/>
        <color theme="1"/>
        <rFont val="Arial"/>
        <charset val="134"/>
      </rPr>
      <t xml:space="preserve">- </t>
    </r>
    <r>
      <rPr>
        <sz val="8"/>
        <color indexed="8"/>
        <rFont val="宋体"/>
        <charset val="134"/>
      </rPr>
      <t>上述</t>
    </r>
    <r>
      <rPr>
        <sz val="8"/>
        <color indexed="8"/>
        <rFont val="Arial"/>
        <charset val="134"/>
      </rPr>
      <t>OBQ</t>
    </r>
    <r>
      <rPr>
        <sz val="8"/>
        <color indexed="8"/>
        <rFont val="宋体"/>
        <charset val="134"/>
      </rPr>
      <t>不涉及挂壁，管线内残留，或货物的泵送性，除非本报告另有说明。</t>
    </r>
  </si>
  <si>
    <t>- Wedge volume refer to the wedge calculation report.</t>
  </si>
  <si>
    <r>
      <rPr>
        <sz val="8"/>
        <color theme="1"/>
        <rFont val="Arial"/>
        <charset val="134"/>
      </rPr>
      <t xml:space="preserve">- </t>
    </r>
    <r>
      <rPr>
        <sz val="8"/>
        <color indexed="8"/>
        <rFont val="宋体"/>
        <charset val="134"/>
      </rPr>
      <t>楔形体积详见楔形计算报告。</t>
    </r>
  </si>
  <si>
    <t>GOV</t>
  </si>
  <si>
    <t>GOV CBM</t>
  </si>
  <si>
    <t>--</t>
  </si>
  <si>
    <t>GOV bbls</t>
  </si>
  <si>
    <t xml:space="preserve">ONBOARD QUANTITY REPORT </t>
  </si>
  <si>
    <t>装货前船舱底量报告</t>
  </si>
  <si>
    <t>TOV Liquid</t>
  </si>
  <si>
    <t>TOV Liquid CBM</t>
  </si>
  <si>
    <t>TOV Liquid bbls</t>
  </si>
  <si>
    <t>TOV Nonliquid CBM</t>
  </si>
  <si>
    <t>TOV Nonliquid bbls</t>
  </si>
  <si>
    <t>TOV FW</t>
  </si>
  <si>
    <t>TOV FW CBM</t>
  </si>
  <si>
    <t>TOV FW bbls</t>
  </si>
  <si>
    <t>GSV Liquid</t>
  </si>
  <si>
    <t>GSV Nonliquid</t>
  </si>
  <si>
    <t>1C</t>
  </si>
  <si>
    <t>C</t>
  </si>
  <si>
    <t>U</t>
  </si>
  <si>
    <t>n/a</t>
  </si>
  <si>
    <t>I</t>
  </si>
  <si>
    <t>2C</t>
  </si>
  <si>
    <t>3C</t>
  </si>
  <si>
    <t>F</t>
  </si>
  <si>
    <t>4C</t>
  </si>
  <si>
    <t>A</t>
  </si>
  <si>
    <t>5C</t>
  </si>
  <si>
    <t>M</t>
  </si>
  <si>
    <t>1P</t>
  </si>
  <si>
    <t>1S</t>
  </si>
  <si>
    <t>2P</t>
  </si>
  <si>
    <t>2S</t>
  </si>
  <si>
    <t>3P</t>
  </si>
  <si>
    <t>3S</t>
  </si>
  <si>
    <t>4P</t>
  </si>
  <si>
    <t>4S</t>
  </si>
  <si>
    <t>5P</t>
  </si>
  <si>
    <t>5S</t>
  </si>
  <si>
    <t>Slop P</t>
  </si>
  <si>
    <t>Slop S</t>
  </si>
  <si>
    <t>P.Line</t>
  </si>
  <si>
    <t>To Shore</t>
  </si>
  <si>
    <t>Nil</t>
  </si>
  <si>
    <t>Port</t>
  </si>
  <si>
    <t>Starboard</t>
  </si>
  <si>
    <t>Overboard</t>
  </si>
  <si>
    <t>G. H. L. 
(1)</t>
  </si>
  <si>
    <t>U/I
(2)</t>
  </si>
  <si>
    <t>报告名头</t>
  </si>
  <si>
    <t>ULLAGE REPORT</t>
  </si>
  <si>
    <t>空距报告</t>
  </si>
  <si>
    <t>Before Discharging</t>
  </si>
  <si>
    <t>卸货前</t>
  </si>
  <si>
    <t>After Discharging</t>
  </si>
  <si>
    <t>卸货后</t>
  </si>
  <si>
    <t>Before Loading</t>
  </si>
  <si>
    <t>装货前</t>
  </si>
  <si>
    <t>After Loading</t>
  </si>
  <si>
    <t>装货后</t>
  </si>
  <si>
    <t>Before Lighter</t>
  </si>
  <si>
    <t>驳运前</t>
  </si>
  <si>
    <t>After Lighter</t>
  </si>
  <si>
    <t>驳运后</t>
  </si>
  <si>
    <t>Supplied by</t>
  </si>
  <si>
    <t>密度来源</t>
  </si>
  <si>
    <t>(1) G.H.L. -- Gauge Hatch Location, F = Forward; C = Center; A = Aft.</t>
  </si>
  <si>
    <t>(1) G.H.L. -- 计量口位置，F = 前部； C = 中部； A = 后部。</t>
  </si>
  <si>
    <t>(2) I/U -- 液深/空距，I = 液深； U = 空距。</t>
  </si>
  <si>
    <t>Thermal Expansion Coefficient α60℉  (1/℉)</t>
  </si>
  <si>
    <t>热膨胀系数60℉ (1/℉)</t>
  </si>
  <si>
    <t>Thermal Expansion Coefficient α60℉  (1/℃)</t>
  </si>
  <si>
    <t>热膨胀系数60℉ (1/℃)</t>
  </si>
  <si>
    <t>Gross Standard Weight</t>
  </si>
  <si>
    <t>总标准重量</t>
  </si>
  <si>
    <t>MT (in air)</t>
  </si>
  <si>
    <t>公吨（空气中）</t>
  </si>
  <si>
    <t>LT (in air)</t>
  </si>
  <si>
    <t>长吨（空气中）</t>
  </si>
  <si>
    <t>Total Free Water Volume - m³</t>
  </si>
  <si>
    <t>游离水总体积 - 立方米</t>
  </si>
  <si>
    <t>Total Free Water Volume - Bbls</t>
  </si>
  <si>
    <t>游离水总体积 - 美制桶</t>
  </si>
  <si>
    <t>Total Calculated Volume</t>
  </si>
  <si>
    <t>S&amp;W</t>
  </si>
  <si>
    <t>水分和杂质</t>
  </si>
  <si>
    <t>Even Keel</t>
  </si>
  <si>
    <t>平吃水</t>
  </si>
  <si>
    <t>% (V/V)</t>
  </si>
  <si>
    <t>% (m/m)</t>
  </si>
  <si>
    <t>° To P</t>
  </si>
  <si>
    <t>TOTAL QUANTITY</t>
  </si>
  <si>
    <t>总数量</t>
  </si>
  <si>
    <t>° To S</t>
  </si>
  <si>
    <t>GROSS</t>
  </si>
  <si>
    <t>Sea Condition:</t>
  </si>
  <si>
    <t>海况：</t>
  </si>
  <si>
    <t>NET</t>
  </si>
  <si>
    <t>- Reference Standards: API MPMS Chapter 3, Chapter 7 (2012), Chapter 11.1 (R2012), Chapter 11.5(E2011), Chapter 12.1.1(E2015).</t>
  </si>
  <si>
    <t>- 参考标准: API MPMS Chapter 3, Chapter 7 (2012), Chapter 11.1 (R2012), Chapter 11.5(E2011),Chapter 12.1.1(E2015).</t>
  </si>
  <si>
    <t>bbls (60℉)</t>
  </si>
  <si>
    <t>Level Detected by</t>
  </si>
  <si>
    <t>液位检测工具</t>
  </si>
  <si>
    <t>F.W. Detected by</t>
  </si>
  <si>
    <t>游离水检测工具</t>
  </si>
  <si>
    <t>UTI &amp; Water Finding Paste</t>
  </si>
  <si>
    <t>UTI和水膏</t>
  </si>
  <si>
    <t>MMC &amp; Water Finding Paste</t>
  </si>
  <si>
    <t>Ser. No.:</t>
  </si>
  <si>
    <t>编号：</t>
  </si>
  <si>
    <t>Volume Unit</t>
  </si>
  <si>
    <t>体积单位</t>
  </si>
  <si>
    <t>Corrected Gauge</t>
  </si>
  <si>
    <t>修正后液位</t>
  </si>
  <si>
    <t>Current Trim</t>
  </si>
  <si>
    <t>当前吃水差</t>
  </si>
  <si>
    <t>Level</t>
  </si>
  <si>
    <t>Trim</t>
  </si>
  <si>
    <t>吃水差</t>
  </si>
  <si>
    <t>Table Volume</t>
  </si>
  <si>
    <t>Gallon/bbls [T-1]</t>
  </si>
  <si>
    <t>美制加仑/美制桶 [T-1]</t>
  </si>
  <si>
    <t>23134</t>
  </si>
  <si>
    <t>Kulor Kut</t>
  </si>
  <si>
    <t>CCIC Lab</t>
  </si>
  <si>
    <t>FW</t>
  </si>
  <si>
    <t>Trace</t>
  </si>
  <si>
    <t>.0.02</t>
  </si>
  <si>
    <t>SLOP P</t>
  </si>
  <si>
    <t>SLOP S</t>
  </si>
  <si>
    <t>P.LINES</t>
  </si>
  <si>
    <r>
      <rPr>
        <sz val="8"/>
        <color indexed="8"/>
        <rFont val="微软雅黑"/>
        <charset val="134"/>
      </rPr>
      <t xml:space="preserve">英文 </t>
    </r>
    <r>
      <rPr>
        <sz val="8"/>
        <color indexed="8"/>
        <rFont val="Arial"/>
        <charset val="134"/>
      </rPr>
      <t>English</t>
    </r>
  </si>
  <si>
    <r>
      <rPr>
        <sz val="8"/>
        <color indexed="8"/>
        <rFont val="微软雅黑"/>
        <charset val="134"/>
      </rPr>
      <t xml:space="preserve">中文 </t>
    </r>
    <r>
      <rPr>
        <sz val="8"/>
        <color indexed="8"/>
        <rFont val="Arial"/>
        <charset val="134"/>
      </rPr>
      <t>Chinese</t>
    </r>
  </si>
  <si>
    <t>LBP :</t>
  </si>
  <si>
    <t>垂线间距 :</t>
  </si>
  <si>
    <t>F (Trim /LBP) :</t>
  </si>
  <si>
    <t>F (吃水差 /垂线间距) :</t>
  </si>
  <si>
    <t>Length of Wedge
A/F</t>
  </si>
  <si>
    <t>楔形长度 A/F</t>
  </si>
  <si>
    <t>Wedge Condition Exist
A/F  &lt; L</t>
  </si>
  <si>
    <t>楔形条件成立
A/F &lt; L</t>
  </si>
  <si>
    <t>*Table Volume</t>
  </si>
  <si>
    <t>*舱容表体积</t>
  </si>
  <si>
    <t xml:space="preserve">Extreme Shape Hull Curvature </t>
  </si>
  <si>
    <t>不规则形状船舱
弧形舱壁</t>
  </si>
  <si>
    <t>**Wedge Volume</t>
  </si>
  <si>
    <t>**楔形体积</t>
  </si>
  <si>
    <t>F -- Trim Factor, trim divided by LBP.</t>
  </si>
  <si>
    <t>F -- 吃水差系数，吃水差除以垂线间距。</t>
  </si>
  <si>
    <t>U -- Distance from aft bulkhead to ullage position.</t>
  </si>
  <si>
    <t>U -- 计量口到后舱壁的距离。</t>
  </si>
  <si>
    <t>D -- Reference gauge height.</t>
  </si>
  <si>
    <t>D -- 参考高度。</t>
  </si>
  <si>
    <t>S -- Observed innage.</t>
  </si>
  <si>
    <t>S -- 实测液深。</t>
  </si>
  <si>
    <t xml:space="preserve">A -- Adjusted innage at aft bulkhead.  A = { [ U - ( D  x F ) ] x F } + S </t>
  </si>
  <si>
    <t xml:space="preserve">A -- 后舱壁处的修正液深。A = { [ U - ( D  x F ) ] x F } + S </t>
  </si>
  <si>
    <t>L -- Length of Tank.</t>
  </si>
  <si>
    <t>L -- 船舱长度。</t>
  </si>
  <si>
    <t>W -- Width at the tank bottom (usually aft end).</t>
  </si>
  <si>
    <t>W -- 船舱底部宽度 (通常取舱尾处)。</t>
  </si>
  <si>
    <t>*Table Volume -- Extract from the tank table the volume corresponding to a sounding of A/2, with the vessel on an even keel and upright.</t>
  </si>
  <si>
    <r>
      <rPr>
        <sz val="8"/>
        <color theme="1"/>
        <rFont val="Arial"/>
        <charset val="134"/>
      </rPr>
      <t>*</t>
    </r>
    <r>
      <rPr>
        <sz val="8"/>
        <color indexed="8"/>
        <rFont val="微软雅黑"/>
        <charset val="134"/>
      </rPr>
      <t>舱容表体积</t>
    </r>
    <r>
      <rPr>
        <sz val="8"/>
        <color indexed="8"/>
        <rFont val="Arial"/>
        <charset val="134"/>
      </rPr>
      <t xml:space="preserve"> -- </t>
    </r>
    <r>
      <rPr>
        <sz val="8"/>
        <color indexed="8"/>
        <rFont val="微软雅黑"/>
        <charset val="134"/>
      </rPr>
      <t>平吃水、无横倾条件下，舱容表中液深</t>
    </r>
    <r>
      <rPr>
        <sz val="8"/>
        <color indexed="8"/>
        <rFont val="Arial"/>
        <charset val="134"/>
      </rPr>
      <t>"A/2"</t>
    </r>
    <r>
      <rPr>
        <sz val="8"/>
        <color indexed="8"/>
        <rFont val="微软雅黑"/>
        <charset val="134"/>
      </rPr>
      <t>对应的体积</t>
    </r>
    <r>
      <rPr>
        <sz val="8"/>
        <color indexed="8"/>
        <rFont val="Arial"/>
        <charset val="134"/>
      </rPr>
      <t>.</t>
    </r>
  </si>
  <si>
    <t>**Wedge Volume -- If length of wedge (A/F) is less than the actual compartment length, a wedge condition exist.</t>
  </si>
  <si>
    <t>**楔形体积 -- 如果楔形长度小于船舱长度，楔形条件成立。</t>
  </si>
  <si>
    <t>Wedge Volume</t>
  </si>
  <si>
    <t>楔形体积</t>
  </si>
  <si>
    <t>舱容表体积</t>
  </si>
  <si>
    <t>(in table units)</t>
  </si>
  <si>
    <t>(同舱容表体积)</t>
  </si>
  <si>
    <t>Where the vessels hull curvature is extreme, such as on the forward- and after-most wing tanks where significant variation in longitudinal width and/or depth is evident.</t>
  </si>
  <si>
    <t>当舱壁弧度很大，例如最前端和最后端的边舱，船舱的宽度和深度在纵向上变化较大时</t>
  </si>
  <si>
    <t>(in measured units)</t>
  </si>
  <si>
    <t>(同测量单位)</t>
  </si>
  <si>
    <t>- Reference Standards: API MPMS Chapter 3.1A (2013), API MPMS Chapter 17.4 (2016)</t>
  </si>
  <si>
    <t>- 参考标准: API MPMS Chapter 3.1A (2013), API MPMS Chapter 17.4 (2017)</t>
  </si>
  <si>
    <t>- Wedge calculation is applicable to a vessel on upright only.</t>
  </si>
  <si>
    <r>
      <rPr>
        <sz val="8"/>
        <color theme="1"/>
        <rFont val="Arial"/>
        <charset val="134"/>
      </rPr>
      <t xml:space="preserve">- </t>
    </r>
    <r>
      <rPr>
        <sz val="8"/>
        <color indexed="8"/>
        <rFont val="微软雅黑"/>
        <charset val="134"/>
      </rPr>
      <t>楔形计算只应用于船舶没有横倾的情况下。</t>
    </r>
  </si>
  <si>
    <t>- All dimensions are provided by ship's officer.</t>
  </si>
  <si>
    <t>- 所有的尺寸数据由船方提供。</t>
  </si>
  <si>
    <t>- All units of measurement shall be of the same denomination—that is, decimal feet or meters.</t>
  </si>
  <si>
    <t>- 所有的计量单位都应该是相同的单位，即十进制英尺或米。</t>
  </si>
  <si>
    <t>WEDGE CALCULATION REPORT</t>
  </si>
  <si>
    <t>楔形计算报告</t>
  </si>
  <si>
    <t>D</t>
  </si>
  <si>
    <t>S</t>
  </si>
  <si>
    <t>L</t>
  </si>
  <si>
    <t>A/2</t>
  </si>
  <si>
    <t>W</t>
  </si>
  <si>
    <t>=</t>
  </si>
  <si>
    <t>L  x  F</t>
  </si>
  <si>
    <t>A² x W</t>
  </si>
  <si>
    <t>2 x F</t>
  </si>
  <si>
    <r>
      <rPr>
        <sz val="9"/>
        <color indexed="8"/>
        <rFont val="宋体"/>
        <charset val="134"/>
      </rPr>
      <t xml:space="preserve">英文 </t>
    </r>
    <r>
      <rPr>
        <sz val="9"/>
        <color indexed="8"/>
        <rFont val="Arial"/>
        <charset val="134"/>
      </rPr>
      <t>English</t>
    </r>
  </si>
  <si>
    <r>
      <rPr>
        <sz val="9"/>
        <color indexed="8"/>
        <rFont val="宋体"/>
        <charset val="134"/>
      </rPr>
      <t xml:space="preserve">中文 </t>
    </r>
    <r>
      <rPr>
        <sz val="9"/>
        <color indexed="8"/>
        <rFont val="Arial"/>
        <charset val="134"/>
      </rPr>
      <t>Chinese</t>
    </r>
  </si>
  <si>
    <t>FREE WATER MEASUREMENT REPORT</t>
  </si>
  <si>
    <t>游离水计量报告</t>
  </si>
  <si>
    <t>Draft Fwd</t>
  </si>
  <si>
    <t>前吃水</t>
  </si>
  <si>
    <t>Draft Aft</t>
  </si>
  <si>
    <t>后吃水</t>
  </si>
  <si>
    <t>List</t>
  </si>
  <si>
    <t>横倾</t>
  </si>
  <si>
    <t>F.W. can be observed in the bottom sample</t>
  </si>
  <si>
    <t>底部样肉眼可见游离水</t>
  </si>
  <si>
    <t>Free Water Determination</t>
  </si>
  <si>
    <t>游离水判定</t>
  </si>
  <si>
    <t>F.W. Determanation Method</t>
  </si>
  <si>
    <t>游离水判定方法</t>
  </si>
  <si>
    <t>TOTAL OBSERVED VOLUME OF FREE WATER</t>
  </si>
  <si>
    <t>游离水总观测体积</t>
  </si>
  <si>
    <t>Client's instruction of Free Water determination:</t>
  </si>
  <si>
    <t>关于游离水判定的客户指示:</t>
  </si>
  <si>
    <r>
      <rPr>
        <sz val="9"/>
        <color indexed="8"/>
        <rFont val="宋体"/>
        <charset val="134"/>
      </rPr>
      <t>船长</t>
    </r>
    <r>
      <rPr>
        <sz val="9"/>
        <color indexed="8"/>
        <rFont val="Arial"/>
        <charset val="134"/>
      </rPr>
      <t>/</t>
    </r>
    <r>
      <rPr>
        <sz val="9"/>
        <color indexed="8"/>
        <rFont val="宋体"/>
        <charset val="134"/>
      </rPr>
      <t>大副</t>
    </r>
  </si>
  <si>
    <t xml:space="preserve">Reference Standards: </t>
  </si>
  <si>
    <t>参考标准：</t>
  </si>
  <si>
    <t>API MPMS Chapter 3.1A (2013)</t>
  </si>
  <si>
    <t>报告语言 Report Language</t>
  </si>
  <si>
    <t>报告种类 Type of Report</t>
  </si>
  <si>
    <t>隐藏客户名 Hide Client Name</t>
  </si>
  <si>
    <t>隐藏客户编号 Hide Client's Ref. No.</t>
  </si>
  <si>
    <t>G2216</t>
  </si>
  <si>
    <t>UTI和试水膏检测结果的平均值</t>
  </si>
  <si>
    <t>Average of UTI and Water Finding Paste</t>
  </si>
  <si>
    <r>
      <rPr>
        <sz val="9"/>
        <color indexed="12"/>
        <rFont val="宋体"/>
        <charset val="134"/>
      </rPr>
      <t>底部样可见游离水，按照</t>
    </r>
    <r>
      <rPr>
        <sz val="9"/>
        <color indexed="12"/>
        <rFont val="Arial"/>
        <charset val="134"/>
      </rPr>
      <t>UTI</t>
    </r>
    <r>
      <rPr>
        <sz val="9"/>
        <color indexed="12"/>
        <rFont val="宋体"/>
        <charset val="134"/>
      </rPr>
      <t>检测结果报告，否则，按照</t>
    </r>
    <r>
      <rPr>
        <sz val="9"/>
        <color indexed="12"/>
        <rFont val="Arial"/>
        <charset val="134"/>
      </rPr>
      <t>UTI</t>
    </r>
    <r>
      <rPr>
        <sz val="9"/>
        <color indexed="12"/>
        <rFont val="宋体"/>
        <charset val="134"/>
      </rPr>
      <t>和试水膏检测结果的平均值报告。</t>
    </r>
  </si>
  <si>
    <r>
      <rPr>
        <sz val="9"/>
        <color theme="0"/>
        <rFont val="微软雅黑"/>
        <charset val="134"/>
      </rPr>
      <t>英文</t>
    </r>
    <r>
      <rPr>
        <sz val="9"/>
        <color theme="0"/>
        <rFont val="Arial"/>
        <charset val="134"/>
      </rPr>
      <t xml:space="preserve"> English</t>
    </r>
  </si>
  <si>
    <r>
      <rPr>
        <sz val="9"/>
        <color theme="0"/>
        <rFont val="微软雅黑"/>
        <charset val="134"/>
      </rPr>
      <t>中文</t>
    </r>
    <r>
      <rPr>
        <sz val="9"/>
        <color theme="0"/>
        <rFont val="Arial"/>
        <charset val="134"/>
      </rPr>
      <t xml:space="preserve"> Chinese</t>
    </r>
  </si>
  <si>
    <r>
      <rPr>
        <sz val="9"/>
        <color theme="1"/>
        <rFont val="等线"/>
        <charset val="134"/>
      </rPr>
      <t>英文</t>
    </r>
    <r>
      <rPr>
        <sz val="9"/>
        <color theme="1"/>
        <rFont val="Arial"/>
        <charset val="134"/>
      </rPr>
      <t xml:space="preserve"> English</t>
    </r>
  </si>
  <si>
    <t>VCF Table</t>
  </si>
  <si>
    <r>
      <rPr>
        <sz val="9"/>
        <color theme="1"/>
        <rFont val="宋体"/>
        <charset val="134"/>
      </rPr>
      <t>体积修正系数表</t>
    </r>
  </si>
  <si>
    <t>Temp. Unit :</t>
  </si>
  <si>
    <r>
      <rPr>
        <sz val="9"/>
        <color theme="1"/>
        <rFont val="宋体"/>
        <charset val="134"/>
      </rPr>
      <t>温度单位</t>
    </r>
    <r>
      <rPr>
        <sz val="9"/>
        <color theme="1"/>
        <rFont val="Arial"/>
        <charset val="134"/>
      </rPr>
      <t xml:space="preserve"> </t>
    </r>
    <r>
      <rPr>
        <sz val="9"/>
        <color theme="1"/>
        <rFont val="宋体"/>
        <charset val="134"/>
      </rPr>
      <t>：</t>
    </r>
  </si>
  <si>
    <r>
      <rPr>
        <sz val="9"/>
        <color theme="1"/>
        <rFont val="微软雅黑"/>
        <charset val="134"/>
      </rPr>
      <t>工作单号</t>
    </r>
  </si>
  <si>
    <r>
      <rPr>
        <sz val="9"/>
        <color theme="1"/>
        <rFont val="等线"/>
        <charset val="134"/>
      </rPr>
      <t>中文</t>
    </r>
    <r>
      <rPr>
        <sz val="9"/>
        <color theme="1"/>
        <rFont val="Arial"/>
        <charset val="134"/>
      </rPr>
      <t xml:space="preserve"> Chinese</t>
    </r>
  </si>
  <si>
    <t>Delivery Quantity</t>
  </si>
  <si>
    <t>罐发量</t>
  </si>
  <si>
    <t>Table Volume of Static Pressure Corr.</t>
  </si>
  <si>
    <r>
      <rPr>
        <sz val="9"/>
        <color theme="1"/>
        <rFont val="等线"/>
        <charset val="134"/>
      </rPr>
      <t>静压力修正表体积</t>
    </r>
  </si>
  <si>
    <r>
      <rPr>
        <sz val="9"/>
        <color theme="1"/>
        <rFont val="微软雅黑"/>
        <charset val="134"/>
      </rPr>
      <t>报告日期</t>
    </r>
  </si>
  <si>
    <t>Received Quantity</t>
  </si>
  <si>
    <t>罐收量</t>
  </si>
  <si>
    <t>Volume Unit :</t>
  </si>
  <si>
    <t>体积单位 ：</t>
  </si>
  <si>
    <r>
      <rPr>
        <sz val="9"/>
        <color theme="1"/>
        <rFont val="微软雅黑"/>
        <charset val="134"/>
      </rPr>
      <t>申请人</t>
    </r>
  </si>
  <si>
    <t>Inventory Quantity</t>
  </si>
  <si>
    <t>罐存盘点</t>
  </si>
  <si>
    <t>Table Volume of dm</t>
  </si>
  <si>
    <r>
      <rPr>
        <sz val="9"/>
        <color theme="1"/>
        <rFont val="Arial"/>
        <charset val="134"/>
      </rPr>
      <t>dm</t>
    </r>
    <r>
      <rPr>
        <sz val="9"/>
        <color theme="1"/>
        <rFont val="微软雅黑"/>
        <charset val="134"/>
      </rPr>
      <t>表体积</t>
    </r>
  </si>
  <si>
    <r>
      <rPr>
        <sz val="9"/>
        <color theme="1"/>
        <rFont val="微软雅黑"/>
        <charset val="134"/>
      </rPr>
      <t>客户参考编号</t>
    </r>
  </si>
  <si>
    <t>Table Volume of cm</t>
  </si>
  <si>
    <r>
      <rPr>
        <sz val="9"/>
        <color theme="1"/>
        <rFont val="Arial"/>
        <charset val="134"/>
      </rPr>
      <t>cm</t>
    </r>
    <r>
      <rPr>
        <sz val="9"/>
        <color theme="1"/>
        <rFont val="微软雅黑"/>
        <charset val="134"/>
      </rPr>
      <t>表体积</t>
    </r>
  </si>
  <si>
    <r>
      <rPr>
        <sz val="9"/>
        <color theme="1"/>
        <rFont val="微软雅黑"/>
        <charset val="134"/>
      </rPr>
      <t>货物</t>
    </r>
  </si>
  <si>
    <t>Table Volume of mm</t>
  </si>
  <si>
    <r>
      <rPr>
        <sz val="9"/>
        <color theme="1"/>
        <rFont val="Arial"/>
        <charset val="134"/>
      </rPr>
      <t>mm</t>
    </r>
    <r>
      <rPr>
        <sz val="9"/>
        <color theme="1"/>
        <rFont val="微软雅黑"/>
        <charset val="134"/>
      </rPr>
      <t>表体积</t>
    </r>
  </si>
  <si>
    <r>
      <rPr>
        <sz val="9"/>
        <color theme="1"/>
        <rFont val="微软雅黑"/>
        <charset val="134"/>
      </rPr>
      <t>船名</t>
    </r>
  </si>
  <si>
    <t>Table Volume of Free Water</t>
  </si>
  <si>
    <r>
      <rPr>
        <sz val="9"/>
        <color theme="1"/>
        <rFont val="宋体"/>
        <charset val="134"/>
      </rPr>
      <t>游离水</t>
    </r>
    <r>
      <rPr>
        <sz val="9"/>
        <color theme="1"/>
        <rFont val="微软雅黑"/>
        <charset val="134"/>
      </rPr>
      <t>表体积</t>
    </r>
  </si>
  <si>
    <r>
      <rPr>
        <sz val="9"/>
        <color theme="1"/>
        <rFont val="微软雅黑"/>
        <charset val="134"/>
      </rPr>
      <t>港口</t>
    </r>
  </si>
  <si>
    <t>g/cm³</t>
  </si>
  <si>
    <r>
      <rPr>
        <sz val="9"/>
        <color theme="1"/>
        <rFont val="宋体"/>
        <charset val="134"/>
      </rPr>
      <t>克</t>
    </r>
    <r>
      <rPr>
        <sz val="9"/>
        <color theme="1"/>
        <rFont val="Arial"/>
        <charset val="134"/>
      </rPr>
      <t>/</t>
    </r>
    <r>
      <rPr>
        <sz val="9"/>
        <color theme="1"/>
        <rFont val="微软雅黑"/>
        <charset val="134"/>
      </rPr>
      <t>立方厘米</t>
    </r>
  </si>
  <si>
    <t>Liquid Level</t>
  </si>
  <si>
    <t>货物液位</t>
  </si>
  <si>
    <r>
      <rPr>
        <sz val="9"/>
        <color theme="1"/>
        <rFont val="微软雅黑"/>
        <charset val="134"/>
      </rPr>
      <t>油库</t>
    </r>
  </si>
  <si>
    <t>°API</t>
  </si>
  <si>
    <t>SHORE TANK MEASUREMENT REPORT</t>
  </si>
  <si>
    <t>岸罐计量报告</t>
  </si>
  <si>
    <r>
      <rPr>
        <sz val="9"/>
        <color theme="1"/>
        <rFont val="微软雅黑"/>
        <charset val="134"/>
      </rPr>
      <t>检验日期</t>
    </r>
  </si>
  <si>
    <t>- Density Source:</t>
  </si>
  <si>
    <r>
      <rPr>
        <sz val="9"/>
        <color theme="1"/>
        <rFont val="Arial"/>
        <charset val="134"/>
      </rPr>
      <t xml:space="preserve">- </t>
    </r>
    <r>
      <rPr>
        <sz val="9"/>
        <color theme="1"/>
        <rFont val="宋体"/>
        <charset val="134"/>
      </rPr>
      <t>密度来源：</t>
    </r>
  </si>
  <si>
    <t>- Density, S&amp;W Source:</t>
  </si>
  <si>
    <r>
      <rPr>
        <sz val="9"/>
        <color theme="1"/>
        <rFont val="Arial"/>
        <charset val="134"/>
      </rPr>
      <t xml:space="preserve">- </t>
    </r>
    <r>
      <rPr>
        <sz val="9"/>
        <color theme="1"/>
        <rFont val="宋体"/>
        <charset val="134"/>
      </rPr>
      <t>密度、水分杂质来源：</t>
    </r>
  </si>
  <si>
    <t>- Free Water Determination:</t>
  </si>
  <si>
    <r>
      <rPr>
        <sz val="9"/>
        <color theme="1"/>
        <rFont val="Arial"/>
        <charset val="134"/>
      </rPr>
      <t xml:space="preserve">- </t>
    </r>
    <r>
      <rPr>
        <sz val="9"/>
        <color theme="1"/>
        <rFont val="宋体"/>
        <charset val="134"/>
      </rPr>
      <t>游离水确定依据：</t>
    </r>
  </si>
  <si>
    <t>Bbls</t>
  </si>
  <si>
    <t>INVENTORY QUANTITY OF INDIVIDUAL TANK</t>
  </si>
  <si>
    <r>
      <rPr>
        <sz val="9"/>
        <color theme="1"/>
        <rFont val="微软雅黑"/>
        <charset val="134"/>
      </rPr>
      <t>各罐</t>
    </r>
    <r>
      <rPr>
        <sz val="9"/>
        <color theme="1"/>
        <rFont val="宋体"/>
        <charset val="134"/>
      </rPr>
      <t>罐存</t>
    </r>
    <r>
      <rPr>
        <sz val="9"/>
        <color theme="1"/>
        <rFont val="微软雅黑"/>
        <charset val="134"/>
      </rPr>
      <t>数量</t>
    </r>
  </si>
  <si>
    <t>Gross</t>
  </si>
  <si>
    <r>
      <rPr>
        <sz val="9"/>
        <color theme="1"/>
        <rFont val="Arial"/>
        <charset val="134"/>
      </rPr>
      <t>Density@15</t>
    </r>
    <r>
      <rPr>
        <sz val="9"/>
        <color theme="1"/>
        <rFont val="微软雅黑"/>
        <charset val="134"/>
      </rPr>
      <t>℃</t>
    </r>
    <r>
      <rPr>
        <sz val="9"/>
        <color theme="1"/>
        <rFont val="Arial"/>
        <charset val="134"/>
      </rPr>
      <t xml:space="preserve"> (g/cm³)</t>
    </r>
  </si>
  <si>
    <r>
      <rPr>
        <sz val="9"/>
        <color theme="1"/>
        <rFont val="微软雅黑"/>
        <charset val="134"/>
      </rPr>
      <t>密度</t>
    </r>
    <r>
      <rPr>
        <sz val="9"/>
        <color theme="1"/>
        <rFont val="Arial"/>
        <charset val="134"/>
      </rPr>
      <t>(15</t>
    </r>
    <r>
      <rPr>
        <sz val="9"/>
        <color theme="1"/>
        <rFont val="微软雅黑"/>
        <charset val="134"/>
      </rPr>
      <t>℃</t>
    </r>
    <r>
      <rPr>
        <sz val="9"/>
        <color theme="1"/>
        <rFont val="Arial"/>
        <charset val="134"/>
      </rPr>
      <t>, g/cm³)</t>
    </r>
  </si>
  <si>
    <t>Net</t>
  </si>
  <si>
    <r>
      <rPr>
        <sz val="9"/>
        <color theme="1"/>
        <rFont val="Arial"/>
        <charset val="134"/>
      </rPr>
      <t>Density@20</t>
    </r>
    <r>
      <rPr>
        <sz val="9"/>
        <color theme="1"/>
        <rFont val="微软雅黑"/>
        <charset val="134"/>
      </rPr>
      <t>℃</t>
    </r>
    <r>
      <rPr>
        <sz val="9"/>
        <color theme="1"/>
        <rFont val="Arial"/>
        <charset val="134"/>
      </rPr>
      <t xml:space="preserve"> (g/cm³)</t>
    </r>
  </si>
  <si>
    <r>
      <rPr>
        <sz val="9"/>
        <color theme="1"/>
        <rFont val="微软雅黑"/>
        <charset val="134"/>
      </rPr>
      <t>密度</t>
    </r>
    <r>
      <rPr>
        <sz val="9"/>
        <color theme="1"/>
        <rFont val="Arial"/>
        <charset val="134"/>
      </rPr>
      <t>(20</t>
    </r>
    <r>
      <rPr>
        <sz val="9"/>
        <color theme="1"/>
        <rFont val="微软雅黑"/>
        <charset val="134"/>
      </rPr>
      <t>℃</t>
    </r>
    <r>
      <rPr>
        <sz val="9"/>
        <color theme="1"/>
        <rFont val="Arial"/>
        <charset val="134"/>
      </rPr>
      <t>, g/cm³)</t>
    </r>
  </si>
  <si>
    <t xml:space="preserve">DELIVERED QUANTITY OF INDIVIDUAL TANK </t>
  </si>
  <si>
    <t>各罐发货数量</t>
  </si>
  <si>
    <r>
      <rPr>
        <sz val="9"/>
        <color theme="1"/>
        <rFont val="Arial"/>
        <charset val="134"/>
      </rPr>
      <t>API@60</t>
    </r>
    <r>
      <rPr>
        <sz val="9"/>
        <color theme="1"/>
        <rFont val="微软雅黑"/>
        <charset val="134"/>
      </rPr>
      <t>℉</t>
    </r>
  </si>
  <si>
    <t>RECEIVED QUANTITY OF INDIVIDUAL TANK</t>
  </si>
  <si>
    <t>各罐收货数量</t>
  </si>
  <si>
    <r>
      <rPr>
        <sz val="9"/>
        <color theme="1"/>
        <rFont val="Arial"/>
        <charset val="134"/>
      </rPr>
      <t>S.G.@60</t>
    </r>
    <r>
      <rPr>
        <sz val="9"/>
        <color theme="1"/>
        <rFont val="微软雅黑"/>
        <charset val="134"/>
      </rPr>
      <t>℉</t>
    </r>
    <r>
      <rPr>
        <sz val="9"/>
        <color theme="1"/>
        <rFont val="Arial"/>
        <charset val="134"/>
      </rPr>
      <t>/60</t>
    </r>
    <r>
      <rPr>
        <sz val="9"/>
        <color theme="1"/>
        <rFont val="微软雅黑"/>
        <charset val="134"/>
      </rPr>
      <t>℉</t>
    </r>
  </si>
  <si>
    <r>
      <rPr>
        <sz val="9"/>
        <color theme="1"/>
        <rFont val="微软雅黑"/>
        <charset val="134"/>
      </rPr>
      <t>相对密度</t>
    </r>
    <r>
      <rPr>
        <sz val="9"/>
        <color theme="1"/>
        <rFont val="Arial"/>
        <charset val="134"/>
      </rPr>
      <t>(60</t>
    </r>
    <r>
      <rPr>
        <sz val="9"/>
        <color theme="1"/>
        <rFont val="微软雅黑"/>
        <charset val="134"/>
      </rPr>
      <t>℉</t>
    </r>
    <r>
      <rPr>
        <sz val="9"/>
        <color theme="1"/>
        <rFont val="Arial"/>
        <charset val="134"/>
      </rPr>
      <t>/60</t>
    </r>
    <r>
      <rPr>
        <sz val="9"/>
        <color theme="1"/>
        <rFont val="微软雅黑"/>
        <charset val="134"/>
      </rPr>
      <t>℉</t>
    </r>
    <r>
      <rPr>
        <sz val="9"/>
        <color theme="1"/>
        <rFont val="Arial"/>
        <charset val="134"/>
      </rPr>
      <t>)</t>
    </r>
  </si>
  <si>
    <t>TOTAL QUANTITY OF INVENTORY</t>
  </si>
  <si>
    <t>罐存数量合计</t>
  </si>
  <si>
    <r>
      <rPr>
        <sz val="9"/>
        <color theme="1"/>
        <rFont val="Arial"/>
        <charset val="134"/>
      </rPr>
      <t>α60</t>
    </r>
    <r>
      <rPr>
        <sz val="9"/>
        <color theme="1"/>
        <rFont val="微软雅黑"/>
        <charset val="134"/>
      </rPr>
      <t>℉</t>
    </r>
    <r>
      <rPr>
        <sz val="9"/>
        <color theme="1"/>
        <rFont val="Arial"/>
        <charset val="134"/>
      </rPr>
      <t xml:space="preserve"> (1/</t>
    </r>
    <r>
      <rPr>
        <sz val="9"/>
        <color theme="1"/>
        <rFont val="微软雅黑"/>
        <charset val="134"/>
      </rPr>
      <t>℉</t>
    </r>
    <r>
      <rPr>
        <sz val="9"/>
        <color theme="1"/>
        <rFont val="Arial"/>
        <charset val="134"/>
      </rPr>
      <t>)</t>
    </r>
  </si>
  <si>
    <r>
      <rPr>
        <sz val="9"/>
        <color theme="1"/>
        <rFont val="微软雅黑"/>
        <charset val="134"/>
      </rPr>
      <t>温度膨胀系数</t>
    </r>
    <r>
      <rPr>
        <sz val="9"/>
        <color theme="1"/>
        <rFont val="Arial"/>
        <charset val="134"/>
      </rPr>
      <t>60</t>
    </r>
    <r>
      <rPr>
        <sz val="9"/>
        <color theme="1"/>
        <rFont val="微软雅黑"/>
        <charset val="134"/>
      </rPr>
      <t>℉</t>
    </r>
    <r>
      <rPr>
        <sz val="9"/>
        <color theme="1"/>
        <rFont val="Arial"/>
        <charset val="134"/>
      </rPr>
      <t xml:space="preserve"> (1/</t>
    </r>
    <r>
      <rPr>
        <sz val="9"/>
        <color theme="1"/>
        <rFont val="微软雅黑"/>
        <charset val="134"/>
      </rPr>
      <t>℉</t>
    </r>
    <r>
      <rPr>
        <sz val="9"/>
        <color theme="1"/>
        <rFont val="Arial"/>
        <charset val="134"/>
      </rPr>
      <t>)</t>
    </r>
  </si>
  <si>
    <t>TOTAL DELIVED QUANTITY</t>
  </si>
  <si>
    <r>
      <rPr>
        <sz val="9"/>
        <color theme="1"/>
        <rFont val="微软雅黑"/>
        <charset val="134"/>
      </rPr>
      <t>发货数量</t>
    </r>
    <r>
      <rPr>
        <sz val="9"/>
        <color theme="1"/>
        <rFont val="宋体"/>
        <charset val="134"/>
      </rPr>
      <t>合计</t>
    </r>
  </si>
  <si>
    <r>
      <rPr>
        <sz val="9"/>
        <color theme="1"/>
        <rFont val="Arial"/>
        <charset val="134"/>
      </rPr>
      <t>α60</t>
    </r>
    <r>
      <rPr>
        <sz val="9"/>
        <color theme="1"/>
        <rFont val="微软雅黑"/>
        <charset val="134"/>
      </rPr>
      <t>℉</t>
    </r>
    <r>
      <rPr>
        <sz val="9"/>
        <color theme="1"/>
        <rFont val="Arial"/>
        <charset val="134"/>
      </rPr>
      <t xml:space="preserve"> (1/</t>
    </r>
    <r>
      <rPr>
        <sz val="9"/>
        <color theme="1"/>
        <rFont val="微软雅黑"/>
        <charset val="134"/>
      </rPr>
      <t>℃</t>
    </r>
    <r>
      <rPr>
        <sz val="9"/>
        <color theme="1"/>
        <rFont val="Arial"/>
        <charset val="134"/>
      </rPr>
      <t>)</t>
    </r>
  </si>
  <si>
    <r>
      <rPr>
        <sz val="9"/>
        <color theme="1"/>
        <rFont val="微软雅黑"/>
        <charset val="134"/>
      </rPr>
      <t>温度膨胀系数</t>
    </r>
    <r>
      <rPr>
        <sz val="9"/>
        <color theme="1"/>
        <rFont val="Arial"/>
        <charset val="134"/>
      </rPr>
      <t>60</t>
    </r>
    <r>
      <rPr>
        <sz val="9"/>
        <color theme="1"/>
        <rFont val="微软雅黑"/>
        <charset val="134"/>
      </rPr>
      <t>℉</t>
    </r>
    <r>
      <rPr>
        <sz val="9"/>
        <color theme="1"/>
        <rFont val="Arial"/>
        <charset val="134"/>
      </rPr>
      <t xml:space="preserve"> (1/</t>
    </r>
    <r>
      <rPr>
        <sz val="9"/>
        <color theme="1"/>
        <rFont val="微软雅黑"/>
        <charset val="134"/>
      </rPr>
      <t>℃</t>
    </r>
    <r>
      <rPr>
        <sz val="9"/>
        <color theme="1"/>
        <rFont val="Arial"/>
        <charset val="134"/>
      </rPr>
      <t>)</t>
    </r>
  </si>
  <si>
    <t>TOTAL RECEIVED QUANTITY</t>
  </si>
  <si>
    <r>
      <rPr>
        <sz val="9"/>
        <color theme="1"/>
        <rFont val="微软雅黑"/>
        <charset val="134"/>
      </rPr>
      <t>收货数量</t>
    </r>
    <r>
      <rPr>
        <sz val="9"/>
        <color theme="1"/>
        <rFont val="宋体"/>
        <charset val="134"/>
      </rPr>
      <t>合计</t>
    </r>
  </si>
  <si>
    <r>
      <rPr>
        <sz val="9"/>
        <color theme="1"/>
        <rFont val="Arial"/>
        <charset val="134"/>
      </rPr>
      <t>Density@15</t>
    </r>
    <r>
      <rPr>
        <sz val="9"/>
        <color theme="1"/>
        <rFont val="微软雅黑"/>
        <charset val="134"/>
      </rPr>
      <t>℃</t>
    </r>
    <r>
      <rPr>
        <sz val="9"/>
        <color theme="1"/>
        <rFont val="Arial"/>
        <charset val="134"/>
      </rPr>
      <t xml:space="preserve"> (kg/m³)</t>
    </r>
  </si>
  <si>
    <r>
      <rPr>
        <sz val="9"/>
        <color theme="1"/>
        <rFont val="微软雅黑"/>
        <charset val="134"/>
      </rPr>
      <t>密度</t>
    </r>
    <r>
      <rPr>
        <sz val="9"/>
        <color theme="1"/>
        <rFont val="Arial"/>
        <charset val="134"/>
      </rPr>
      <t xml:space="preserve"> (15</t>
    </r>
    <r>
      <rPr>
        <sz val="9"/>
        <color theme="1"/>
        <rFont val="微软雅黑"/>
        <charset val="134"/>
      </rPr>
      <t>℃</t>
    </r>
    <r>
      <rPr>
        <sz val="9"/>
        <color theme="1"/>
        <rFont val="Arial"/>
        <charset val="134"/>
      </rPr>
      <t xml:space="preserve"> kg/m³)</t>
    </r>
  </si>
  <si>
    <r>
      <rPr>
        <sz val="9"/>
        <color theme="1"/>
        <rFont val="宋体"/>
        <charset val="134"/>
      </rPr>
      <t>现场报告</t>
    </r>
    <r>
      <rPr>
        <sz val="9"/>
        <color theme="1"/>
        <rFont val="Arial"/>
        <charset val="134"/>
      </rPr>
      <t xml:space="preserve"> Field Report</t>
    </r>
  </si>
  <si>
    <t>Net Standard Weight Delivered (in air)</t>
  </si>
  <si>
    <t>罐发量--净标准重量 (空气中)</t>
  </si>
  <si>
    <r>
      <rPr>
        <sz val="9"/>
        <color theme="1"/>
        <rFont val="Arial"/>
        <charset val="134"/>
      </rPr>
      <t>Density@20</t>
    </r>
    <r>
      <rPr>
        <sz val="9"/>
        <color theme="1"/>
        <rFont val="微软雅黑"/>
        <charset val="134"/>
      </rPr>
      <t>℃</t>
    </r>
    <r>
      <rPr>
        <sz val="9"/>
        <color theme="1"/>
        <rFont val="Arial"/>
        <charset val="134"/>
      </rPr>
      <t xml:space="preserve"> (kg/m³)</t>
    </r>
  </si>
  <si>
    <r>
      <rPr>
        <sz val="9"/>
        <color theme="1"/>
        <rFont val="微软雅黑"/>
        <charset val="134"/>
      </rPr>
      <t>密度</t>
    </r>
    <r>
      <rPr>
        <sz val="9"/>
        <color theme="1"/>
        <rFont val="Arial"/>
        <charset val="134"/>
      </rPr>
      <t xml:space="preserve"> (20</t>
    </r>
    <r>
      <rPr>
        <sz val="9"/>
        <color theme="1"/>
        <rFont val="微软雅黑"/>
        <charset val="134"/>
      </rPr>
      <t>℃</t>
    </r>
    <r>
      <rPr>
        <sz val="9"/>
        <color theme="1"/>
        <rFont val="Arial"/>
        <charset val="134"/>
      </rPr>
      <t xml:space="preserve"> kg/m³)</t>
    </r>
  </si>
  <si>
    <r>
      <rPr>
        <sz val="9"/>
        <color theme="1"/>
        <rFont val="宋体"/>
        <charset val="134"/>
      </rPr>
      <t>正式报告</t>
    </r>
    <r>
      <rPr>
        <sz val="9"/>
        <color theme="1"/>
        <rFont val="Arial"/>
        <charset val="134"/>
      </rPr>
      <t xml:space="preserve"> Official Report</t>
    </r>
  </si>
  <si>
    <t>Net Standard Weight Received (in air)</t>
  </si>
  <si>
    <t>罐收量--净标准重量 (空气中)</t>
  </si>
  <si>
    <r>
      <rPr>
        <sz val="9"/>
        <color theme="1"/>
        <rFont val="Arial"/>
        <charset val="134"/>
      </rPr>
      <t>API(60</t>
    </r>
    <r>
      <rPr>
        <sz val="9"/>
        <color theme="1"/>
        <rFont val="微软雅黑"/>
        <charset val="134"/>
      </rPr>
      <t>℉</t>
    </r>
    <r>
      <rPr>
        <sz val="9"/>
        <color theme="1"/>
        <rFont val="Arial"/>
        <charset val="134"/>
      </rPr>
      <t>)</t>
    </r>
  </si>
  <si>
    <r>
      <rPr>
        <sz val="9"/>
        <color theme="1"/>
        <rFont val="Arial"/>
        <charset val="134"/>
      </rPr>
      <t>A--</t>
    </r>
    <r>
      <rPr>
        <sz val="9"/>
        <color theme="1"/>
        <rFont val="宋体"/>
        <charset val="134"/>
      </rPr>
      <t>原油</t>
    </r>
    <r>
      <rPr>
        <sz val="9"/>
        <color theme="1"/>
        <rFont val="Arial"/>
        <charset val="134"/>
      </rPr>
      <t xml:space="preserve"> Crude Oil</t>
    </r>
  </si>
  <si>
    <t>MT</t>
  </si>
  <si>
    <t>公吨</t>
  </si>
  <si>
    <r>
      <rPr>
        <sz val="9"/>
        <color theme="1"/>
        <rFont val="微软雅黑"/>
        <charset val="134"/>
      </rPr>
      <t>相对密度</t>
    </r>
    <r>
      <rPr>
        <sz val="9"/>
        <color theme="1"/>
        <rFont val="Arial"/>
        <charset val="134"/>
      </rPr>
      <t>(@60</t>
    </r>
    <r>
      <rPr>
        <sz val="9"/>
        <color theme="1"/>
        <rFont val="微软雅黑"/>
        <charset val="134"/>
      </rPr>
      <t>℉</t>
    </r>
    <r>
      <rPr>
        <sz val="9"/>
        <color theme="1"/>
        <rFont val="Arial"/>
        <charset val="134"/>
      </rPr>
      <t>/60</t>
    </r>
    <r>
      <rPr>
        <sz val="9"/>
        <color theme="1"/>
        <rFont val="微软雅黑"/>
        <charset val="134"/>
      </rPr>
      <t>℉</t>
    </r>
    <r>
      <rPr>
        <sz val="9"/>
        <color theme="1"/>
        <rFont val="Arial"/>
        <charset val="134"/>
      </rPr>
      <t>)</t>
    </r>
  </si>
  <si>
    <r>
      <rPr>
        <sz val="9"/>
        <color theme="1"/>
        <rFont val="Arial"/>
        <charset val="134"/>
      </rPr>
      <t>B--</t>
    </r>
    <r>
      <rPr>
        <sz val="9"/>
        <color theme="1"/>
        <rFont val="宋体"/>
        <charset val="134"/>
      </rPr>
      <t>成品油</t>
    </r>
    <r>
      <rPr>
        <sz val="9"/>
        <color theme="1"/>
        <rFont val="Arial"/>
        <charset val="134"/>
      </rPr>
      <t xml:space="preserve"> Refined Products</t>
    </r>
  </si>
  <si>
    <t>LT</t>
  </si>
  <si>
    <t>长吨</t>
  </si>
  <si>
    <r>
      <rPr>
        <sz val="9"/>
        <color theme="1"/>
        <rFont val="Arial"/>
        <charset val="134"/>
      </rPr>
      <t>WCF MT(in air)/m³@15</t>
    </r>
    <r>
      <rPr>
        <sz val="9"/>
        <color indexed="8"/>
        <rFont val="Segoe UI Symbol"/>
        <charset val="134"/>
      </rPr>
      <t>℃</t>
    </r>
    <r>
      <rPr>
        <sz val="9"/>
        <color indexed="8"/>
        <rFont val="Arial"/>
        <charset val="134"/>
      </rPr>
      <t xml:space="preserve"> </t>
    </r>
    <r>
      <rPr>
        <sz val="9"/>
        <color rgb="FF000000"/>
        <rFont val="Arial"/>
        <charset val="134"/>
      </rPr>
      <t>[T-56]</t>
    </r>
  </si>
  <si>
    <r>
      <rPr>
        <sz val="9"/>
        <color indexed="8"/>
        <rFont val="宋体"/>
        <charset val="134"/>
      </rPr>
      <t>重量转换系数</t>
    </r>
    <r>
      <rPr>
        <sz val="9"/>
        <color indexed="8"/>
        <rFont val="Arial"/>
        <charset val="134"/>
      </rPr>
      <t xml:space="preserve"> </t>
    </r>
    <r>
      <rPr>
        <sz val="9"/>
        <color indexed="8"/>
        <rFont val="宋体"/>
        <charset val="134"/>
      </rPr>
      <t>公吨</t>
    </r>
    <r>
      <rPr>
        <sz val="9"/>
        <color indexed="8"/>
        <rFont val="Arial"/>
        <charset val="134"/>
      </rPr>
      <t>(</t>
    </r>
    <r>
      <rPr>
        <sz val="9"/>
        <color indexed="8"/>
        <rFont val="宋体"/>
        <charset val="134"/>
      </rPr>
      <t>空气中</t>
    </r>
    <r>
      <rPr>
        <sz val="9"/>
        <color indexed="8"/>
        <rFont val="Arial"/>
        <charset val="134"/>
      </rPr>
      <t>)/</t>
    </r>
    <r>
      <rPr>
        <sz val="9"/>
        <color indexed="8"/>
        <rFont val="宋体"/>
        <charset val="134"/>
      </rPr>
      <t>立方米</t>
    </r>
    <r>
      <rPr>
        <sz val="9"/>
        <color indexed="8"/>
        <rFont val="Arial"/>
        <charset val="134"/>
      </rPr>
      <t>(</t>
    </r>
    <r>
      <rPr>
        <sz val="9"/>
        <color rgb="FF000000"/>
        <rFont val="Arial"/>
        <charset val="134"/>
      </rPr>
      <t>15</t>
    </r>
    <r>
      <rPr>
        <sz val="9"/>
        <color rgb="FF000000"/>
        <rFont val="Segoe UI Symbol"/>
        <charset val="134"/>
      </rPr>
      <t>℃</t>
    </r>
    <r>
      <rPr>
        <sz val="9"/>
        <color indexed="8"/>
        <rFont val="Arial"/>
        <charset val="134"/>
      </rPr>
      <t xml:space="preserve">) </t>
    </r>
    <r>
      <rPr>
        <sz val="9"/>
        <color rgb="FF000000"/>
        <rFont val="Arial"/>
        <charset val="134"/>
      </rPr>
      <t>[T-56]</t>
    </r>
  </si>
  <si>
    <r>
      <rPr>
        <sz val="9"/>
        <color theme="1"/>
        <rFont val="Arial"/>
        <charset val="134"/>
      </rPr>
      <t>C--</t>
    </r>
    <r>
      <rPr>
        <sz val="9"/>
        <color theme="1"/>
        <rFont val="宋体"/>
        <charset val="134"/>
      </rPr>
      <t>特殊应用</t>
    </r>
    <r>
      <rPr>
        <sz val="9"/>
        <color theme="1"/>
        <rFont val="Arial"/>
        <charset val="134"/>
      </rPr>
      <t xml:space="preserve"> Special Application</t>
    </r>
  </si>
  <si>
    <t>Gross Standard Weight Delivered (in air)</t>
  </si>
  <si>
    <t>罐发量--总标准重量 (空气中)</t>
  </si>
  <si>
    <r>
      <rPr>
        <sz val="9"/>
        <color theme="1"/>
        <rFont val="Arial"/>
        <charset val="134"/>
      </rPr>
      <t>WCF MT(in air)/m³@15</t>
    </r>
    <r>
      <rPr>
        <sz val="9"/>
        <color indexed="8"/>
        <rFont val="Segoe UI Symbol"/>
        <charset val="134"/>
      </rPr>
      <t>℃</t>
    </r>
  </si>
  <si>
    <r>
      <rPr>
        <sz val="9"/>
        <color indexed="8"/>
        <rFont val="宋体"/>
        <charset val="134"/>
      </rPr>
      <t>重量转换系数</t>
    </r>
    <r>
      <rPr>
        <sz val="9"/>
        <color indexed="8"/>
        <rFont val="Arial"/>
        <charset val="134"/>
      </rPr>
      <t xml:space="preserve"> </t>
    </r>
    <r>
      <rPr>
        <sz val="9"/>
        <color indexed="8"/>
        <rFont val="宋体"/>
        <charset val="134"/>
      </rPr>
      <t>公吨</t>
    </r>
    <r>
      <rPr>
        <sz val="9"/>
        <color indexed="8"/>
        <rFont val="Arial"/>
        <charset val="134"/>
      </rPr>
      <t>(</t>
    </r>
    <r>
      <rPr>
        <sz val="9"/>
        <color indexed="8"/>
        <rFont val="宋体"/>
        <charset val="134"/>
      </rPr>
      <t>空气中</t>
    </r>
    <r>
      <rPr>
        <sz val="9"/>
        <color indexed="8"/>
        <rFont val="Arial"/>
        <charset val="134"/>
      </rPr>
      <t>)/</t>
    </r>
    <r>
      <rPr>
        <sz val="9"/>
        <color indexed="8"/>
        <rFont val="宋体"/>
        <charset val="134"/>
      </rPr>
      <t>立方米</t>
    </r>
    <r>
      <rPr>
        <sz val="9"/>
        <color indexed="8"/>
        <rFont val="Arial"/>
        <charset val="134"/>
      </rPr>
      <t>(</t>
    </r>
    <r>
      <rPr>
        <sz val="9"/>
        <color rgb="FF000000"/>
        <rFont val="Arial"/>
        <charset val="134"/>
      </rPr>
      <t>15</t>
    </r>
    <r>
      <rPr>
        <sz val="9"/>
        <color rgb="FF000000"/>
        <rFont val="Segoe UI Symbol"/>
        <charset val="134"/>
      </rPr>
      <t>℃</t>
    </r>
    <r>
      <rPr>
        <sz val="9"/>
        <color indexed="8"/>
        <rFont val="Arial"/>
        <charset val="134"/>
      </rPr>
      <t>)</t>
    </r>
  </si>
  <si>
    <r>
      <rPr>
        <sz val="9"/>
        <color theme="1"/>
        <rFont val="Arial"/>
        <charset val="134"/>
      </rPr>
      <t>D--</t>
    </r>
    <r>
      <rPr>
        <sz val="9"/>
        <color theme="1"/>
        <rFont val="宋体"/>
        <charset val="134"/>
      </rPr>
      <t>滑油类</t>
    </r>
    <r>
      <rPr>
        <sz val="9"/>
        <color theme="1"/>
        <rFont val="Arial"/>
        <charset val="134"/>
      </rPr>
      <t xml:space="preserve"> Lubricating Oils</t>
    </r>
  </si>
  <si>
    <t>Gross Standard Weight Received (in air)</t>
  </si>
  <si>
    <t>罐收量--总标准重量 (空气中)</t>
  </si>
  <si>
    <r>
      <rPr>
        <sz val="9"/>
        <color theme="1"/>
        <rFont val="Arial"/>
        <charset val="134"/>
      </rPr>
      <t>WCF MT(in air)/m³@20</t>
    </r>
    <r>
      <rPr>
        <sz val="9"/>
        <color indexed="8"/>
        <rFont val="Segoe UI Symbol"/>
        <charset val="134"/>
      </rPr>
      <t>℃</t>
    </r>
  </si>
  <si>
    <r>
      <rPr>
        <sz val="9"/>
        <color indexed="8"/>
        <rFont val="宋体"/>
        <charset val="134"/>
      </rPr>
      <t>重量转换系数</t>
    </r>
    <r>
      <rPr>
        <sz val="9"/>
        <color indexed="8"/>
        <rFont val="Arial"/>
        <charset val="134"/>
      </rPr>
      <t xml:space="preserve"> </t>
    </r>
    <r>
      <rPr>
        <sz val="9"/>
        <color indexed="8"/>
        <rFont val="宋体"/>
        <charset val="134"/>
      </rPr>
      <t>公吨</t>
    </r>
    <r>
      <rPr>
        <sz val="9"/>
        <color indexed="8"/>
        <rFont val="Arial"/>
        <charset val="134"/>
      </rPr>
      <t>(</t>
    </r>
    <r>
      <rPr>
        <sz val="9"/>
        <color indexed="8"/>
        <rFont val="宋体"/>
        <charset val="134"/>
      </rPr>
      <t>空气中</t>
    </r>
    <r>
      <rPr>
        <sz val="9"/>
        <color indexed="8"/>
        <rFont val="Arial"/>
        <charset val="134"/>
      </rPr>
      <t>)/</t>
    </r>
    <r>
      <rPr>
        <sz val="9"/>
        <color indexed="8"/>
        <rFont val="宋体"/>
        <charset val="134"/>
      </rPr>
      <t>立方米</t>
    </r>
    <r>
      <rPr>
        <sz val="9"/>
        <color indexed="8"/>
        <rFont val="Arial"/>
        <charset val="134"/>
      </rPr>
      <t>(</t>
    </r>
    <r>
      <rPr>
        <sz val="9"/>
        <color rgb="FF000000"/>
        <rFont val="Arial"/>
        <charset val="134"/>
      </rPr>
      <t>20</t>
    </r>
    <r>
      <rPr>
        <sz val="9"/>
        <color rgb="FF000000"/>
        <rFont val="Segoe UI Symbol"/>
        <charset val="134"/>
      </rPr>
      <t>℃</t>
    </r>
    <r>
      <rPr>
        <sz val="9"/>
        <color indexed="8"/>
        <rFont val="Arial"/>
        <charset val="134"/>
      </rPr>
      <t>)</t>
    </r>
  </si>
  <si>
    <t>Net Standard Weight (in air)</t>
  </si>
  <si>
    <t>净标准重量 (空气中)</t>
  </si>
  <si>
    <r>
      <rPr>
        <sz val="9"/>
        <color indexed="8"/>
        <rFont val="宋体"/>
        <charset val="134"/>
      </rPr>
      <t>公吨</t>
    </r>
    <r>
      <rPr>
        <sz val="9"/>
        <color indexed="8"/>
        <rFont val="Arial"/>
        <charset val="134"/>
      </rPr>
      <t>/</t>
    </r>
    <r>
      <rPr>
        <sz val="9"/>
        <color indexed="8"/>
        <rFont val="宋体"/>
        <charset val="134"/>
      </rPr>
      <t>长吨</t>
    </r>
    <r>
      <rPr>
        <sz val="9"/>
        <color indexed="8"/>
        <rFont val="Arial"/>
        <charset val="134"/>
      </rPr>
      <t xml:space="preserve"> </t>
    </r>
    <r>
      <rPr>
        <sz val="9"/>
        <color rgb="FF000000"/>
        <rFont val="Arial"/>
        <charset val="134"/>
      </rPr>
      <t>[T-1]</t>
    </r>
  </si>
  <si>
    <t>Gross Standard Weight (in air)</t>
  </si>
  <si>
    <t>总标准重量 (空气中)</t>
  </si>
  <si>
    <r>
      <rPr>
        <sz val="9"/>
        <color indexed="8"/>
        <rFont val="宋体"/>
        <charset val="134"/>
      </rPr>
      <t>公吨</t>
    </r>
    <r>
      <rPr>
        <sz val="9"/>
        <color indexed="8"/>
        <rFont val="Arial"/>
        <charset val="134"/>
      </rPr>
      <t>/</t>
    </r>
    <r>
      <rPr>
        <sz val="9"/>
        <color indexed="8"/>
        <rFont val="宋体"/>
        <charset val="134"/>
      </rPr>
      <t>长吨</t>
    </r>
  </si>
  <si>
    <r>
      <rPr>
        <sz val="9"/>
        <color theme="1"/>
        <rFont val="Arial"/>
        <charset val="134"/>
      </rPr>
      <t>Density@15</t>
    </r>
    <r>
      <rPr>
        <sz val="9"/>
        <color theme="1"/>
        <rFont val="Segoe UI Symbol"/>
        <charset val="134"/>
      </rPr>
      <t>℃</t>
    </r>
  </si>
  <si>
    <r>
      <rPr>
        <sz val="9"/>
        <color theme="1"/>
        <rFont val="微软雅黑"/>
        <charset val="134"/>
      </rPr>
      <t>密度</t>
    </r>
    <r>
      <rPr>
        <sz val="9"/>
        <color theme="1"/>
        <rFont val="Arial"/>
        <charset val="134"/>
      </rPr>
      <t xml:space="preserve"> </t>
    </r>
    <r>
      <rPr>
        <sz val="9"/>
        <color theme="1"/>
        <rFont val="宋体"/>
        <charset val="134"/>
      </rPr>
      <t>（</t>
    </r>
    <r>
      <rPr>
        <sz val="9"/>
        <color theme="1"/>
        <rFont val="Arial"/>
        <charset val="134"/>
      </rPr>
      <t>15</t>
    </r>
    <r>
      <rPr>
        <sz val="9"/>
        <color theme="1"/>
        <rFont val="Segoe UI Symbol"/>
        <charset val="134"/>
      </rPr>
      <t>℃</t>
    </r>
    <r>
      <rPr>
        <sz val="9"/>
        <color theme="1"/>
        <rFont val="宋体"/>
        <charset val="134"/>
      </rPr>
      <t>）</t>
    </r>
  </si>
  <si>
    <r>
      <rPr>
        <sz val="9"/>
        <color theme="1"/>
        <rFont val="Arial"/>
        <charset val="134"/>
      </rPr>
      <t>WCF MT(in air)/bbls@60</t>
    </r>
    <r>
      <rPr>
        <sz val="9"/>
        <color indexed="8"/>
        <rFont val="Segoe UI Symbol"/>
        <charset val="134"/>
      </rPr>
      <t>℉</t>
    </r>
    <r>
      <rPr>
        <sz val="9"/>
        <color indexed="8"/>
        <rFont val="Arial"/>
        <charset val="134"/>
      </rPr>
      <t xml:space="preserve"> </t>
    </r>
    <r>
      <rPr>
        <sz val="9"/>
        <color rgb="FF000000"/>
        <rFont val="Arial"/>
        <charset val="134"/>
      </rPr>
      <t>[T-13]</t>
    </r>
  </si>
  <si>
    <r>
      <rPr>
        <sz val="9"/>
        <color indexed="8"/>
        <rFont val="宋体"/>
        <charset val="134"/>
      </rPr>
      <t>重量转换系数</t>
    </r>
    <r>
      <rPr>
        <sz val="9"/>
        <color indexed="8"/>
        <rFont val="Arial"/>
        <charset val="134"/>
      </rPr>
      <t xml:space="preserve"> </t>
    </r>
    <r>
      <rPr>
        <sz val="9"/>
        <color indexed="8"/>
        <rFont val="宋体"/>
        <charset val="134"/>
      </rPr>
      <t>公吨</t>
    </r>
    <r>
      <rPr>
        <sz val="9"/>
        <color indexed="8"/>
        <rFont val="Arial"/>
        <charset val="134"/>
      </rPr>
      <t>(</t>
    </r>
    <r>
      <rPr>
        <sz val="9"/>
        <color indexed="8"/>
        <rFont val="宋体"/>
        <charset val="134"/>
      </rPr>
      <t>空气中</t>
    </r>
    <r>
      <rPr>
        <sz val="9"/>
        <color indexed="8"/>
        <rFont val="Arial"/>
        <charset val="134"/>
      </rPr>
      <t>)/</t>
    </r>
    <r>
      <rPr>
        <sz val="9"/>
        <color indexed="8"/>
        <rFont val="宋体"/>
        <charset val="134"/>
      </rPr>
      <t>美桶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t>
    </r>
    <r>
      <rPr>
        <sz val="9"/>
        <color rgb="FF000000"/>
        <rFont val="Arial"/>
        <charset val="134"/>
      </rPr>
      <t>[T-13]</t>
    </r>
  </si>
  <si>
    <r>
      <rPr>
        <sz val="9"/>
        <color theme="1"/>
        <rFont val="Arial"/>
        <charset val="134"/>
      </rPr>
      <t>Density@20</t>
    </r>
    <r>
      <rPr>
        <sz val="9"/>
        <color theme="1"/>
        <rFont val="Segoe UI Symbol"/>
        <charset val="134"/>
      </rPr>
      <t>℃</t>
    </r>
  </si>
  <si>
    <r>
      <rPr>
        <sz val="9"/>
        <color theme="1"/>
        <rFont val="微软雅黑"/>
        <charset val="134"/>
      </rPr>
      <t>密度</t>
    </r>
    <r>
      <rPr>
        <sz val="9"/>
        <color theme="1"/>
        <rFont val="Arial"/>
        <charset val="134"/>
      </rPr>
      <t xml:space="preserve"> </t>
    </r>
    <r>
      <rPr>
        <sz val="9"/>
        <color theme="1"/>
        <rFont val="宋体"/>
        <charset val="134"/>
      </rPr>
      <t>（</t>
    </r>
    <r>
      <rPr>
        <sz val="9"/>
        <color theme="1"/>
        <rFont val="Arial"/>
        <charset val="134"/>
      </rPr>
      <t>20</t>
    </r>
    <r>
      <rPr>
        <sz val="9"/>
        <color theme="1"/>
        <rFont val="Segoe UI Symbol"/>
        <charset val="134"/>
      </rPr>
      <t>℃</t>
    </r>
    <r>
      <rPr>
        <sz val="9"/>
        <color theme="1"/>
        <rFont val="宋体"/>
        <charset val="134"/>
      </rPr>
      <t>）</t>
    </r>
  </si>
  <si>
    <r>
      <rPr>
        <sz val="9"/>
        <color theme="1"/>
        <rFont val="Arial"/>
        <charset val="134"/>
      </rPr>
      <t>WCF MT(in air)/bbls@60</t>
    </r>
    <r>
      <rPr>
        <sz val="9"/>
        <color indexed="8"/>
        <rFont val="Segoe UI Symbol"/>
        <charset val="134"/>
      </rPr>
      <t>℉</t>
    </r>
  </si>
  <si>
    <r>
      <rPr>
        <sz val="9"/>
        <color indexed="8"/>
        <rFont val="宋体"/>
        <charset val="134"/>
      </rPr>
      <t>重量转换系数</t>
    </r>
    <r>
      <rPr>
        <sz val="9"/>
        <color indexed="8"/>
        <rFont val="Arial"/>
        <charset val="134"/>
      </rPr>
      <t xml:space="preserve">  </t>
    </r>
    <r>
      <rPr>
        <sz val="9"/>
        <color indexed="8"/>
        <rFont val="宋体"/>
        <charset val="134"/>
      </rPr>
      <t>公吨</t>
    </r>
    <r>
      <rPr>
        <sz val="9"/>
        <color indexed="8"/>
        <rFont val="Arial"/>
        <charset val="134"/>
      </rPr>
      <t>(</t>
    </r>
    <r>
      <rPr>
        <sz val="9"/>
        <color indexed="8"/>
        <rFont val="宋体"/>
        <charset val="134"/>
      </rPr>
      <t>空气中</t>
    </r>
    <r>
      <rPr>
        <sz val="9"/>
        <color indexed="8"/>
        <rFont val="Arial"/>
        <charset val="134"/>
      </rPr>
      <t>)/</t>
    </r>
    <r>
      <rPr>
        <sz val="9"/>
        <color indexed="8"/>
        <rFont val="微软雅黑"/>
        <charset val="134"/>
      </rPr>
      <t>美桶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t>
    </r>
  </si>
  <si>
    <r>
      <rPr>
        <sz val="9"/>
        <color theme="1"/>
        <rFont val="Arial"/>
        <charset val="134"/>
      </rPr>
      <t xml:space="preserve">API </t>
    </r>
    <r>
      <rPr>
        <sz val="9"/>
        <color theme="1"/>
        <rFont val="宋体"/>
        <charset val="134"/>
      </rPr>
      <t>（</t>
    </r>
    <r>
      <rPr>
        <sz val="9"/>
        <color theme="1"/>
        <rFont val="Arial"/>
        <charset val="134"/>
      </rPr>
      <t>60</t>
    </r>
    <r>
      <rPr>
        <sz val="9"/>
        <color theme="1"/>
        <rFont val="Segoe UI Symbol"/>
        <charset val="134"/>
      </rPr>
      <t>℉</t>
    </r>
    <r>
      <rPr>
        <sz val="9"/>
        <color theme="1"/>
        <rFont val="宋体"/>
        <charset val="134"/>
      </rPr>
      <t>）</t>
    </r>
  </si>
  <si>
    <r>
      <rPr>
        <sz val="9"/>
        <color theme="1"/>
        <rFont val="Arial"/>
        <charset val="134"/>
      </rPr>
      <t>Density@15</t>
    </r>
    <r>
      <rPr>
        <sz val="9"/>
        <color theme="1"/>
        <rFont val="微软雅黑"/>
        <charset val="134"/>
      </rPr>
      <t>℃</t>
    </r>
    <r>
      <rPr>
        <sz val="9"/>
        <color theme="1"/>
        <rFont val="Arial"/>
        <charset val="134"/>
      </rPr>
      <t xml:space="preserve"> MT(Vacuo)/m³</t>
    </r>
  </si>
  <si>
    <r>
      <rPr>
        <sz val="9"/>
        <color theme="1"/>
        <rFont val="微软雅黑"/>
        <charset val="134"/>
      </rPr>
      <t>密度</t>
    </r>
    <r>
      <rPr>
        <sz val="9"/>
        <color theme="1"/>
        <rFont val="Arial"/>
        <charset val="134"/>
      </rPr>
      <t xml:space="preserve"> (15</t>
    </r>
    <r>
      <rPr>
        <sz val="9"/>
        <color theme="1"/>
        <rFont val="微软雅黑"/>
        <charset val="134"/>
      </rPr>
      <t>℃</t>
    </r>
    <r>
      <rPr>
        <sz val="9"/>
        <color theme="1"/>
        <rFont val="Arial"/>
        <charset val="134"/>
      </rPr>
      <t xml:space="preserve">) </t>
    </r>
    <r>
      <rPr>
        <sz val="9"/>
        <color theme="1"/>
        <rFont val="微软雅黑"/>
        <charset val="134"/>
      </rPr>
      <t>公吨</t>
    </r>
    <r>
      <rPr>
        <sz val="9"/>
        <color theme="1"/>
        <rFont val="Arial"/>
        <charset val="134"/>
      </rPr>
      <t>(</t>
    </r>
    <r>
      <rPr>
        <sz val="9"/>
        <color theme="1"/>
        <rFont val="微软雅黑"/>
        <charset val="134"/>
      </rPr>
      <t>真空中</t>
    </r>
    <r>
      <rPr>
        <sz val="9"/>
        <color theme="1"/>
        <rFont val="Arial"/>
        <charset val="134"/>
      </rPr>
      <t>)/</t>
    </r>
    <r>
      <rPr>
        <sz val="9"/>
        <color theme="1"/>
        <rFont val="微软雅黑"/>
        <charset val="134"/>
      </rPr>
      <t>立方米</t>
    </r>
  </si>
  <si>
    <r>
      <rPr>
        <sz val="9"/>
        <color theme="1"/>
        <rFont val="微软雅黑"/>
        <charset val="134"/>
      </rPr>
      <t xml:space="preserve">相对密度 </t>
    </r>
    <r>
      <rPr>
        <sz val="9"/>
        <color theme="1"/>
        <rFont val="宋体"/>
        <charset val="134"/>
      </rPr>
      <t>（</t>
    </r>
    <r>
      <rPr>
        <sz val="9"/>
        <color theme="1"/>
        <rFont val="Arial"/>
        <charset val="134"/>
      </rPr>
      <t>60</t>
    </r>
    <r>
      <rPr>
        <sz val="9"/>
        <color theme="1"/>
        <rFont val="Segoe UI Symbol"/>
        <charset val="134"/>
      </rPr>
      <t>℉</t>
    </r>
    <r>
      <rPr>
        <sz val="9"/>
        <color theme="1"/>
        <rFont val="Arial"/>
        <charset val="134"/>
      </rPr>
      <t>/60</t>
    </r>
    <r>
      <rPr>
        <sz val="9"/>
        <color theme="1"/>
        <rFont val="Segoe UI Symbol"/>
        <charset val="134"/>
      </rPr>
      <t>℉</t>
    </r>
    <r>
      <rPr>
        <sz val="9"/>
        <color theme="1"/>
        <rFont val="宋体"/>
        <charset val="134"/>
      </rPr>
      <t>）</t>
    </r>
  </si>
  <si>
    <r>
      <rPr>
        <sz val="9"/>
        <color theme="1"/>
        <rFont val="Arial"/>
        <charset val="134"/>
      </rPr>
      <t>Density@20</t>
    </r>
    <r>
      <rPr>
        <sz val="9"/>
        <color theme="1"/>
        <rFont val="微软雅黑"/>
        <charset val="134"/>
      </rPr>
      <t>℃</t>
    </r>
    <r>
      <rPr>
        <sz val="9"/>
        <color theme="1"/>
        <rFont val="Arial"/>
        <charset val="134"/>
      </rPr>
      <t xml:space="preserve"> MT(Vacuo)/m³</t>
    </r>
  </si>
  <si>
    <r>
      <rPr>
        <sz val="9"/>
        <color theme="1"/>
        <rFont val="微软雅黑"/>
        <charset val="134"/>
      </rPr>
      <t>密度</t>
    </r>
    <r>
      <rPr>
        <sz val="9"/>
        <color theme="1"/>
        <rFont val="Arial"/>
        <charset val="134"/>
      </rPr>
      <t xml:space="preserve"> (20</t>
    </r>
    <r>
      <rPr>
        <sz val="9"/>
        <color theme="1"/>
        <rFont val="微软雅黑"/>
        <charset val="134"/>
      </rPr>
      <t>℃</t>
    </r>
    <r>
      <rPr>
        <sz val="9"/>
        <color theme="1"/>
        <rFont val="Arial"/>
        <charset val="134"/>
      </rPr>
      <t xml:space="preserve">) </t>
    </r>
    <r>
      <rPr>
        <sz val="9"/>
        <color theme="1"/>
        <rFont val="微软雅黑"/>
        <charset val="134"/>
      </rPr>
      <t>公吨</t>
    </r>
    <r>
      <rPr>
        <sz val="9"/>
        <color theme="1"/>
        <rFont val="Arial"/>
        <charset val="134"/>
      </rPr>
      <t>(</t>
    </r>
    <r>
      <rPr>
        <sz val="9"/>
        <color theme="1"/>
        <rFont val="微软雅黑"/>
        <charset val="134"/>
      </rPr>
      <t>真空中</t>
    </r>
    <r>
      <rPr>
        <sz val="9"/>
        <color theme="1"/>
        <rFont val="Arial"/>
        <charset val="134"/>
      </rPr>
      <t>)/</t>
    </r>
    <r>
      <rPr>
        <sz val="9"/>
        <color theme="1"/>
        <rFont val="微软雅黑"/>
        <charset val="134"/>
      </rPr>
      <t>立方米</t>
    </r>
  </si>
  <si>
    <t>kg/m³</t>
  </si>
  <si>
    <t>公斤/立方米</t>
  </si>
  <si>
    <r>
      <rPr>
        <sz val="9"/>
        <color theme="1"/>
        <rFont val="Arial"/>
        <charset val="134"/>
      </rPr>
      <t>WCF MT(in vacuo)/bbls@60</t>
    </r>
    <r>
      <rPr>
        <sz val="9"/>
        <color indexed="8"/>
        <rFont val="Segoe UI Symbol"/>
        <charset val="134"/>
      </rPr>
      <t>℉</t>
    </r>
    <r>
      <rPr>
        <sz val="9"/>
        <color indexed="8"/>
        <rFont val="Arial"/>
        <charset val="134"/>
      </rPr>
      <t xml:space="preserve"> </t>
    </r>
    <r>
      <rPr>
        <sz val="9"/>
        <color rgb="FF000000"/>
        <rFont val="Arial"/>
        <charset val="134"/>
      </rPr>
      <t>[T-13]</t>
    </r>
  </si>
  <si>
    <r>
      <rPr>
        <sz val="9"/>
        <color indexed="8"/>
        <rFont val="宋体"/>
        <charset val="134"/>
      </rPr>
      <t>重量转换系数</t>
    </r>
    <r>
      <rPr>
        <sz val="9"/>
        <color indexed="8"/>
        <rFont val="Arial"/>
        <charset val="134"/>
      </rPr>
      <t xml:space="preserve"> </t>
    </r>
    <r>
      <rPr>
        <sz val="9"/>
        <color indexed="8"/>
        <rFont val="宋体"/>
        <charset val="134"/>
      </rPr>
      <t>公吨</t>
    </r>
    <r>
      <rPr>
        <sz val="9"/>
        <color indexed="8"/>
        <rFont val="Arial"/>
        <charset val="134"/>
      </rPr>
      <t>(</t>
    </r>
    <r>
      <rPr>
        <sz val="9"/>
        <color rgb="FF000000"/>
        <rFont val="宋体"/>
        <charset val="134"/>
      </rPr>
      <t>真空中</t>
    </r>
    <r>
      <rPr>
        <sz val="9"/>
        <color indexed="8"/>
        <rFont val="Arial"/>
        <charset val="134"/>
      </rPr>
      <t>)/</t>
    </r>
    <r>
      <rPr>
        <sz val="9"/>
        <color indexed="8"/>
        <rFont val="宋体"/>
        <charset val="134"/>
      </rPr>
      <t>美桶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t>
    </r>
    <r>
      <rPr>
        <sz val="9"/>
        <color rgb="FF000000"/>
        <rFont val="Arial"/>
        <charset val="134"/>
      </rPr>
      <t>[T-13]</t>
    </r>
  </si>
  <si>
    <r>
      <rPr>
        <sz val="9"/>
        <color theme="1"/>
        <rFont val="Arial"/>
        <charset val="134"/>
      </rPr>
      <t>WCF MT(in vacuo)/bbls@60</t>
    </r>
    <r>
      <rPr>
        <sz val="9"/>
        <color indexed="8"/>
        <rFont val="Segoe UI Symbol"/>
        <charset val="134"/>
      </rPr>
      <t>℉</t>
    </r>
  </si>
  <si>
    <r>
      <rPr>
        <sz val="9"/>
        <color indexed="8"/>
        <rFont val="宋体"/>
        <charset val="134"/>
      </rPr>
      <t>重量转换系数</t>
    </r>
    <r>
      <rPr>
        <sz val="9"/>
        <color indexed="8"/>
        <rFont val="Arial"/>
        <charset val="134"/>
      </rPr>
      <t xml:space="preserve"> </t>
    </r>
    <r>
      <rPr>
        <sz val="9"/>
        <color indexed="8"/>
        <rFont val="宋体"/>
        <charset val="134"/>
      </rPr>
      <t>公吨</t>
    </r>
    <r>
      <rPr>
        <sz val="9"/>
        <color rgb="FF000000"/>
        <rFont val="Arial"/>
        <charset val="134"/>
      </rPr>
      <t>(</t>
    </r>
    <r>
      <rPr>
        <sz val="9"/>
        <color rgb="FF000000"/>
        <rFont val="宋体"/>
        <charset val="134"/>
      </rPr>
      <t>真空</t>
    </r>
    <r>
      <rPr>
        <sz val="9"/>
        <color indexed="8"/>
        <rFont val="宋体"/>
        <charset val="134"/>
      </rPr>
      <t>中</t>
    </r>
    <r>
      <rPr>
        <sz val="9"/>
        <color rgb="FF000000"/>
        <rFont val="Arial"/>
        <charset val="134"/>
      </rPr>
      <t>)</t>
    </r>
    <r>
      <rPr>
        <sz val="9"/>
        <color indexed="8"/>
        <rFont val="Arial"/>
        <charset val="134"/>
      </rPr>
      <t>/</t>
    </r>
    <r>
      <rPr>
        <sz val="9"/>
        <color indexed="8"/>
        <rFont val="微软雅黑"/>
        <charset val="134"/>
      </rPr>
      <t>美桶</t>
    </r>
    <r>
      <rPr>
        <sz val="9"/>
        <color rgb="FF000000"/>
        <rFont val="Arial"/>
        <charset val="134"/>
      </rPr>
      <t>(60</t>
    </r>
    <r>
      <rPr>
        <sz val="9"/>
        <color rgb="FF000000"/>
        <rFont val="Segoe UI Symbol"/>
        <charset val="134"/>
      </rPr>
      <t>℉</t>
    </r>
    <r>
      <rPr>
        <sz val="9"/>
        <color rgb="FF000000"/>
        <rFont val="Arial"/>
        <charset val="134"/>
      </rPr>
      <t>)</t>
    </r>
  </si>
  <si>
    <t>Net Standard Volume</t>
  </si>
  <si>
    <t>净标准体积</t>
  </si>
  <si>
    <t>Net Standard Volume Delivered</t>
  </si>
  <si>
    <t>罐发量--净标准体积</t>
  </si>
  <si>
    <r>
      <rPr>
        <sz val="9"/>
        <color theme="1"/>
        <rFont val="Arial"/>
        <charset val="134"/>
      </rPr>
      <t>WCF LT(in air)/m³@15</t>
    </r>
    <r>
      <rPr>
        <sz val="9"/>
        <color indexed="8"/>
        <rFont val="Segoe UI Symbol"/>
        <charset val="134"/>
      </rPr>
      <t>℃</t>
    </r>
    <r>
      <rPr>
        <sz val="9"/>
        <color indexed="8"/>
        <rFont val="Arial"/>
        <charset val="134"/>
      </rPr>
      <t xml:space="preserve"> </t>
    </r>
    <r>
      <rPr>
        <sz val="9"/>
        <color rgb="FF000000"/>
        <rFont val="Arial"/>
        <charset val="134"/>
      </rPr>
      <t>[T-57]</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</si>
  <si>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空气中</t>
    </r>
    <r>
      <rPr>
        <sz val="9"/>
        <color indexed="8"/>
        <rFont val="Arial"/>
        <charset val="134"/>
      </rPr>
      <t>)/</t>
    </r>
    <r>
      <rPr>
        <sz val="9"/>
        <color indexed="8"/>
        <rFont val="微软雅黑"/>
        <charset val="134"/>
      </rPr>
      <t>立方米</t>
    </r>
    <r>
      <rPr>
        <sz val="9"/>
        <color indexed="8"/>
        <rFont val="Arial"/>
        <charset val="134"/>
      </rPr>
      <t>(</t>
    </r>
    <r>
      <rPr>
        <sz val="9"/>
        <color rgb="FF000000"/>
        <rFont val="Arial"/>
        <charset val="134"/>
      </rPr>
      <t>15</t>
    </r>
    <r>
      <rPr>
        <sz val="9"/>
        <color rgb="FF000000"/>
        <rFont val="Segoe UI Symbol"/>
        <charset val="134"/>
      </rPr>
      <t>℃</t>
    </r>
    <r>
      <rPr>
        <sz val="9"/>
        <color indexed="8"/>
        <rFont val="Arial"/>
        <charset val="134"/>
      </rPr>
      <t xml:space="preserve">) </t>
    </r>
    <r>
      <rPr>
        <sz val="9"/>
        <color rgb="FF000000"/>
        <rFont val="Arial"/>
        <charset val="134"/>
      </rPr>
      <t>[T-57]</t>
    </r>
  </si>
  <si>
    <t>Net Standard Volume Received</t>
  </si>
  <si>
    <t>罐收量--净标准体积</t>
  </si>
  <si>
    <r>
      <rPr>
        <sz val="9"/>
        <color theme="1"/>
        <rFont val="Arial"/>
        <charset val="134"/>
      </rPr>
      <t>WCF LT(in air)/m³@15</t>
    </r>
    <r>
      <rPr>
        <sz val="9"/>
        <color indexed="8"/>
        <rFont val="Segoe UI Symbol"/>
        <charset val="134"/>
      </rPr>
      <t>℃</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</si>
  <si>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空气中</t>
    </r>
    <r>
      <rPr>
        <sz val="9"/>
        <color indexed="8"/>
        <rFont val="Arial"/>
        <charset val="134"/>
      </rPr>
      <t>)/</t>
    </r>
    <r>
      <rPr>
        <sz val="9"/>
        <color indexed="8"/>
        <rFont val="微软雅黑"/>
        <charset val="134"/>
      </rPr>
      <t>立方米</t>
    </r>
    <r>
      <rPr>
        <sz val="9"/>
        <color indexed="8"/>
        <rFont val="Arial"/>
        <charset val="134"/>
      </rPr>
      <t>(</t>
    </r>
    <r>
      <rPr>
        <sz val="9"/>
        <color rgb="FF000000"/>
        <rFont val="Arial"/>
        <charset val="134"/>
      </rPr>
      <t>15</t>
    </r>
    <r>
      <rPr>
        <sz val="9"/>
        <color rgb="FF000000"/>
        <rFont val="Segoe UI Symbol"/>
        <charset val="134"/>
      </rPr>
      <t>℃</t>
    </r>
    <r>
      <rPr>
        <sz val="9"/>
        <color indexed="8"/>
        <rFont val="Arial"/>
        <charset val="134"/>
      </rPr>
      <t xml:space="preserve">) </t>
    </r>
  </si>
  <si>
    <t>Gross Standard Volume Delivered</t>
  </si>
  <si>
    <t>罐发量--总标准体积</t>
  </si>
  <si>
    <r>
      <rPr>
        <sz val="9"/>
        <color indexed="8"/>
        <rFont val="宋体"/>
        <charset val="134"/>
      </rPr>
      <t>长吨</t>
    </r>
    <r>
      <rPr>
        <sz val="9"/>
        <color rgb="FF000000"/>
        <rFont val="Arial"/>
        <charset val="134"/>
      </rPr>
      <t>/</t>
    </r>
    <r>
      <rPr>
        <sz val="9"/>
        <color indexed="8"/>
        <rFont val="宋体"/>
        <charset val="134"/>
      </rPr>
      <t>公吨</t>
    </r>
    <r>
      <rPr>
        <sz val="9"/>
        <color indexed="8"/>
        <rFont val="Arial"/>
        <charset val="134"/>
      </rPr>
      <t xml:space="preserve"> </t>
    </r>
    <r>
      <rPr>
        <sz val="9"/>
        <color rgb="FF000000"/>
        <rFont val="Arial"/>
        <charset val="134"/>
      </rPr>
      <t>[T-1]</t>
    </r>
  </si>
  <si>
    <t>Gross Standard Volume Received</t>
  </si>
  <si>
    <t>罐收量--总标准体积</t>
  </si>
  <si>
    <r>
      <rPr>
        <sz val="9"/>
        <color indexed="8"/>
        <rFont val="宋体"/>
        <charset val="134"/>
      </rPr>
      <t>长吨</t>
    </r>
    <r>
      <rPr>
        <sz val="9"/>
        <color rgb="FF000000"/>
        <rFont val="Arial"/>
        <charset val="134"/>
      </rPr>
      <t>/</t>
    </r>
    <r>
      <rPr>
        <sz val="9"/>
        <color indexed="8"/>
        <rFont val="宋体"/>
        <charset val="134"/>
      </rPr>
      <t>公吨</t>
    </r>
  </si>
  <si>
    <t>Gross Observed Volume Delivered</t>
  </si>
  <si>
    <r>
      <rPr>
        <sz val="9"/>
        <color theme="1"/>
        <rFont val="微软雅黑"/>
        <charset val="134"/>
      </rPr>
      <t>罐发量</t>
    </r>
    <r>
      <rPr>
        <sz val="9"/>
        <color theme="1"/>
        <rFont val="Arial"/>
        <charset val="134"/>
      </rPr>
      <t>--</t>
    </r>
    <r>
      <rPr>
        <sz val="9"/>
        <color theme="1"/>
        <rFont val="宋体"/>
        <charset val="134"/>
      </rPr>
      <t>净</t>
    </r>
    <r>
      <rPr>
        <sz val="9"/>
        <color theme="1"/>
        <rFont val="微软雅黑"/>
        <charset val="134"/>
      </rPr>
      <t>表观体积</t>
    </r>
  </si>
  <si>
    <r>
      <rPr>
        <sz val="9"/>
        <color theme="1"/>
        <rFont val="Arial"/>
        <charset val="134"/>
      </rPr>
      <t>WCF LT(in air)/bbls@60</t>
    </r>
    <r>
      <rPr>
        <sz val="9"/>
        <color indexed="8"/>
        <rFont val="Segoe UI Symbol"/>
        <charset val="134"/>
      </rPr>
      <t>℉</t>
    </r>
    <r>
      <rPr>
        <sz val="9"/>
        <color indexed="8"/>
        <rFont val="Arial"/>
        <charset val="134"/>
      </rPr>
      <t xml:space="preserve"> </t>
    </r>
    <r>
      <rPr>
        <sz val="9"/>
        <color rgb="FF000000"/>
        <rFont val="Arial"/>
        <charset val="134"/>
      </rPr>
      <t xml:space="preserve">[T-29] </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</si>
  <si>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空气中</t>
    </r>
    <r>
      <rPr>
        <sz val="9"/>
        <color indexed="8"/>
        <rFont val="Arial"/>
        <charset val="134"/>
      </rPr>
      <t>)/</t>
    </r>
    <r>
      <rPr>
        <sz val="9"/>
        <color indexed="8"/>
        <rFont val="宋体"/>
        <charset val="134"/>
      </rPr>
      <t>美桶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 xml:space="preserve">) </t>
    </r>
    <r>
      <rPr>
        <sz val="9"/>
        <color rgb="FF000000"/>
        <rFont val="Arial"/>
        <charset val="134"/>
      </rPr>
      <t xml:space="preserve">[T-29] </t>
    </r>
  </si>
  <si>
    <t>Gross Observed Volume Received</t>
  </si>
  <si>
    <r>
      <rPr>
        <sz val="9"/>
        <color theme="1"/>
        <rFont val="微软雅黑"/>
        <charset val="134"/>
      </rPr>
      <t>罐收量</t>
    </r>
    <r>
      <rPr>
        <sz val="9"/>
        <color theme="1"/>
        <rFont val="Arial"/>
        <charset val="134"/>
      </rPr>
      <t>--</t>
    </r>
    <r>
      <rPr>
        <sz val="9"/>
        <color theme="1"/>
        <rFont val="宋体"/>
        <charset val="134"/>
      </rPr>
      <t>净</t>
    </r>
    <r>
      <rPr>
        <sz val="9"/>
        <color theme="1"/>
        <rFont val="微软雅黑"/>
        <charset val="134"/>
      </rPr>
      <t>表观体积</t>
    </r>
  </si>
  <si>
    <r>
      <rPr>
        <sz val="9"/>
        <color theme="1"/>
        <rFont val="Arial"/>
        <charset val="134"/>
      </rPr>
      <t>WCF LT(in air)/bbls@60</t>
    </r>
    <r>
      <rPr>
        <sz val="9"/>
        <color indexed="8"/>
        <rFont val="Segoe UI Symbol"/>
        <charset val="134"/>
      </rPr>
      <t>℉</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</si>
  <si>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空气中</t>
    </r>
    <r>
      <rPr>
        <sz val="9"/>
        <color indexed="8"/>
        <rFont val="Arial"/>
        <charset val="134"/>
      </rPr>
      <t>)/</t>
    </r>
    <r>
      <rPr>
        <sz val="9"/>
        <color indexed="8"/>
        <rFont val="宋体"/>
        <charset val="134"/>
      </rPr>
      <t>美桶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t>
    </r>
  </si>
  <si>
    <r>
      <rPr>
        <sz val="9"/>
        <color theme="1"/>
        <rFont val="Arial"/>
        <charset val="134"/>
      </rPr>
      <t>WCF LT(in air)/bbls@60</t>
    </r>
    <r>
      <rPr>
        <sz val="9"/>
        <color indexed="8"/>
        <rFont val="Segoe UI Symbol"/>
        <charset val="134"/>
      </rPr>
      <t>℉</t>
    </r>
    <r>
      <rPr>
        <sz val="9"/>
        <color indexed="8"/>
        <rFont val="Arial"/>
        <charset val="134"/>
      </rPr>
      <t xml:space="preserve"> [T-11] </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</si>
  <si>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空气中</t>
    </r>
    <r>
      <rPr>
        <sz val="9"/>
        <color indexed="8"/>
        <rFont val="Arial"/>
        <charset val="134"/>
      </rPr>
      <t>)/</t>
    </r>
    <r>
      <rPr>
        <sz val="9"/>
        <color indexed="8"/>
        <rFont val="宋体"/>
        <charset val="134"/>
      </rPr>
      <t>美桶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 xml:space="preserve">) </t>
    </r>
    <r>
      <rPr>
        <sz val="9"/>
        <color rgb="FF000000"/>
        <rFont val="Arial"/>
        <charset val="134"/>
      </rPr>
      <t>[T-11]</t>
    </r>
  </si>
  <si>
    <t>Pipeline volume</t>
  </si>
  <si>
    <t>管线体积</t>
  </si>
  <si>
    <t>Correction for Temp. of Tank Shell</t>
  </si>
  <si>
    <t>罐壁温度修正</t>
  </si>
  <si>
    <r>
      <rPr>
        <sz val="9"/>
        <color theme="1"/>
        <rFont val="Arial"/>
        <charset val="134"/>
      </rPr>
      <t>WCF LT(in vacuo)/m³@15</t>
    </r>
    <r>
      <rPr>
        <sz val="9"/>
        <color indexed="8"/>
        <rFont val="Segoe UI Symbol"/>
        <charset val="134"/>
      </rPr>
      <t>℃</t>
    </r>
    <r>
      <rPr>
        <sz val="9"/>
        <color indexed="8"/>
        <rFont val="Arial"/>
        <charset val="134"/>
      </rPr>
      <t xml:space="preserve"> </t>
    </r>
    <r>
      <rPr>
        <sz val="9"/>
        <color rgb="FF000000"/>
        <rFont val="Arial"/>
        <charset val="134"/>
      </rPr>
      <t>[T-57]</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</si>
  <si>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真空中</t>
    </r>
    <r>
      <rPr>
        <sz val="9"/>
        <color indexed="8"/>
        <rFont val="Arial"/>
        <charset val="134"/>
      </rPr>
      <t>)/</t>
    </r>
    <r>
      <rPr>
        <sz val="9"/>
        <color indexed="8"/>
        <rFont val="微软雅黑"/>
        <charset val="134"/>
      </rPr>
      <t>立方米</t>
    </r>
    <r>
      <rPr>
        <sz val="9"/>
        <color indexed="8"/>
        <rFont val="Arial"/>
        <charset val="134"/>
      </rPr>
      <t>(</t>
    </r>
    <r>
      <rPr>
        <sz val="9"/>
        <color rgb="FF000000"/>
        <rFont val="Arial"/>
        <charset val="134"/>
      </rPr>
      <t>15</t>
    </r>
    <r>
      <rPr>
        <sz val="9"/>
        <color rgb="FF000000"/>
        <rFont val="Segoe UI Symbol"/>
        <charset val="134"/>
      </rPr>
      <t>℃</t>
    </r>
    <r>
      <rPr>
        <sz val="9"/>
        <color indexed="8"/>
        <rFont val="Arial"/>
        <charset val="134"/>
      </rPr>
      <t xml:space="preserve">) </t>
    </r>
    <r>
      <rPr>
        <sz val="9"/>
        <color rgb="FF000000"/>
        <rFont val="Arial"/>
        <charset val="134"/>
      </rPr>
      <t>[T-57]</t>
    </r>
  </si>
  <si>
    <t>Floating Roof Correction</t>
  </si>
  <si>
    <t>浮顶修正</t>
  </si>
  <si>
    <r>
      <rPr>
        <sz val="9"/>
        <color theme="1"/>
        <rFont val="Arial"/>
        <charset val="134"/>
      </rPr>
      <t>WCF LT(in vacuo)/m³@15</t>
    </r>
    <r>
      <rPr>
        <sz val="9"/>
        <color indexed="8"/>
        <rFont val="Segoe UI Symbol"/>
        <charset val="134"/>
      </rPr>
      <t>℃</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</si>
  <si>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真空中</t>
    </r>
    <r>
      <rPr>
        <sz val="9"/>
        <color indexed="8"/>
        <rFont val="Arial"/>
        <charset val="134"/>
      </rPr>
      <t>)/</t>
    </r>
    <r>
      <rPr>
        <sz val="9"/>
        <color indexed="8"/>
        <rFont val="微软雅黑"/>
        <charset val="134"/>
      </rPr>
      <t>立方米</t>
    </r>
    <r>
      <rPr>
        <sz val="9"/>
        <color indexed="8"/>
        <rFont val="Arial"/>
        <charset val="134"/>
      </rPr>
      <t>(</t>
    </r>
    <r>
      <rPr>
        <sz val="9"/>
        <color rgb="FF000000"/>
        <rFont val="Arial"/>
        <charset val="134"/>
      </rPr>
      <t>15</t>
    </r>
    <r>
      <rPr>
        <sz val="9"/>
        <color rgb="FF000000"/>
        <rFont val="Segoe UI Symbol"/>
        <charset val="134"/>
      </rPr>
      <t>℃</t>
    </r>
    <r>
      <rPr>
        <sz val="9"/>
        <color indexed="8"/>
        <rFont val="Arial"/>
        <charset val="134"/>
      </rPr>
      <t>)</t>
    </r>
  </si>
  <si>
    <t>总观测体积</t>
  </si>
  <si>
    <t>Free Water Volume</t>
  </si>
  <si>
    <t>游离水体积</t>
  </si>
  <si>
    <t>Liquid Temperature (Average)</t>
  </si>
  <si>
    <t>货物温度（平均温度）</t>
  </si>
  <si>
    <r>
      <rPr>
        <sz val="9"/>
        <color theme="1"/>
        <rFont val="Arial"/>
        <charset val="134"/>
      </rPr>
      <t>WCF LT(in vacuo)/bbls@60</t>
    </r>
    <r>
      <rPr>
        <sz val="9"/>
        <color indexed="8"/>
        <rFont val="Segoe UI Symbol"/>
        <charset val="134"/>
      </rPr>
      <t>℉</t>
    </r>
    <r>
      <rPr>
        <sz val="9"/>
        <color indexed="8"/>
        <rFont val="Arial"/>
        <charset val="134"/>
      </rPr>
      <t xml:space="preserve"> </t>
    </r>
    <r>
      <rPr>
        <sz val="9"/>
        <color rgb="FF000000"/>
        <rFont val="Arial"/>
        <charset val="134"/>
      </rPr>
      <t>[T-29]</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</si>
  <si>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真空中</t>
    </r>
    <r>
      <rPr>
        <sz val="9"/>
        <color indexed="8"/>
        <rFont val="Arial"/>
        <charset val="134"/>
      </rPr>
      <t>)/</t>
    </r>
    <r>
      <rPr>
        <sz val="9"/>
        <color indexed="8"/>
        <rFont val="宋体"/>
        <charset val="134"/>
      </rPr>
      <t>美桶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 xml:space="preserve">) </t>
    </r>
    <r>
      <rPr>
        <sz val="9"/>
        <color rgb="FF000000"/>
        <rFont val="Arial"/>
        <charset val="134"/>
      </rPr>
      <t xml:space="preserve">[T-29] </t>
    </r>
  </si>
  <si>
    <t>Ambient Air Temperature (Average)</t>
  </si>
  <si>
    <t>环境温度（平均温度）</t>
  </si>
  <si>
    <r>
      <rPr>
        <sz val="9"/>
        <color theme="1"/>
        <rFont val="Arial"/>
        <charset val="134"/>
      </rPr>
      <t>WCF LT(in vacuo)/bbls@60</t>
    </r>
    <r>
      <rPr>
        <sz val="9"/>
        <color indexed="8"/>
        <rFont val="Segoe UI Symbol"/>
        <charset val="134"/>
      </rPr>
      <t>℉</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</si>
  <si>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真空中</t>
    </r>
    <r>
      <rPr>
        <sz val="9"/>
        <color indexed="8"/>
        <rFont val="Arial"/>
        <charset val="134"/>
      </rPr>
      <t>)/</t>
    </r>
    <r>
      <rPr>
        <sz val="9"/>
        <color indexed="8"/>
        <rFont val="宋体"/>
        <charset val="134"/>
      </rPr>
      <t>美桶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t>
    </r>
  </si>
  <si>
    <t>罐号</t>
  </si>
  <si>
    <r>
      <rPr>
        <sz val="9"/>
        <color theme="1"/>
        <rFont val="Arial"/>
        <charset val="134"/>
      </rPr>
      <t>WCF LT(in vacuo)/bbls@60</t>
    </r>
    <r>
      <rPr>
        <sz val="9"/>
        <color indexed="8"/>
        <rFont val="Segoe UI Symbol"/>
        <charset val="134"/>
      </rPr>
      <t>℉</t>
    </r>
    <r>
      <rPr>
        <sz val="9"/>
        <color indexed="8"/>
        <rFont val="Arial"/>
        <charset val="134"/>
      </rPr>
      <t xml:space="preserve"> </t>
    </r>
    <r>
      <rPr>
        <sz val="9"/>
        <color rgb="FF000000"/>
        <rFont val="Arial"/>
        <charset val="134"/>
      </rPr>
      <t>[T-11]</t>
    </r>
  </si>
  <si>
    <r>
      <rPr>
        <sz val="9"/>
        <color indexed="8"/>
        <rFont val="宋体"/>
        <charset val="134"/>
      </rPr>
      <t>重量转换系数</t>
    </r>
    <r>
      <rPr>
        <sz val="9"/>
        <color indexed="8"/>
        <rFont val="Arial"/>
        <charset val="134"/>
      </rPr>
      <t xml:space="preserve"> </t>
    </r>
    <r>
      <rPr>
        <sz val="9"/>
        <color indexed="8"/>
        <rFont val="宋体"/>
        <charset val="134"/>
      </rPr>
      <t>长吨</t>
    </r>
    <r>
      <rPr>
        <sz val="9"/>
        <color indexed="8"/>
        <rFont val="Arial"/>
        <charset val="134"/>
      </rPr>
      <t>(</t>
    </r>
    <r>
      <rPr>
        <sz val="9"/>
        <color indexed="8"/>
        <rFont val="宋体"/>
        <charset val="134"/>
      </rPr>
      <t>真空中</t>
    </r>
    <r>
      <rPr>
        <sz val="9"/>
        <color indexed="8"/>
        <rFont val="Arial"/>
        <charset val="134"/>
      </rPr>
      <t>)/</t>
    </r>
    <r>
      <rPr>
        <sz val="9"/>
        <color indexed="8"/>
        <rFont val="宋体"/>
        <charset val="134"/>
      </rPr>
      <t>美桶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 xml:space="preserve">) </t>
    </r>
    <r>
      <rPr>
        <sz val="9"/>
        <color rgb="FF000000"/>
        <rFont val="Arial"/>
        <charset val="134"/>
      </rPr>
      <t xml:space="preserve">[T-11] </t>
    </r>
  </si>
  <si>
    <t>Open</t>
  </si>
  <si>
    <t>前尺</t>
  </si>
  <si>
    <t>Close</t>
  </si>
  <si>
    <t>后尺</t>
  </si>
  <si>
    <r>
      <rPr>
        <sz val="9"/>
        <color theme="1"/>
        <rFont val="Arial"/>
        <charset val="134"/>
      </rPr>
      <t>bbls@60</t>
    </r>
    <r>
      <rPr>
        <sz val="9"/>
        <color indexed="8"/>
        <rFont val="Segoe UI Symbol"/>
        <charset val="134"/>
      </rPr>
      <t>℉</t>
    </r>
    <r>
      <rPr>
        <sz val="9"/>
        <color rgb="FF000000"/>
        <rFont val="Arial"/>
        <charset val="134"/>
      </rPr>
      <t>/</t>
    </r>
    <r>
      <rPr>
        <sz val="9"/>
        <color indexed="8"/>
        <rFont val="Arial"/>
        <charset val="134"/>
      </rPr>
      <t>m³@15</t>
    </r>
    <r>
      <rPr>
        <sz val="9"/>
        <color indexed="8"/>
        <rFont val="Segoe UI Symbol"/>
        <charset val="134"/>
      </rPr>
      <t>℃</t>
    </r>
    <r>
      <rPr>
        <sz val="9"/>
        <color indexed="8"/>
        <rFont val="Arial"/>
        <charset val="134"/>
      </rPr>
      <t xml:space="preserve"> </t>
    </r>
    <r>
      <rPr>
        <sz val="9"/>
        <color rgb="FF000000"/>
        <rFont val="Arial"/>
        <charset val="134"/>
      </rPr>
      <t>[T-52]</t>
    </r>
  </si>
  <si>
    <r>
      <rPr>
        <sz val="9"/>
        <color indexed="8"/>
        <rFont val="宋体"/>
        <charset val="134"/>
      </rPr>
      <t>美制桶</t>
    </r>
    <r>
      <rPr>
        <sz val="9"/>
        <color indexed="8"/>
        <rFont val="Arial"/>
        <charset val="134"/>
      </rPr>
      <t>(60</t>
    </r>
    <r>
      <rPr>
        <sz val="9"/>
        <color indexed="8"/>
        <rFont val="Segoe UI Symbol"/>
        <charset val="134"/>
      </rPr>
      <t>℉</t>
    </r>
    <r>
      <rPr>
        <sz val="9"/>
        <color indexed="8"/>
        <rFont val="Arial"/>
        <charset val="134"/>
      </rPr>
      <t>) /</t>
    </r>
    <r>
      <rPr>
        <sz val="9"/>
        <color indexed="8"/>
        <rFont val="宋体"/>
        <charset val="134"/>
      </rPr>
      <t>立方米</t>
    </r>
    <r>
      <rPr>
        <sz val="9"/>
        <color indexed="8"/>
        <rFont val="Arial"/>
        <charset val="134"/>
      </rPr>
      <t>(15</t>
    </r>
    <r>
      <rPr>
        <sz val="9"/>
        <color indexed="8"/>
        <rFont val="Segoe UI Symbol"/>
        <charset val="134"/>
      </rPr>
      <t>℃</t>
    </r>
    <r>
      <rPr>
        <sz val="9"/>
        <color indexed="8"/>
        <rFont val="Arial"/>
        <charset val="134"/>
      </rPr>
      <t>) [T-52]</t>
    </r>
  </si>
  <si>
    <r>
      <rPr>
        <sz val="9"/>
        <color theme="1"/>
        <rFont val="Arial"/>
        <charset val="134"/>
      </rPr>
      <t>bbls@60</t>
    </r>
    <r>
      <rPr>
        <sz val="9"/>
        <color indexed="8"/>
        <rFont val="Segoe UI Symbol"/>
        <charset val="134"/>
      </rPr>
      <t>℉</t>
    </r>
    <r>
      <rPr>
        <sz val="9"/>
        <color rgb="FF000000"/>
        <rFont val="Arial"/>
        <charset val="134"/>
      </rPr>
      <t>/</t>
    </r>
    <r>
      <rPr>
        <sz val="9"/>
        <color indexed="8"/>
        <rFont val="Arial"/>
        <charset val="134"/>
      </rPr>
      <t>m³@15</t>
    </r>
    <r>
      <rPr>
        <sz val="9"/>
        <color indexed="8"/>
        <rFont val="Segoe UI Symbol"/>
        <charset val="134"/>
      </rPr>
      <t>℃</t>
    </r>
  </si>
  <si>
    <r>
      <rPr>
        <sz val="9"/>
        <color indexed="8"/>
        <rFont val="宋体"/>
        <charset val="134"/>
      </rPr>
      <t>美制桶</t>
    </r>
    <r>
      <rPr>
        <sz val="9"/>
        <color indexed="8"/>
        <rFont val="Arial"/>
        <charset val="134"/>
      </rPr>
      <t>(60</t>
    </r>
    <r>
      <rPr>
        <sz val="9"/>
        <color indexed="8"/>
        <rFont val="Segoe UI Symbol"/>
        <charset val="134"/>
      </rPr>
      <t>℉</t>
    </r>
    <r>
      <rPr>
        <sz val="9"/>
        <color indexed="8"/>
        <rFont val="Arial"/>
        <charset val="134"/>
      </rPr>
      <t>) /</t>
    </r>
    <r>
      <rPr>
        <sz val="9"/>
        <color indexed="8"/>
        <rFont val="宋体"/>
        <charset val="134"/>
      </rPr>
      <t>立方米</t>
    </r>
    <r>
      <rPr>
        <sz val="9"/>
        <color indexed="8"/>
        <rFont val="Arial"/>
        <charset val="134"/>
      </rPr>
      <t>(15</t>
    </r>
    <r>
      <rPr>
        <sz val="9"/>
        <color indexed="8"/>
        <rFont val="Segoe UI Symbol"/>
        <charset val="134"/>
      </rPr>
      <t>℃</t>
    </r>
    <r>
      <rPr>
        <sz val="9"/>
        <color indexed="8"/>
        <rFont val="Arial"/>
        <charset val="134"/>
      </rPr>
      <t>)</t>
    </r>
  </si>
  <si>
    <r>
      <rPr>
        <sz val="9"/>
        <color theme="1"/>
        <rFont val="Arial"/>
        <charset val="134"/>
      </rPr>
      <t>bbls@60</t>
    </r>
    <r>
      <rPr>
        <sz val="9"/>
        <color indexed="8"/>
        <rFont val="Segoe UI Symbol"/>
        <charset val="134"/>
      </rPr>
      <t>℉</t>
    </r>
    <r>
      <rPr>
        <sz val="9"/>
        <color indexed="8"/>
        <rFont val="Arial"/>
        <charset val="134"/>
      </rPr>
      <t>/MT(in air)</t>
    </r>
  </si>
  <si>
    <r>
      <rPr>
        <sz val="9"/>
        <color indexed="8"/>
        <rFont val="宋体"/>
        <charset val="134"/>
      </rPr>
      <t>美制桶</t>
    </r>
    <r>
      <rPr>
        <sz val="9"/>
        <color indexed="8"/>
        <rFont val="Arial"/>
        <charset val="134"/>
      </rPr>
      <t>(</t>
    </r>
    <r>
      <rPr>
        <sz val="9"/>
        <color rgb="FF000000"/>
        <rFont val="Arial"/>
        <charset val="134"/>
      </rPr>
      <t>60</t>
    </r>
    <r>
      <rPr>
        <sz val="9"/>
        <color rgb="FF000000"/>
        <rFont val="Segoe UI Symbol"/>
        <charset val="134"/>
      </rPr>
      <t>℉</t>
    </r>
    <r>
      <rPr>
        <sz val="9"/>
        <color indexed="8"/>
        <rFont val="Arial"/>
        <charset val="134"/>
      </rPr>
      <t>)/</t>
    </r>
    <r>
      <rPr>
        <sz val="9"/>
        <color indexed="8"/>
        <rFont val="宋体"/>
        <charset val="134"/>
      </rPr>
      <t>公吨</t>
    </r>
    <r>
      <rPr>
        <sz val="9"/>
        <color indexed="8"/>
        <rFont val="Arial"/>
        <charset val="134"/>
      </rPr>
      <t>(</t>
    </r>
    <r>
      <rPr>
        <sz val="9"/>
        <color indexed="8"/>
        <rFont val="宋体"/>
        <charset val="134"/>
      </rPr>
      <t>空气中</t>
    </r>
    <r>
      <rPr>
        <sz val="9"/>
        <color indexed="8"/>
        <rFont val="Arial"/>
        <charset val="134"/>
      </rPr>
      <t>)</t>
    </r>
  </si>
  <si>
    <t>Reference Height</t>
  </si>
  <si>
    <t>参考高度</t>
  </si>
  <si>
    <r>
      <rPr>
        <sz val="9"/>
        <color theme="1"/>
        <rFont val="宋体"/>
        <charset val="134"/>
      </rPr>
      <t>标准体积</t>
    </r>
  </si>
  <si>
    <t>Observed Reference Height</t>
  </si>
  <si>
    <t>实测参考高度</t>
  </si>
  <si>
    <r>
      <rPr>
        <sz val="9"/>
        <color theme="1"/>
        <rFont val="Arial"/>
        <charset val="134"/>
      </rPr>
      <t>m³@15</t>
    </r>
    <r>
      <rPr>
        <sz val="9"/>
        <color theme="1"/>
        <rFont val="宋体"/>
        <charset val="134"/>
      </rPr>
      <t>℃</t>
    </r>
    <r>
      <rPr>
        <sz val="9"/>
        <color theme="1"/>
        <rFont val="Arial"/>
        <charset val="134"/>
      </rPr>
      <t>/m³@20</t>
    </r>
    <r>
      <rPr>
        <sz val="9"/>
        <color theme="1"/>
        <rFont val="宋体"/>
        <charset val="134"/>
      </rPr>
      <t>℃</t>
    </r>
    <r>
      <rPr>
        <sz val="9"/>
        <color theme="1"/>
        <rFont val="Arial"/>
        <charset val="134"/>
      </rPr>
      <t xml:space="preserve"> [1/VCF(15</t>
    </r>
    <r>
      <rPr>
        <sz val="9"/>
        <color theme="1"/>
        <rFont val="宋体"/>
        <charset val="134"/>
      </rPr>
      <t>℃</t>
    </r>
    <r>
      <rPr>
        <sz val="9"/>
        <color theme="1"/>
        <rFont val="Arial"/>
        <charset val="134"/>
      </rPr>
      <t>)]</t>
    </r>
  </si>
  <si>
    <r>
      <rPr>
        <sz val="9"/>
        <color theme="1"/>
        <rFont val="宋体"/>
        <charset val="134"/>
      </rPr>
      <t>立方米</t>
    </r>
    <r>
      <rPr>
        <sz val="9"/>
        <color theme="1"/>
        <rFont val="Arial"/>
        <charset val="134"/>
      </rPr>
      <t>(15</t>
    </r>
    <r>
      <rPr>
        <sz val="9"/>
        <color theme="1"/>
        <rFont val="Segoe UI Symbol"/>
        <charset val="134"/>
      </rPr>
      <t>℃</t>
    </r>
    <r>
      <rPr>
        <sz val="9"/>
        <color theme="1"/>
        <rFont val="Arial"/>
        <charset val="134"/>
      </rPr>
      <t>)/</t>
    </r>
    <r>
      <rPr>
        <sz val="9"/>
        <color theme="1"/>
        <rFont val="宋体"/>
        <charset val="134"/>
      </rPr>
      <t>立方米</t>
    </r>
    <r>
      <rPr>
        <sz val="9"/>
        <color theme="1"/>
        <rFont val="Arial"/>
        <charset val="134"/>
      </rPr>
      <t>(20</t>
    </r>
    <r>
      <rPr>
        <sz val="9"/>
        <color theme="1"/>
        <rFont val="Segoe UI Symbol"/>
        <charset val="134"/>
      </rPr>
      <t>℃</t>
    </r>
    <r>
      <rPr>
        <sz val="9"/>
        <color theme="1"/>
        <rFont val="Arial"/>
        <charset val="134"/>
      </rPr>
      <t>) [1/VCF(15</t>
    </r>
    <r>
      <rPr>
        <sz val="9"/>
        <color theme="1"/>
        <rFont val="Segoe UI Symbol"/>
        <charset val="134"/>
      </rPr>
      <t>℃</t>
    </r>
    <r>
      <rPr>
        <sz val="9"/>
        <color theme="1"/>
        <rFont val="Arial"/>
        <charset val="134"/>
      </rPr>
      <t>)]</t>
    </r>
  </si>
  <si>
    <t>Floating Roof weight (in air)</t>
  </si>
  <si>
    <t>浮顶重量（空气中）</t>
  </si>
  <si>
    <r>
      <rPr>
        <sz val="9"/>
        <color theme="1"/>
        <rFont val="Arial"/>
        <charset val="134"/>
      </rPr>
      <t>m³@15</t>
    </r>
    <r>
      <rPr>
        <sz val="9"/>
        <color indexed="8"/>
        <rFont val="Segoe UI Symbol"/>
        <charset val="134"/>
      </rPr>
      <t>℃</t>
    </r>
    <r>
      <rPr>
        <sz val="9"/>
        <color indexed="8"/>
        <rFont val="Arial"/>
        <charset val="134"/>
      </rPr>
      <t>/bbls@60</t>
    </r>
    <r>
      <rPr>
        <sz val="9"/>
        <color indexed="8"/>
        <rFont val="Segoe UI Symbol"/>
        <charset val="134"/>
      </rPr>
      <t>℉</t>
    </r>
    <r>
      <rPr>
        <sz val="9"/>
        <color indexed="8"/>
        <rFont val="Arial"/>
        <charset val="134"/>
      </rPr>
      <t xml:space="preserve"> </t>
    </r>
    <r>
      <rPr>
        <sz val="9"/>
        <color rgb="FF000000"/>
        <rFont val="Arial"/>
        <charset val="134"/>
      </rPr>
      <t>[T-22]</t>
    </r>
  </si>
  <si>
    <r>
      <rPr>
        <sz val="9"/>
        <color indexed="8"/>
        <rFont val="宋体"/>
        <charset val="134"/>
      </rPr>
      <t>立方米</t>
    </r>
    <r>
      <rPr>
        <sz val="9"/>
        <color indexed="8"/>
        <rFont val="Arial"/>
        <charset val="134"/>
      </rPr>
      <t>(15</t>
    </r>
    <r>
      <rPr>
        <sz val="9"/>
        <color indexed="8"/>
        <rFont val="Segoe UI Symbol"/>
        <charset val="134"/>
      </rPr>
      <t>℃</t>
    </r>
    <r>
      <rPr>
        <sz val="9"/>
        <color indexed="8"/>
        <rFont val="Arial"/>
        <charset val="134"/>
      </rPr>
      <t>)/</t>
    </r>
    <r>
      <rPr>
        <sz val="9"/>
        <color indexed="8"/>
        <rFont val="宋体"/>
        <charset val="134"/>
      </rPr>
      <t>美制桶</t>
    </r>
    <r>
      <rPr>
        <sz val="9"/>
        <color indexed="8"/>
        <rFont val="Arial"/>
        <charset val="134"/>
      </rPr>
      <t>(60</t>
    </r>
    <r>
      <rPr>
        <sz val="9"/>
        <color indexed="8"/>
        <rFont val="Segoe UI Symbol"/>
        <charset val="134"/>
      </rPr>
      <t>℉</t>
    </r>
    <r>
      <rPr>
        <sz val="9"/>
        <color indexed="8"/>
        <rFont val="Arial"/>
        <charset val="134"/>
      </rPr>
      <t>) [T-22]</t>
    </r>
  </si>
  <si>
    <r>
      <rPr>
        <sz val="9"/>
        <color theme="1"/>
        <rFont val="Arial"/>
        <charset val="134"/>
      </rPr>
      <t>m³@15</t>
    </r>
    <r>
      <rPr>
        <sz val="9"/>
        <color indexed="8"/>
        <rFont val="Segoe UI Symbol"/>
        <charset val="134"/>
      </rPr>
      <t>℃</t>
    </r>
    <r>
      <rPr>
        <sz val="9"/>
        <color indexed="8"/>
        <rFont val="Arial"/>
        <charset val="134"/>
      </rPr>
      <t>/bbls@60</t>
    </r>
    <r>
      <rPr>
        <sz val="9"/>
        <color indexed="8"/>
        <rFont val="Segoe UI Symbol"/>
        <charset val="134"/>
      </rPr>
      <t>℉</t>
    </r>
  </si>
  <si>
    <r>
      <rPr>
        <sz val="9"/>
        <color indexed="8"/>
        <rFont val="宋体"/>
        <charset val="134"/>
      </rPr>
      <t>立方米</t>
    </r>
    <r>
      <rPr>
        <sz val="9"/>
        <color indexed="8"/>
        <rFont val="Arial"/>
        <charset val="134"/>
      </rPr>
      <t>(15</t>
    </r>
    <r>
      <rPr>
        <sz val="9"/>
        <color indexed="8"/>
        <rFont val="Segoe UI Symbol"/>
        <charset val="134"/>
      </rPr>
      <t>℃</t>
    </r>
    <r>
      <rPr>
        <sz val="9"/>
        <color indexed="8"/>
        <rFont val="Arial"/>
        <charset val="134"/>
      </rPr>
      <t>)/</t>
    </r>
    <r>
      <rPr>
        <sz val="9"/>
        <color indexed="8"/>
        <rFont val="宋体"/>
        <charset val="134"/>
      </rPr>
      <t>美制桶</t>
    </r>
    <r>
      <rPr>
        <sz val="9"/>
        <color indexed="8"/>
        <rFont val="Arial"/>
        <charset val="134"/>
      </rPr>
      <t>(60</t>
    </r>
    <r>
      <rPr>
        <sz val="9"/>
        <color indexed="8"/>
        <rFont val="Segoe UI Symbol"/>
        <charset val="134"/>
      </rPr>
      <t>℉</t>
    </r>
    <r>
      <rPr>
        <sz val="9"/>
        <color indexed="8"/>
        <rFont val="Arial"/>
        <charset val="134"/>
      </rPr>
      <t xml:space="preserve">) </t>
    </r>
  </si>
  <si>
    <r>
      <rPr>
        <sz val="9"/>
        <color theme="1"/>
        <rFont val="Arial"/>
        <charset val="134"/>
      </rPr>
      <t>m³@15</t>
    </r>
    <r>
      <rPr>
        <sz val="9"/>
        <color indexed="8"/>
        <rFont val="Segoe UI Symbol"/>
        <charset val="134"/>
      </rPr>
      <t>℃</t>
    </r>
    <r>
      <rPr>
        <sz val="9"/>
        <color indexed="8"/>
        <rFont val="Arial"/>
        <charset val="134"/>
      </rPr>
      <t>/bbls@60</t>
    </r>
    <r>
      <rPr>
        <sz val="9"/>
        <color indexed="8"/>
        <rFont val="Segoe UI Symbol"/>
        <charset val="134"/>
      </rPr>
      <t>℉</t>
    </r>
    <r>
      <rPr>
        <sz val="9"/>
        <color indexed="8"/>
        <rFont val="Arial"/>
        <charset val="134"/>
      </rPr>
      <t xml:space="preserve"> </t>
    </r>
    <r>
      <rPr>
        <sz val="9"/>
        <color rgb="FF000000"/>
        <rFont val="Arial"/>
        <charset val="134"/>
      </rPr>
      <t xml:space="preserve">[T-4] </t>
    </r>
  </si>
  <si>
    <r>
      <rPr>
        <sz val="9"/>
        <color indexed="8"/>
        <rFont val="宋体"/>
        <charset val="134"/>
      </rPr>
      <t>立方米</t>
    </r>
    <r>
      <rPr>
        <sz val="9"/>
        <color indexed="8"/>
        <rFont val="Arial"/>
        <charset val="134"/>
      </rPr>
      <t>(15</t>
    </r>
    <r>
      <rPr>
        <sz val="9"/>
        <color indexed="8"/>
        <rFont val="Segoe UI Symbol"/>
        <charset val="134"/>
      </rPr>
      <t>℃</t>
    </r>
    <r>
      <rPr>
        <sz val="9"/>
        <color indexed="8"/>
        <rFont val="Arial"/>
        <charset val="134"/>
      </rPr>
      <t>)/</t>
    </r>
    <r>
      <rPr>
        <sz val="9"/>
        <color indexed="8"/>
        <rFont val="宋体"/>
        <charset val="134"/>
      </rPr>
      <t>美制桶</t>
    </r>
    <r>
      <rPr>
        <sz val="9"/>
        <color indexed="8"/>
        <rFont val="Arial"/>
        <charset val="134"/>
      </rPr>
      <t>(60</t>
    </r>
    <r>
      <rPr>
        <sz val="9"/>
        <color indexed="8"/>
        <rFont val="Segoe UI Symbol"/>
        <charset val="134"/>
      </rPr>
      <t>℉</t>
    </r>
    <r>
      <rPr>
        <sz val="9"/>
        <color indexed="8"/>
        <rFont val="Arial"/>
        <charset val="134"/>
      </rPr>
      <t>) [T-4]</t>
    </r>
  </si>
  <si>
    <r>
      <rPr>
        <sz val="9"/>
        <color theme="1"/>
        <rFont val="Arial"/>
        <charset val="134"/>
      </rPr>
      <t>Thermal expansion coefficient α60</t>
    </r>
    <r>
      <rPr>
        <sz val="9"/>
        <color theme="1"/>
        <rFont val="Segoe UI Symbol"/>
        <charset val="134"/>
      </rPr>
      <t>℉</t>
    </r>
    <r>
      <rPr>
        <sz val="9"/>
        <color theme="1"/>
        <rFont val="Arial"/>
        <charset val="134"/>
      </rPr>
      <t xml:space="preserve"> </t>
    </r>
  </si>
  <si>
    <r>
      <rPr>
        <sz val="9"/>
        <color theme="1"/>
        <rFont val="宋体"/>
        <charset val="134"/>
      </rPr>
      <t>热</t>
    </r>
    <r>
      <rPr>
        <sz val="9"/>
        <color theme="1"/>
        <rFont val="微软雅黑"/>
        <charset val="134"/>
      </rPr>
      <t xml:space="preserve">膨胀系数 </t>
    </r>
    <r>
      <rPr>
        <sz val="9"/>
        <color theme="1"/>
        <rFont val="Calibri"/>
        <charset val="161"/>
      </rPr>
      <t>α</t>
    </r>
    <r>
      <rPr>
        <sz val="9"/>
        <color theme="1"/>
        <rFont val="Arial"/>
        <charset val="134"/>
      </rPr>
      <t>60</t>
    </r>
    <r>
      <rPr>
        <sz val="9"/>
        <color theme="1"/>
        <rFont val="Segoe UI Symbol"/>
        <charset val="134"/>
      </rPr>
      <t>℉</t>
    </r>
    <r>
      <rPr>
        <sz val="9"/>
        <color theme="1"/>
        <rFont val="Arial"/>
        <charset val="134"/>
      </rPr>
      <t xml:space="preserve"> </t>
    </r>
  </si>
  <si>
    <r>
      <rPr>
        <sz val="9"/>
        <color indexed="8"/>
        <rFont val="宋体"/>
        <charset val="134"/>
      </rPr>
      <t>立方米</t>
    </r>
    <r>
      <rPr>
        <sz val="9"/>
        <color indexed="8"/>
        <rFont val="Arial"/>
        <charset val="134"/>
      </rPr>
      <t>(15</t>
    </r>
    <r>
      <rPr>
        <sz val="9"/>
        <color indexed="8"/>
        <rFont val="Segoe UI Symbol"/>
        <charset val="134"/>
      </rPr>
      <t>℃</t>
    </r>
    <r>
      <rPr>
        <sz val="9"/>
        <color indexed="8"/>
        <rFont val="Arial"/>
        <charset val="134"/>
      </rPr>
      <t>)/</t>
    </r>
    <r>
      <rPr>
        <sz val="9"/>
        <color indexed="8"/>
        <rFont val="宋体"/>
        <charset val="134"/>
      </rPr>
      <t>美制桶</t>
    </r>
    <r>
      <rPr>
        <sz val="9"/>
        <color indexed="8"/>
        <rFont val="Arial"/>
        <charset val="134"/>
      </rPr>
      <t>(60</t>
    </r>
    <r>
      <rPr>
        <sz val="9"/>
        <color indexed="8"/>
        <rFont val="Segoe UI Symbol"/>
        <charset val="134"/>
      </rPr>
      <t>℉</t>
    </r>
    <r>
      <rPr>
        <sz val="9"/>
        <color indexed="8"/>
        <rFont val="Arial"/>
        <charset val="134"/>
      </rPr>
      <t>)</t>
    </r>
  </si>
  <si>
    <r>
      <rPr>
        <sz val="9"/>
        <color theme="1"/>
        <rFont val="Arial"/>
        <charset val="134"/>
      </rPr>
      <t>m³@20</t>
    </r>
    <r>
      <rPr>
        <sz val="9"/>
        <color indexed="8"/>
        <rFont val="Segoe UI Symbol"/>
        <charset val="134"/>
      </rPr>
      <t>℃</t>
    </r>
    <r>
      <rPr>
        <sz val="9"/>
        <color indexed="8"/>
        <rFont val="Arial"/>
        <charset val="134"/>
      </rPr>
      <t>/m³@15</t>
    </r>
    <r>
      <rPr>
        <sz val="9"/>
        <color indexed="8"/>
        <rFont val="Segoe UI Symbol"/>
        <charset val="134"/>
      </rPr>
      <t>℃</t>
    </r>
    <r>
      <rPr>
        <sz val="9"/>
        <color indexed="8"/>
        <rFont val="Arial"/>
        <charset val="134"/>
      </rPr>
      <t xml:space="preserve"> [1/VCF(20</t>
    </r>
    <r>
      <rPr>
        <sz val="9"/>
        <color indexed="8"/>
        <rFont val="Segoe UI Symbol"/>
        <charset val="134"/>
      </rPr>
      <t>℃</t>
    </r>
    <r>
      <rPr>
        <sz val="9"/>
        <color indexed="8"/>
        <rFont val="Arial"/>
        <charset val="134"/>
      </rPr>
      <t>)]</t>
    </r>
  </si>
  <si>
    <r>
      <rPr>
        <sz val="9"/>
        <color indexed="8"/>
        <rFont val="宋体"/>
        <charset val="134"/>
      </rPr>
      <t>立方米</t>
    </r>
    <r>
      <rPr>
        <sz val="9"/>
        <color indexed="8"/>
        <rFont val="Arial"/>
        <charset val="134"/>
      </rPr>
      <t>(20</t>
    </r>
    <r>
      <rPr>
        <sz val="9"/>
        <color indexed="8"/>
        <rFont val="Segoe UI Symbol"/>
        <charset val="134"/>
      </rPr>
      <t>℃</t>
    </r>
    <r>
      <rPr>
        <sz val="9"/>
        <color indexed="8"/>
        <rFont val="Arial"/>
        <charset val="134"/>
      </rPr>
      <t>)/</t>
    </r>
    <r>
      <rPr>
        <sz val="9"/>
        <color indexed="8"/>
        <rFont val="宋体"/>
        <charset val="134"/>
      </rPr>
      <t>立方米</t>
    </r>
    <r>
      <rPr>
        <sz val="9"/>
        <color indexed="8"/>
        <rFont val="Arial"/>
        <charset val="134"/>
      </rPr>
      <t>(15</t>
    </r>
    <r>
      <rPr>
        <sz val="9"/>
        <color indexed="8"/>
        <rFont val="Segoe UI Symbol"/>
        <charset val="134"/>
      </rPr>
      <t>℃</t>
    </r>
    <r>
      <rPr>
        <sz val="9"/>
        <color indexed="8"/>
        <rFont val="Arial"/>
        <charset val="134"/>
      </rPr>
      <t>) [1/VCF(20</t>
    </r>
    <r>
      <rPr>
        <sz val="9"/>
        <color indexed="8"/>
        <rFont val="Segoe UI Symbol"/>
        <charset val="134"/>
      </rPr>
      <t>℃</t>
    </r>
    <r>
      <rPr>
        <sz val="9"/>
        <color indexed="8"/>
        <rFont val="Arial"/>
        <charset val="134"/>
      </rPr>
      <t>]</t>
    </r>
  </si>
  <si>
    <t>%(V/V)</t>
  </si>
  <si>
    <r>
      <rPr>
        <sz val="9"/>
        <color theme="1"/>
        <rFont val="Arial"/>
        <charset val="134"/>
      </rPr>
      <t>m³@20</t>
    </r>
    <r>
      <rPr>
        <sz val="9"/>
        <color theme="1"/>
        <rFont val="Segoe UI Symbol"/>
        <charset val="134"/>
      </rPr>
      <t>℃</t>
    </r>
    <r>
      <rPr>
        <sz val="9"/>
        <color theme="1"/>
        <rFont val="Arial"/>
        <charset val="134"/>
      </rPr>
      <t>/bbls@60</t>
    </r>
    <r>
      <rPr>
        <sz val="9"/>
        <color theme="1"/>
        <rFont val="Segoe UI Symbol"/>
        <charset val="134"/>
      </rPr>
      <t>℉</t>
    </r>
    <r>
      <rPr>
        <sz val="9"/>
        <color theme="1"/>
        <rFont val="Arial"/>
        <charset val="134"/>
      </rPr>
      <t xml:space="preserve"> [T-4] x VCF(59</t>
    </r>
    <r>
      <rPr>
        <sz val="9"/>
        <color indexed="8"/>
        <rFont val="Segoe UI Symbol"/>
        <charset val="134"/>
      </rPr>
      <t>℉</t>
    </r>
    <r>
      <rPr>
        <sz val="9"/>
        <color rgb="FF000000"/>
        <rFont val="Arial"/>
        <charset val="134"/>
      </rPr>
      <t>)/VCF(68</t>
    </r>
    <r>
      <rPr>
        <sz val="9"/>
        <color indexed="8"/>
        <rFont val="Segoe UI Symbol"/>
        <charset val="134"/>
      </rPr>
      <t>℉</t>
    </r>
    <r>
      <rPr>
        <sz val="9"/>
        <color rgb="FF000000"/>
        <rFont val="Arial"/>
        <charset val="134"/>
      </rPr>
      <t>)</t>
    </r>
  </si>
  <si>
    <r>
      <rPr>
        <sz val="9"/>
        <color theme="1"/>
        <rFont val="宋体"/>
        <charset val="134"/>
      </rPr>
      <t>立方米</t>
    </r>
    <r>
      <rPr>
        <sz val="9"/>
        <color theme="1"/>
        <rFont val="Arial"/>
        <charset val="134"/>
      </rPr>
      <t>(20</t>
    </r>
    <r>
      <rPr>
        <sz val="9"/>
        <color theme="1"/>
        <rFont val="Segoe UI Symbol"/>
        <charset val="134"/>
      </rPr>
      <t>℃</t>
    </r>
    <r>
      <rPr>
        <sz val="9"/>
        <color theme="1"/>
        <rFont val="Arial"/>
        <charset val="134"/>
      </rPr>
      <t>)/</t>
    </r>
    <r>
      <rPr>
        <sz val="9"/>
        <color theme="1"/>
        <rFont val="宋体"/>
        <charset val="134"/>
      </rPr>
      <t>美桶</t>
    </r>
    <r>
      <rPr>
        <sz val="9"/>
        <color theme="1"/>
        <rFont val="Arial"/>
        <charset val="134"/>
      </rPr>
      <t>(60</t>
    </r>
    <r>
      <rPr>
        <sz val="9"/>
        <color theme="1"/>
        <rFont val="Segoe UI Symbol"/>
        <charset val="134"/>
      </rPr>
      <t>℉</t>
    </r>
    <r>
      <rPr>
        <sz val="9"/>
        <color theme="1"/>
        <rFont val="Arial"/>
        <charset val="134"/>
      </rPr>
      <t>) [T-4] x VCF(59</t>
    </r>
    <r>
      <rPr>
        <sz val="9"/>
        <color indexed="8"/>
        <rFont val="Segoe UI Symbol"/>
        <charset val="134"/>
      </rPr>
      <t>℉</t>
    </r>
    <r>
      <rPr>
        <sz val="9"/>
        <color rgb="FF000000"/>
        <rFont val="Arial"/>
        <charset val="134"/>
      </rPr>
      <t>)/VCF(68</t>
    </r>
    <r>
      <rPr>
        <sz val="9"/>
        <color indexed="8"/>
        <rFont val="Segoe UI Symbol"/>
        <charset val="134"/>
      </rPr>
      <t>℉</t>
    </r>
    <r>
      <rPr>
        <sz val="9"/>
        <color rgb="FF000000"/>
        <rFont val="Arial"/>
        <charset val="134"/>
      </rPr>
      <t>)</t>
    </r>
  </si>
  <si>
    <t>%(m/m)</t>
  </si>
  <si>
    <r>
      <rPr>
        <sz val="9"/>
        <color theme="1"/>
        <rFont val="Arial"/>
        <charset val="134"/>
      </rPr>
      <t>m³@20</t>
    </r>
    <r>
      <rPr>
        <sz val="9"/>
        <color theme="1"/>
        <rFont val="Segoe UI Symbol"/>
        <charset val="134"/>
      </rPr>
      <t>℃</t>
    </r>
    <r>
      <rPr>
        <sz val="9"/>
        <color theme="1"/>
        <rFont val="Arial"/>
        <charset val="134"/>
      </rPr>
      <t>/bbls@60</t>
    </r>
    <r>
      <rPr>
        <sz val="9"/>
        <color theme="1"/>
        <rFont val="Segoe UI Symbol"/>
        <charset val="134"/>
      </rPr>
      <t>℉</t>
    </r>
  </si>
  <si>
    <r>
      <rPr>
        <sz val="9"/>
        <color theme="1"/>
        <rFont val="宋体"/>
        <charset val="134"/>
      </rPr>
      <t>立方米</t>
    </r>
    <r>
      <rPr>
        <sz val="9"/>
        <color theme="1"/>
        <rFont val="Arial"/>
        <charset val="134"/>
      </rPr>
      <t>(20</t>
    </r>
    <r>
      <rPr>
        <sz val="9"/>
        <color theme="1"/>
        <rFont val="Segoe UI Symbol"/>
        <charset val="134"/>
      </rPr>
      <t>℃</t>
    </r>
    <r>
      <rPr>
        <sz val="9"/>
        <color theme="1"/>
        <rFont val="Arial"/>
        <charset val="134"/>
      </rPr>
      <t>)/</t>
    </r>
    <r>
      <rPr>
        <sz val="9"/>
        <color theme="1"/>
        <rFont val="宋体"/>
        <charset val="134"/>
      </rPr>
      <t>美桶</t>
    </r>
    <r>
      <rPr>
        <sz val="9"/>
        <color theme="1"/>
        <rFont val="Arial"/>
        <charset val="134"/>
      </rPr>
      <t>(60</t>
    </r>
    <r>
      <rPr>
        <sz val="9"/>
        <color theme="1"/>
        <rFont val="Segoe UI Symbol"/>
        <charset val="134"/>
      </rPr>
      <t>℉</t>
    </r>
    <r>
      <rPr>
        <sz val="9"/>
        <color theme="1"/>
        <rFont val="Arial"/>
        <charset val="134"/>
      </rPr>
      <t>)</t>
    </r>
  </si>
  <si>
    <r>
      <rPr>
        <sz val="9"/>
        <color theme="1"/>
        <rFont val="Arial"/>
        <charset val="134"/>
      </rPr>
      <t>m³@20</t>
    </r>
    <r>
      <rPr>
        <sz val="9"/>
        <color theme="1"/>
        <rFont val="Segoe UI Symbol"/>
        <charset val="134"/>
      </rPr>
      <t>℃</t>
    </r>
    <r>
      <rPr>
        <sz val="9"/>
        <color theme="1"/>
        <rFont val="Arial"/>
        <charset val="134"/>
      </rPr>
      <t>/bbls@60</t>
    </r>
    <r>
      <rPr>
        <sz val="9"/>
        <color theme="1"/>
        <rFont val="Segoe UI Symbol"/>
        <charset val="134"/>
      </rPr>
      <t>℉</t>
    </r>
    <r>
      <rPr>
        <sz val="9"/>
        <color theme="1"/>
        <rFont val="Arial"/>
        <charset val="134"/>
      </rPr>
      <t xml:space="preserve"> [T-22] x VCF(59</t>
    </r>
    <r>
      <rPr>
        <sz val="9"/>
        <color indexed="8"/>
        <rFont val="Segoe UI Symbol"/>
        <charset val="134"/>
      </rPr>
      <t>℉</t>
    </r>
    <r>
      <rPr>
        <sz val="9"/>
        <color indexed="8"/>
        <rFont val="Arial"/>
        <charset val="134"/>
      </rPr>
      <t>)/VCF(68</t>
    </r>
    <r>
      <rPr>
        <sz val="9"/>
        <color indexed="8"/>
        <rFont val="Segoe UI Symbol"/>
        <charset val="134"/>
      </rPr>
      <t>℉</t>
    </r>
    <r>
      <rPr>
        <sz val="9"/>
        <color indexed="8"/>
        <rFont val="Arial"/>
        <charset val="134"/>
      </rPr>
      <t>)</t>
    </r>
  </si>
  <si>
    <r>
      <rPr>
        <sz val="9"/>
        <color theme="1"/>
        <rFont val="宋体"/>
        <charset val="134"/>
      </rPr>
      <t>立方米</t>
    </r>
    <r>
      <rPr>
        <sz val="9"/>
        <color theme="1"/>
        <rFont val="Arial"/>
        <charset val="134"/>
      </rPr>
      <t>(20</t>
    </r>
    <r>
      <rPr>
        <sz val="9"/>
        <color theme="1"/>
        <rFont val="Segoe UI Symbol"/>
        <charset val="134"/>
      </rPr>
      <t>℃</t>
    </r>
    <r>
      <rPr>
        <sz val="9"/>
        <color theme="1"/>
        <rFont val="Arial"/>
        <charset val="134"/>
      </rPr>
      <t>)/</t>
    </r>
    <r>
      <rPr>
        <sz val="9"/>
        <color theme="1"/>
        <rFont val="宋体"/>
        <charset val="134"/>
      </rPr>
      <t>美桶</t>
    </r>
    <r>
      <rPr>
        <sz val="9"/>
        <color theme="1"/>
        <rFont val="Arial"/>
        <charset val="134"/>
      </rPr>
      <t>(60</t>
    </r>
    <r>
      <rPr>
        <sz val="9"/>
        <color theme="1"/>
        <rFont val="Segoe UI Symbol"/>
        <charset val="134"/>
      </rPr>
      <t>℉</t>
    </r>
    <r>
      <rPr>
        <sz val="9"/>
        <color theme="1"/>
        <rFont val="Arial"/>
        <charset val="134"/>
      </rPr>
      <t>) [T-22] x VCF(59</t>
    </r>
    <r>
      <rPr>
        <sz val="9"/>
        <color indexed="8"/>
        <rFont val="Segoe UI Symbol"/>
        <charset val="134"/>
      </rPr>
      <t>℉</t>
    </r>
    <r>
      <rPr>
        <sz val="9"/>
        <color indexed="8"/>
        <rFont val="Arial"/>
        <charset val="134"/>
      </rPr>
      <t>)/VCF(68</t>
    </r>
    <r>
      <rPr>
        <sz val="9"/>
        <color indexed="8"/>
        <rFont val="Segoe UI Symbol"/>
        <charset val="134"/>
      </rPr>
      <t>℉</t>
    </r>
    <r>
      <rPr>
        <sz val="9"/>
        <color indexed="8"/>
        <rFont val="Arial"/>
        <charset val="134"/>
      </rPr>
      <t>)</t>
    </r>
  </si>
  <si>
    <t>Construction of Tank Shell</t>
  </si>
  <si>
    <t>罐壁材质</t>
  </si>
  <si>
    <t>Insulated</t>
  </si>
  <si>
    <t>保温</t>
  </si>
  <si>
    <r>
      <rPr>
        <sz val="9"/>
        <color theme="1"/>
        <rFont val="Arial"/>
        <charset val="134"/>
      </rPr>
      <t>m³@30</t>
    </r>
    <r>
      <rPr>
        <sz val="9"/>
        <color indexed="8"/>
        <rFont val="Segoe UI Symbol"/>
        <charset val="134"/>
      </rPr>
      <t>℃</t>
    </r>
    <r>
      <rPr>
        <sz val="9"/>
        <color indexed="8"/>
        <rFont val="Arial"/>
        <charset val="134"/>
      </rPr>
      <t>/m³@15</t>
    </r>
    <r>
      <rPr>
        <sz val="9"/>
        <color indexed="8"/>
        <rFont val="Segoe UI Symbol"/>
        <charset val="134"/>
      </rPr>
      <t>℃</t>
    </r>
    <r>
      <rPr>
        <sz val="9"/>
        <color indexed="8"/>
        <rFont val="Arial"/>
        <charset val="134"/>
      </rPr>
      <t xml:space="preserve"> [1/VCF(30</t>
    </r>
    <r>
      <rPr>
        <sz val="9"/>
        <color indexed="8"/>
        <rFont val="Segoe UI Symbol"/>
        <charset val="134"/>
      </rPr>
      <t>℃</t>
    </r>
    <r>
      <rPr>
        <sz val="9"/>
        <color indexed="8"/>
        <rFont val="Arial"/>
        <charset val="134"/>
      </rPr>
      <t>)]</t>
    </r>
  </si>
  <si>
    <r>
      <rPr>
        <sz val="9"/>
        <color indexed="8"/>
        <rFont val="宋体"/>
        <charset val="134"/>
      </rPr>
      <t>立方米</t>
    </r>
    <r>
      <rPr>
        <sz val="9"/>
        <color indexed="8"/>
        <rFont val="Arial"/>
        <charset val="134"/>
      </rPr>
      <t>(30</t>
    </r>
    <r>
      <rPr>
        <sz val="9"/>
        <color indexed="8"/>
        <rFont val="Segoe UI Symbol"/>
        <charset val="134"/>
      </rPr>
      <t>℃</t>
    </r>
    <r>
      <rPr>
        <sz val="9"/>
        <color indexed="8"/>
        <rFont val="Arial"/>
        <charset val="134"/>
      </rPr>
      <t>)/</t>
    </r>
    <r>
      <rPr>
        <sz val="9"/>
        <color indexed="8"/>
        <rFont val="宋体"/>
        <charset val="134"/>
      </rPr>
      <t>立方米</t>
    </r>
    <r>
      <rPr>
        <sz val="9"/>
        <color indexed="8"/>
        <rFont val="Arial"/>
        <charset val="134"/>
      </rPr>
      <t>(15</t>
    </r>
    <r>
      <rPr>
        <sz val="9"/>
        <color indexed="8"/>
        <rFont val="Segoe UI Symbol"/>
        <charset val="134"/>
      </rPr>
      <t>℃</t>
    </r>
    <r>
      <rPr>
        <sz val="9"/>
        <color indexed="8"/>
        <rFont val="Arial"/>
        <charset val="134"/>
      </rPr>
      <t>) [1/VCF(30</t>
    </r>
    <r>
      <rPr>
        <sz val="9"/>
        <color indexed="8"/>
        <rFont val="Segoe UI Symbol"/>
        <charset val="134"/>
      </rPr>
      <t>℃</t>
    </r>
    <r>
      <rPr>
        <sz val="9"/>
        <color indexed="8"/>
        <rFont val="Arial"/>
        <charset val="134"/>
      </rPr>
      <t>]</t>
    </r>
  </si>
  <si>
    <t>Non-Insulated</t>
  </si>
  <si>
    <t>非保温</t>
  </si>
  <si>
    <r>
      <rPr>
        <sz val="9"/>
        <color theme="1"/>
        <rFont val="Arial"/>
        <charset val="134"/>
      </rPr>
      <t>m³@30</t>
    </r>
    <r>
      <rPr>
        <sz val="9"/>
        <color indexed="8"/>
        <rFont val="Segoe UI Symbol"/>
        <charset val="134"/>
      </rPr>
      <t>℃</t>
    </r>
    <r>
      <rPr>
        <sz val="9"/>
        <color indexed="8"/>
        <rFont val="Arial"/>
        <charset val="134"/>
      </rPr>
      <t>/m³@20</t>
    </r>
    <r>
      <rPr>
        <sz val="9"/>
        <color indexed="8"/>
        <rFont val="Segoe UI Symbol"/>
        <charset val="134"/>
      </rPr>
      <t>℃</t>
    </r>
    <r>
      <rPr>
        <sz val="9"/>
        <color indexed="8"/>
        <rFont val="Arial"/>
        <charset val="134"/>
      </rPr>
      <t xml:space="preserve"> [1/VCF(30</t>
    </r>
    <r>
      <rPr>
        <sz val="9"/>
        <color indexed="8"/>
        <rFont val="Segoe UI Symbol"/>
        <charset val="134"/>
      </rPr>
      <t>℃</t>
    </r>
    <r>
      <rPr>
        <sz val="9"/>
        <color indexed="8"/>
        <rFont val="Arial"/>
        <charset val="134"/>
      </rPr>
      <t>)]</t>
    </r>
  </si>
  <si>
    <r>
      <rPr>
        <sz val="9"/>
        <color indexed="8"/>
        <rFont val="宋体"/>
        <charset val="134"/>
      </rPr>
      <t>立方米</t>
    </r>
    <r>
      <rPr>
        <sz val="9"/>
        <color indexed="8"/>
        <rFont val="Arial"/>
        <charset val="134"/>
      </rPr>
      <t>(30</t>
    </r>
    <r>
      <rPr>
        <sz val="9"/>
        <color indexed="8"/>
        <rFont val="Segoe UI Symbol"/>
        <charset val="134"/>
      </rPr>
      <t>℃</t>
    </r>
    <r>
      <rPr>
        <sz val="9"/>
        <color indexed="8"/>
        <rFont val="Arial"/>
        <charset val="134"/>
      </rPr>
      <t>)/</t>
    </r>
    <r>
      <rPr>
        <sz val="9"/>
        <color indexed="8"/>
        <rFont val="宋体"/>
        <charset val="134"/>
      </rPr>
      <t>立方米</t>
    </r>
    <r>
      <rPr>
        <sz val="9"/>
        <color indexed="8"/>
        <rFont val="Arial"/>
        <charset val="134"/>
      </rPr>
      <t>(20</t>
    </r>
    <r>
      <rPr>
        <sz val="9"/>
        <color indexed="8"/>
        <rFont val="Segoe UI Symbol"/>
        <charset val="134"/>
      </rPr>
      <t>℃</t>
    </r>
    <r>
      <rPr>
        <sz val="9"/>
        <color indexed="8"/>
        <rFont val="Arial"/>
        <charset val="134"/>
      </rPr>
      <t>) [1/VCF(30</t>
    </r>
    <r>
      <rPr>
        <sz val="9"/>
        <color indexed="8"/>
        <rFont val="Segoe UI Symbol"/>
        <charset val="134"/>
      </rPr>
      <t>℃</t>
    </r>
    <r>
      <rPr>
        <sz val="9"/>
        <color indexed="8"/>
        <rFont val="Arial"/>
        <charset val="134"/>
      </rPr>
      <t>]</t>
    </r>
  </si>
  <si>
    <t>Tank Shell Reference Temperature</t>
  </si>
  <si>
    <t>岸罐标定温度</t>
  </si>
  <si>
    <r>
      <rPr>
        <sz val="9"/>
        <color theme="1"/>
        <rFont val="Arial"/>
        <charset val="134"/>
      </rPr>
      <t>m³@30</t>
    </r>
    <r>
      <rPr>
        <sz val="9"/>
        <color theme="1"/>
        <rFont val="Segoe UI Symbol"/>
        <charset val="134"/>
      </rPr>
      <t>℃</t>
    </r>
    <r>
      <rPr>
        <sz val="9"/>
        <color theme="1"/>
        <rFont val="Arial"/>
        <charset val="134"/>
      </rPr>
      <t>/bbls@60</t>
    </r>
    <r>
      <rPr>
        <sz val="9"/>
        <color theme="1"/>
        <rFont val="Segoe UI Symbol"/>
        <charset val="134"/>
      </rPr>
      <t>℉</t>
    </r>
    <r>
      <rPr>
        <sz val="9"/>
        <color theme="1"/>
        <rFont val="Arial"/>
        <charset val="134"/>
      </rPr>
      <t xml:space="preserve"> [T-4] x VCF(59</t>
    </r>
    <r>
      <rPr>
        <sz val="9"/>
        <color indexed="8"/>
        <rFont val="Segoe UI Symbol"/>
        <charset val="134"/>
      </rPr>
      <t>℉</t>
    </r>
    <r>
      <rPr>
        <sz val="9"/>
        <color rgb="FF000000"/>
        <rFont val="Arial"/>
        <charset val="134"/>
      </rPr>
      <t>)/VCF(86</t>
    </r>
    <r>
      <rPr>
        <sz val="9"/>
        <color indexed="8"/>
        <rFont val="Segoe UI Symbol"/>
        <charset val="134"/>
      </rPr>
      <t>℉</t>
    </r>
    <r>
      <rPr>
        <sz val="9"/>
        <color rgb="FF000000"/>
        <rFont val="Arial"/>
        <charset val="134"/>
      </rPr>
      <t>)</t>
    </r>
  </si>
  <si>
    <r>
      <rPr>
        <sz val="9"/>
        <color theme="1"/>
        <rFont val="宋体"/>
        <charset val="134"/>
      </rPr>
      <t>立方米</t>
    </r>
    <r>
      <rPr>
        <sz val="9"/>
        <color theme="1"/>
        <rFont val="Arial"/>
        <charset val="134"/>
      </rPr>
      <t>(30</t>
    </r>
    <r>
      <rPr>
        <sz val="9"/>
        <color theme="1"/>
        <rFont val="Segoe UI Symbol"/>
        <charset val="134"/>
      </rPr>
      <t>℃</t>
    </r>
    <r>
      <rPr>
        <sz val="9"/>
        <color theme="1"/>
        <rFont val="Arial"/>
        <charset val="134"/>
      </rPr>
      <t>)/</t>
    </r>
    <r>
      <rPr>
        <sz val="9"/>
        <color theme="1"/>
        <rFont val="宋体"/>
        <charset val="134"/>
      </rPr>
      <t>美桶</t>
    </r>
    <r>
      <rPr>
        <sz val="9"/>
        <color theme="1"/>
        <rFont val="Arial"/>
        <charset val="134"/>
      </rPr>
      <t>(60</t>
    </r>
    <r>
      <rPr>
        <sz val="9"/>
        <color theme="1"/>
        <rFont val="Segoe UI Symbol"/>
        <charset val="134"/>
      </rPr>
      <t>℉</t>
    </r>
    <r>
      <rPr>
        <sz val="9"/>
        <color theme="1"/>
        <rFont val="Arial"/>
        <charset val="134"/>
      </rPr>
      <t>) [T-4] x VCF(59</t>
    </r>
    <r>
      <rPr>
        <sz val="9"/>
        <color indexed="8"/>
        <rFont val="Segoe UI Symbol"/>
        <charset val="134"/>
      </rPr>
      <t>℉</t>
    </r>
    <r>
      <rPr>
        <sz val="9"/>
        <color rgb="FF000000"/>
        <rFont val="Arial"/>
        <charset val="134"/>
      </rPr>
      <t>)/VCF(86</t>
    </r>
    <r>
      <rPr>
        <sz val="9"/>
        <color indexed="8"/>
        <rFont val="Segoe UI Symbol"/>
        <charset val="134"/>
      </rPr>
      <t>℉</t>
    </r>
    <r>
      <rPr>
        <sz val="9"/>
        <color rgb="FF000000"/>
        <rFont val="Arial"/>
        <charset val="134"/>
      </rPr>
      <t>)</t>
    </r>
  </si>
  <si>
    <t>Gauge Method</t>
  </si>
  <si>
    <t>检尺方式</t>
  </si>
  <si>
    <r>
      <rPr>
        <sz val="9"/>
        <color theme="1"/>
        <rFont val="Arial"/>
        <charset val="134"/>
      </rPr>
      <t>m³@30</t>
    </r>
    <r>
      <rPr>
        <sz val="9"/>
        <color theme="1"/>
        <rFont val="Segoe UI Symbol"/>
        <charset val="134"/>
      </rPr>
      <t>℃</t>
    </r>
    <r>
      <rPr>
        <sz val="9"/>
        <color theme="1"/>
        <rFont val="Arial"/>
        <charset val="134"/>
      </rPr>
      <t>/bbls@60</t>
    </r>
    <r>
      <rPr>
        <sz val="9"/>
        <color theme="1"/>
        <rFont val="Segoe UI Symbol"/>
        <charset val="134"/>
      </rPr>
      <t>℉</t>
    </r>
  </si>
  <si>
    <r>
      <rPr>
        <sz val="9"/>
        <color theme="1"/>
        <rFont val="宋体"/>
        <charset val="134"/>
      </rPr>
      <t>立方米</t>
    </r>
    <r>
      <rPr>
        <sz val="9"/>
        <color theme="1"/>
        <rFont val="Arial"/>
        <charset val="134"/>
      </rPr>
      <t>(30</t>
    </r>
    <r>
      <rPr>
        <sz val="9"/>
        <color theme="1"/>
        <rFont val="Segoe UI Symbol"/>
        <charset val="134"/>
      </rPr>
      <t>℃</t>
    </r>
    <r>
      <rPr>
        <sz val="9"/>
        <color theme="1"/>
        <rFont val="Arial"/>
        <charset val="134"/>
      </rPr>
      <t>)/</t>
    </r>
    <r>
      <rPr>
        <sz val="9"/>
        <color theme="1"/>
        <rFont val="宋体"/>
        <charset val="134"/>
      </rPr>
      <t>美桶</t>
    </r>
    <r>
      <rPr>
        <sz val="9"/>
        <color theme="1"/>
        <rFont val="Arial"/>
        <charset val="134"/>
      </rPr>
      <t>(60</t>
    </r>
    <r>
      <rPr>
        <sz val="9"/>
        <color theme="1"/>
        <rFont val="Segoe UI Symbol"/>
        <charset val="134"/>
      </rPr>
      <t>℉</t>
    </r>
    <r>
      <rPr>
        <sz val="9"/>
        <color theme="1"/>
        <rFont val="Arial"/>
        <charset val="134"/>
      </rPr>
      <t>)</t>
    </r>
  </si>
  <si>
    <t>Ullage</t>
  </si>
  <si>
    <t>空距</t>
  </si>
  <si>
    <r>
      <rPr>
        <sz val="9"/>
        <color theme="1"/>
        <rFont val="Arial"/>
        <charset val="134"/>
      </rPr>
      <t>m³@30</t>
    </r>
    <r>
      <rPr>
        <sz val="9"/>
        <color theme="1"/>
        <rFont val="Segoe UI Symbol"/>
        <charset val="134"/>
      </rPr>
      <t>℃</t>
    </r>
    <r>
      <rPr>
        <sz val="9"/>
        <color theme="1"/>
        <rFont val="Arial"/>
        <charset val="134"/>
      </rPr>
      <t>/bbls@60</t>
    </r>
    <r>
      <rPr>
        <sz val="9"/>
        <color theme="1"/>
        <rFont val="Segoe UI Symbol"/>
        <charset val="134"/>
      </rPr>
      <t>℉</t>
    </r>
    <r>
      <rPr>
        <sz val="9"/>
        <color theme="1"/>
        <rFont val="Arial"/>
        <charset val="134"/>
      </rPr>
      <t xml:space="preserve"> [T-22] x VCF(59</t>
    </r>
    <r>
      <rPr>
        <sz val="9"/>
        <color indexed="8"/>
        <rFont val="Segoe UI Symbol"/>
        <charset val="134"/>
      </rPr>
      <t>℉</t>
    </r>
    <r>
      <rPr>
        <sz val="9"/>
        <color indexed="8"/>
        <rFont val="Arial"/>
        <charset val="134"/>
      </rPr>
      <t>)/VCF(86</t>
    </r>
    <r>
      <rPr>
        <sz val="9"/>
        <color indexed="8"/>
        <rFont val="Segoe UI Symbol"/>
        <charset val="134"/>
      </rPr>
      <t>℉</t>
    </r>
    <r>
      <rPr>
        <sz val="9"/>
        <color indexed="8"/>
        <rFont val="Arial"/>
        <charset val="134"/>
      </rPr>
      <t>)</t>
    </r>
  </si>
  <si>
    <r>
      <rPr>
        <sz val="9"/>
        <color theme="1"/>
        <rFont val="宋体"/>
        <charset val="134"/>
      </rPr>
      <t>立方米</t>
    </r>
    <r>
      <rPr>
        <sz val="9"/>
        <color theme="1"/>
        <rFont val="Arial"/>
        <charset val="134"/>
      </rPr>
      <t>(30</t>
    </r>
    <r>
      <rPr>
        <sz val="9"/>
        <color theme="1"/>
        <rFont val="Segoe UI Symbol"/>
        <charset val="134"/>
      </rPr>
      <t>℃</t>
    </r>
    <r>
      <rPr>
        <sz val="9"/>
        <color theme="1"/>
        <rFont val="Arial"/>
        <charset val="134"/>
      </rPr>
      <t>)/</t>
    </r>
    <r>
      <rPr>
        <sz val="9"/>
        <color theme="1"/>
        <rFont val="宋体"/>
        <charset val="134"/>
      </rPr>
      <t>美桶</t>
    </r>
    <r>
      <rPr>
        <sz val="9"/>
        <color theme="1"/>
        <rFont val="Arial"/>
        <charset val="134"/>
      </rPr>
      <t>(60</t>
    </r>
    <r>
      <rPr>
        <sz val="9"/>
        <color theme="1"/>
        <rFont val="Segoe UI Symbol"/>
        <charset val="134"/>
      </rPr>
      <t>℉</t>
    </r>
    <r>
      <rPr>
        <sz val="9"/>
        <color theme="1"/>
        <rFont val="Arial"/>
        <charset val="134"/>
      </rPr>
      <t>) [T-22] x VCF(59</t>
    </r>
    <r>
      <rPr>
        <sz val="9"/>
        <color indexed="8"/>
        <rFont val="Segoe UI Symbol"/>
        <charset val="134"/>
      </rPr>
      <t>℉</t>
    </r>
    <r>
      <rPr>
        <sz val="9"/>
        <color indexed="8"/>
        <rFont val="Arial"/>
        <charset val="134"/>
      </rPr>
      <t>)/VCF(86</t>
    </r>
    <r>
      <rPr>
        <sz val="9"/>
        <color indexed="8"/>
        <rFont val="Segoe UI Symbol"/>
        <charset val="134"/>
      </rPr>
      <t>℉</t>
    </r>
    <r>
      <rPr>
        <sz val="9"/>
        <color indexed="8"/>
        <rFont val="Arial"/>
        <charset val="134"/>
      </rPr>
      <t>)</t>
    </r>
  </si>
  <si>
    <t>Innage</t>
  </si>
  <si>
    <t>液深</t>
  </si>
  <si>
    <t>Linear Coefficient of Expansion of TSh</t>
  </si>
  <si>
    <t>罐壁材质线胀系数</t>
  </si>
  <si>
    <r>
      <rPr>
        <sz val="9"/>
        <color indexed="8"/>
        <rFont val="宋体"/>
        <charset val="134"/>
      </rPr>
      <t>美制加仑</t>
    </r>
    <r>
      <rPr>
        <sz val="9"/>
        <color indexed="8"/>
        <rFont val="Arial"/>
        <charset val="134"/>
      </rPr>
      <t>/</t>
    </r>
    <r>
      <rPr>
        <sz val="9"/>
        <color indexed="8"/>
        <rFont val="宋体"/>
        <charset val="134"/>
      </rPr>
      <t>美制桶</t>
    </r>
    <r>
      <rPr>
        <sz val="9"/>
        <color indexed="8"/>
        <rFont val="Arial"/>
        <charset val="134"/>
      </rPr>
      <t xml:space="preserve"> </t>
    </r>
    <r>
      <rPr>
        <sz val="9"/>
        <color rgb="FF000000"/>
        <rFont val="Arial"/>
        <charset val="134"/>
      </rPr>
      <t>[T-1]</t>
    </r>
  </si>
  <si>
    <t>Critical Zone</t>
  </si>
  <si>
    <t>非计量区间</t>
  </si>
  <si>
    <t>Terminal Representative</t>
  </si>
  <si>
    <r>
      <rPr>
        <sz val="9"/>
        <color theme="1"/>
        <rFont val="宋体"/>
        <charset val="134"/>
      </rPr>
      <t>油</t>
    </r>
    <r>
      <rPr>
        <sz val="9"/>
        <color theme="1"/>
        <rFont val="微软雅黑"/>
        <charset val="134"/>
      </rPr>
      <t>库代表</t>
    </r>
  </si>
  <si>
    <t>Upper Limit</t>
  </si>
  <si>
    <t>上限</t>
  </si>
  <si>
    <r>
      <rPr>
        <sz val="9"/>
        <color theme="1"/>
        <rFont val="Arial"/>
        <charset val="134"/>
      </rPr>
      <t>CCIC</t>
    </r>
    <r>
      <rPr>
        <sz val="9"/>
        <color theme="1"/>
        <rFont val="微软雅黑"/>
        <charset val="134"/>
      </rPr>
      <t>检验员</t>
    </r>
  </si>
  <si>
    <t>Lower Limit</t>
  </si>
  <si>
    <t>下限</t>
  </si>
  <si>
    <r>
      <rPr>
        <sz val="9"/>
        <color theme="1"/>
        <rFont val="微软雅黑"/>
        <charset val="134"/>
      </rPr>
      <t>姓名</t>
    </r>
  </si>
  <si>
    <t>Gauge Unit :</t>
  </si>
  <si>
    <t>计量单位 ：</t>
  </si>
  <si>
    <r>
      <rPr>
        <sz val="9"/>
        <color theme="1"/>
        <rFont val="微软雅黑"/>
        <charset val="134"/>
      </rPr>
      <t>签字</t>
    </r>
  </si>
  <si>
    <t>Gauge Value</t>
  </si>
  <si>
    <t>检尺数据</t>
  </si>
  <si>
    <r>
      <rPr>
        <sz val="9"/>
        <color theme="1"/>
        <rFont val="微软雅黑"/>
        <charset val="134"/>
      </rPr>
      <t>授权签字人</t>
    </r>
  </si>
  <si>
    <t>Water Dip</t>
  </si>
  <si>
    <t>游离水液深</t>
  </si>
  <si>
    <r>
      <rPr>
        <sz val="9"/>
        <color theme="1"/>
        <rFont val="微软雅黑"/>
        <charset val="134"/>
      </rPr>
      <t>本证书</t>
    </r>
    <r>
      <rPr>
        <sz val="9"/>
        <color theme="1"/>
        <rFont val="Arial"/>
        <charset val="134"/>
      </rPr>
      <t>/</t>
    </r>
    <r>
      <rPr>
        <sz val="9"/>
        <color theme="1"/>
        <rFont val="微软雅黑"/>
        <charset val="134"/>
      </rPr>
      <t>报告仅反映本公司检验当时当地之检验结果。本证书</t>
    </r>
    <r>
      <rPr>
        <sz val="9"/>
        <color theme="1"/>
        <rFont val="Arial"/>
        <charset val="134"/>
      </rPr>
      <t>/</t>
    </r>
    <r>
      <rPr>
        <sz val="9"/>
        <color theme="1"/>
        <rFont val="微软雅黑"/>
        <charset val="134"/>
      </rPr>
      <t>报告的签发并不免除合约所规定的贸易双方的权利和义务，与此相反的规定对我方无约束力。未经本公司批准不得复制（全文复制除外）本证书</t>
    </r>
    <r>
      <rPr>
        <sz val="9"/>
        <color theme="1"/>
        <rFont val="Arial"/>
        <charset val="134"/>
      </rPr>
      <t>/</t>
    </r>
    <r>
      <rPr>
        <sz val="9"/>
        <color theme="1"/>
        <rFont val="微软雅黑"/>
        <charset val="134"/>
      </rPr>
      <t>报告。</t>
    </r>
  </si>
  <si>
    <t>判断是否隐藏抬头信息和签字栏</t>
  </si>
  <si>
    <t>判断要隐藏的数量单位</t>
  </si>
  <si>
    <t>判断是否是盘点</t>
  </si>
  <si>
    <t>判断是否需要净量</t>
  </si>
  <si>
    <t>T0101</t>
  </si>
  <si>
    <t>afd</t>
  </si>
  <si>
    <t>18:30</t>
  </si>
  <si>
    <t>20:30</t>
  </si>
  <si>
    <t>ddsfd</t>
  </si>
  <si>
    <t>隐藏</t>
  </si>
  <si>
    <t>1/℃</t>
  </si>
  <si>
    <t>V1</t>
  </si>
  <si>
    <t>V2</t>
  </si>
  <si>
    <t>V3</t>
  </si>
  <si>
    <t>V1+V2+V3</t>
  </si>
  <si>
    <t>Tank Shell Temperature</t>
  </si>
  <si>
    <r>
      <rPr>
        <sz val="8"/>
        <color theme="1"/>
        <rFont val="Arial"/>
        <charset val="134"/>
      </rPr>
      <t xml:space="preserve">Tank Shell Temperature in </t>
    </r>
    <r>
      <rPr>
        <sz val="8"/>
        <color theme="1"/>
        <rFont val="Segoe UI Symbol"/>
        <charset val="134"/>
      </rPr>
      <t>℃</t>
    </r>
  </si>
  <si>
    <r>
      <rPr>
        <sz val="8"/>
        <color theme="1"/>
        <rFont val="Arial"/>
        <charset val="134"/>
      </rPr>
      <t xml:space="preserve">Tank Shell Temperature in </t>
    </r>
    <r>
      <rPr>
        <sz val="8"/>
        <color theme="1"/>
        <rFont val="Segoe UI Symbol"/>
        <charset val="134"/>
      </rPr>
      <t>℉</t>
    </r>
  </si>
  <si>
    <t>(TOV-FW) X TCsh</t>
  </si>
  <si>
    <t>(TOV-FW) X TCsh + PL</t>
  </si>
  <si>
    <t>TOTAL QUANTITY OF ROB</t>
  </si>
  <si>
    <t>卸货后船舱底量合计</t>
  </si>
  <si>
    <t>加班管线</t>
  </si>
  <si>
    <t>- The above ROB does not  address clingage, remaining in vessel’s lines, or cargo pumpablity. unless otherwise stated in this report.</t>
  </si>
  <si>
    <r>
      <rPr>
        <sz val="8"/>
        <color theme="1"/>
        <rFont val="Arial"/>
        <charset val="134"/>
      </rPr>
      <t xml:space="preserve">- </t>
    </r>
    <r>
      <rPr>
        <sz val="8"/>
        <color indexed="8"/>
        <rFont val="宋体"/>
        <charset val="134"/>
      </rPr>
      <t>上述</t>
    </r>
    <r>
      <rPr>
        <sz val="8"/>
        <color indexed="8"/>
        <rFont val="Arial"/>
        <charset val="134"/>
      </rPr>
      <t>ROB</t>
    </r>
    <r>
      <rPr>
        <sz val="8"/>
        <color indexed="8"/>
        <rFont val="宋体"/>
        <charset val="134"/>
      </rPr>
      <t>不涉及挂壁，管线内残留，或货物的泵送性，除非本报告另有说明。</t>
    </r>
  </si>
  <si>
    <t xml:space="preserve">REMAINING ON BOARD REPORT </t>
  </si>
  <si>
    <t>卸货后船舱底量报告</t>
  </si>
  <si>
    <r>
      <rPr>
        <b/>
        <sz val="8"/>
        <color indexed="9"/>
        <rFont val="微软雅黑"/>
        <charset val="134"/>
      </rPr>
      <t>英文</t>
    </r>
    <r>
      <rPr>
        <b/>
        <sz val="8"/>
        <color indexed="9"/>
        <rFont val="Arial"/>
        <charset val="134"/>
      </rPr>
      <t xml:space="preserve"> English</t>
    </r>
  </si>
  <si>
    <r>
      <rPr>
        <b/>
        <sz val="8"/>
        <color indexed="9"/>
        <rFont val="微软雅黑"/>
        <charset val="134"/>
      </rPr>
      <t>中文</t>
    </r>
    <r>
      <rPr>
        <b/>
        <sz val="8"/>
        <color indexed="9"/>
        <rFont val="Arial"/>
        <charset val="134"/>
      </rPr>
      <t xml:space="preserve"> Chinese</t>
    </r>
  </si>
  <si>
    <r>
      <rPr>
        <sz val="8"/>
        <color indexed="8"/>
        <rFont val="微软雅黑"/>
        <charset val="134"/>
      </rPr>
      <t>工作单号</t>
    </r>
  </si>
  <si>
    <r>
      <rPr>
        <sz val="8"/>
        <color indexed="8"/>
        <rFont val="微软雅黑"/>
        <charset val="134"/>
      </rPr>
      <t>报告日期</t>
    </r>
  </si>
  <si>
    <r>
      <rPr>
        <sz val="8"/>
        <color indexed="8"/>
        <rFont val="微软雅黑"/>
        <charset val="134"/>
      </rPr>
      <t>申请人</t>
    </r>
  </si>
  <si>
    <r>
      <rPr>
        <sz val="8"/>
        <color indexed="8"/>
        <rFont val="微软雅黑"/>
        <charset val="134"/>
      </rPr>
      <t>客户参考编号</t>
    </r>
  </si>
  <si>
    <r>
      <rPr>
        <sz val="8"/>
        <color indexed="8"/>
        <rFont val="微软雅黑"/>
        <charset val="134"/>
      </rPr>
      <t>货物</t>
    </r>
  </si>
  <si>
    <r>
      <rPr>
        <sz val="8"/>
        <color indexed="8"/>
        <rFont val="微软雅黑"/>
        <charset val="134"/>
      </rPr>
      <t>船名</t>
    </r>
  </si>
  <si>
    <r>
      <rPr>
        <sz val="8"/>
        <color indexed="8"/>
        <rFont val="微软雅黑"/>
        <charset val="134"/>
      </rPr>
      <t>港口</t>
    </r>
  </si>
  <si>
    <t>VESSEL EXPERIENCE FACTOR REPORT</t>
  </si>
  <si>
    <t>船舶经验系数报告</t>
  </si>
  <si>
    <t>表格</t>
  </si>
  <si>
    <t>序号</t>
  </si>
  <si>
    <t>Voyage Number</t>
  </si>
  <si>
    <t>航次号</t>
  </si>
  <si>
    <t xml:space="preserve">日期 </t>
  </si>
  <si>
    <t>Cargo</t>
  </si>
  <si>
    <t>Vessel Sailing TCV</t>
  </si>
  <si>
    <t>装货后船舱总计算体积</t>
  </si>
  <si>
    <t>OBQ</t>
  </si>
  <si>
    <t>Vessel Loaded TCV</t>
  </si>
  <si>
    <t>船舱收货量总计算体积</t>
  </si>
  <si>
    <t>Ship/
Shore Ratio</t>
  </si>
  <si>
    <t>*
REJ
Voy.</t>
  </si>
  <si>
    <t>**
Q.Y.</t>
  </si>
  <si>
    <t>Sum of All Non-rejected Quantities</t>
  </si>
  <si>
    <t>所有非被拒航次数量合计</t>
  </si>
  <si>
    <t>Mean Vessel/Shore Ratio</t>
  </si>
  <si>
    <t>“船收量/岸发量”比率平均值</t>
  </si>
  <si>
    <t>+/-0.30% of The Mean Vessel/Shore Ratio</t>
  </si>
  <si>
    <t>”船收量/岸发量”比率平均值 +/-0.30%</t>
  </si>
  <si>
    <t>Sum of All Qualifying Quantities</t>
  </si>
  <si>
    <t>所有合格航次数量合计</t>
  </si>
  <si>
    <t>Vessel Experience Factor</t>
  </si>
  <si>
    <t>* Rejected Voyages</t>
  </si>
  <si>
    <r>
      <rPr>
        <b/>
        <sz val="9"/>
        <rFont val="Arial"/>
        <charset val="134"/>
      </rPr>
      <t xml:space="preserve">* </t>
    </r>
    <r>
      <rPr>
        <b/>
        <sz val="9"/>
        <rFont val="宋体"/>
        <charset val="134"/>
      </rPr>
      <t>被拒航次</t>
    </r>
  </si>
  <si>
    <t>Gross Error Voyages: Voyages which the Vessel/Shore Ratio is less than 0.98000 or greater than 1.02000.</t>
  </si>
  <si>
    <t>显著误差航次：”船收量/岸发量“比率小于0.98000或大于1.02000的航次。</t>
  </si>
  <si>
    <t>Voyages where only vessel tank measurements were availabel (i.e. STS transfers, active shore tanks) except where quantities are determined onboard FPSOs using meters in accodance with globally recognized standards.</t>
  </si>
  <si>
    <t>只有船舶计量数据的航次。（例如船对船转输，岸罐边转边输）除了船舶数量按照世界公认标准，基于流量计计量结果，如使用流量计的浮式生产储卸油船（FPSO）。</t>
  </si>
  <si>
    <t>All voyages prior to any changes to measurement equipment, tables, vessel's structure, or other changes requiring the issuance of new capacity tables.</t>
  </si>
  <si>
    <t>船舶计量设备，舱容表、船舶结构，以上任何一项发生变化，或者发生任何可导致需要重新修正舱容表的变化之前的航次。</t>
  </si>
  <si>
    <t>** Qualifying Voyages</t>
  </si>
  <si>
    <r>
      <rPr>
        <b/>
        <sz val="9"/>
        <rFont val="Arial"/>
        <charset val="134"/>
      </rPr>
      <t xml:space="preserve">** </t>
    </r>
    <r>
      <rPr>
        <b/>
        <sz val="9"/>
        <rFont val="宋体"/>
        <charset val="134"/>
      </rPr>
      <t>合格航次</t>
    </r>
  </si>
  <si>
    <t xml:space="preserve">  Voyages whose VLR ot VDR are within the ±0.30% of the mean vessel/shore ratio.</t>
  </si>
  <si>
    <t>“船收量/岸发量”比率在其平均值+/-0.30% 范围内的航次。</t>
  </si>
  <si>
    <t>- Reference Standards: API MPMS Chapter 17.9(2019).</t>
  </si>
  <si>
    <r>
      <rPr>
        <sz val="8"/>
        <color theme="1"/>
        <rFont val="Arial"/>
        <charset val="134"/>
      </rPr>
      <t xml:space="preserve">- </t>
    </r>
    <r>
      <rPr>
        <sz val="8"/>
        <color indexed="8"/>
        <rFont val="微软雅黑"/>
        <charset val="134"/>
      </rPr>
      <t>参考标准</t>
    </r>
    <r>
      <rPr>
        <sz val="8"/>
        <color indexed="8"/>
        <rFont val="Arial"/>
        <charset val="134"/>
      </rPr>
      <t>: API MPMS Chapter 17.9(2019).</t>
    </r>
  </si>
  <si>
    <t>VEF is NOT available due to less than 5 qualifying voyages</t>
  </si>
  <si>
    <t>合格航次不足5个航次，没有有效的VEF。</t>
  </si>
  <si>
    <t>Last 1</t>
  </si>
  <si>
    <t>18-04A&amp;B</t>
  </si>
  <si>
    <t>2018/02/27-03/05</t>
  </si>
  <si>
    <t>Equitorial Guinea &amp; Nigeria earth</t>
  </si>
  <si>
    <t>Forcados; Aseng</t>
  </si>
  <si>
    <t>N</t>
  </si>
  <si>
    <t>Last 2</t>
  </si>
  <si>
    <t>18-03</t>
  </si>
  <si>
    <t>Libyakjkjkljjlkjkkkkkkkkkkkkkkkkkkkkkkkkkk</t>
  </si>
  <si>
    <t>Crude Oil</t>
  </si>
  <si>
    <t>Last 3</t>
  </si>
  <si>
    <t>18-02</t>
  </si>
  <si>
    <t>Russia</t>
  </si>
  <si>
    <t>Last 4</t>
  </si>
  <si>
    <t>18-01</t>
  </si>
  <si>
    <t>Algeria</t>
  </si>
  <si>
    <t>Last 5</t>
  </si>
  <si>
    <t>17-17</t>
  </si>
  <si>
    <t>Venezuela</t>
  </si>
  <si>
    <t>Morichal 16</t>
  </si>
  <si>
    <t>Last 6</t>
  </si>
  <si>
    <t>17-16</t>
  </si>
  <si>
    <t>Gabon</t>
  </si>
  <si>
    <t>Last 7</t>
  </si>
  <si>
    <t>17-15A&amp;B</t>
  </si>
  <si>
    <t>2017/09/02~09/08</t>
  </si>
  <si>
    <t>Saudi Arabia &amp; UAE</t>
  </si>
  <si>
    <t>Arab Light; LSC</t>
  </si>
  <si>
    <t>Last 8</t>
  </si>
  <si>
    <t>17-14</t>
  </si>
  <si>
    <t>Italy</t>
  </si>
  <si>
    <t>Fuel Oil</t>
  </si>
  <si>
    <t>B</t>
  </si>
  <si>
    <t>Last 9</t>
  </si>
  <si>
    <t>17-13</t>
  </si>
  <si>
    <t>Last 10</t>
  </si>
  <si>
    <t>17-12</t>
  </si>
  <si>
    <t>Ukraine</t>
  </si>
  <si>
    <t>VGO</t>
  </si>
  <si>
    <t>Last 11</t>
  </si>
  <si>
    <t>17-11</t>
  </si>
  <si>
    <t>Saudi Arabia</t>
  </si>
  <si>
    <t>Arab Med</t>
  </si>
  <si>
    <t>Last 12</t>
  </si>
  <si>
    <t>17-10</t>
  </si>
  <si>
    <t>UAE</t>
  </si>
  <si>
    <t>Last 13</t>
  </si>
  <si>
    <t>17-09</t>
  </si>
  <si>
    <t>Indonesia</t>
  </si>
  <si>
    <t>Last 14</t>
  </si>
  <si>
    <t>17-08</t>
  </si>
  <si>
    <t>Estonia</t>
  </si>
  <si>
    <t>Last 15</t>
  </si>
  <si>
    <t>17-07</t>
  </si>
  <si>
    <t>Trinidad</t>
  </si>
  <si>
    <t>Last 16</t>
  </si>
  <si>
    <t>17-06</t>
  </si>
  <si>
    <t>Bahamas</t>
  </si>
  <si>
    <t>Naphtha</t>
  </si>
  <si>
    <t>Last 17</t>
  </si>
  <si>
    <t>17-04</t>
  </si>
  <si>
    <t>Last 18</t>
  </si>
  <si>
    <t>17-03</t>
  </si>
  <si>
    <t>St. Lucia</t>
  </si>
  <si>
    <t>Last 19</t>
  </si>
  <si>
    <t>17-02</t>
  </si>
  <si>
    <t>Mexico</t>
  </si>
  <si>
    <t>Maya Crude Oil</t>
  </si>
  <si>
    <t>Last 20</t>
  </si>
  <si>
    <t>17-01</t>
  </si>
  <si>
    <t>Curacao</t>
  </si>
  <si>
    <t xml:space="preserve">  A.</t>
  </si>
  <si>
    <t xml:space="preserve">  B.</t>
  </si>
  <si>
    <t xml:space="preserve">  C.</t>
  </si>
  <si>
    <t>SAMPLE REPORT</t>
  </si>
  <si>
    <r>
      <rPr>
        <sz val="8"/>
        <color theme="1"/>
        <rFont val="宋体"/>
        <charset val="134"/>
      </rPr>
      <t>样品报告</t>
    </r>
  </si>
  <si>
    <t>SAMPLE DESCRIPTION</t>
  </si>
  <si>
    <r>
      <rPr>
        <sz val="8"/>
        <color theme="1"/>
        <rFont val="等线"/>
        <charset val="134"/>
      </rPr>
      <t>样品描述</t>
    </r>
  </si>
  <si>
    <t>STATUS</t>
  </si>
  <si>
    <r>
      <rPr>
        <sz val="8"/>
        <color theme="1"/>
        <rFont val="等线"/>
        <charset val="134"/>
      </rPr>
      <t>取样状态</t>
    </r>
  </si>
  <si>
    <t>SOURCE</t>
  </si>
  <si>
    <r>
      <rPr>
        <sz val="8"/>
        <color theme="1"/>
        <rFont val="等线"/>
        <charset val="134"/>
      </rPr>
      <t>样品来源</t>
    </r>
  </si>
  <si>
    <t>SAMPLE TYPE</t>
  </si>
  <si>
    <r>
      <rPr>
        <sz val="8"/>
        <color theme="1"/>
        <rFont val="等线"/>
        <charset val="134"/>
      </rPr>
      <t>样品类别</t>
    </r>
  </si>
  <si>
    <t>SIZE</t>
  </si>
  <si>
    <r>
      <rPr>
        <sz val="8"/>
        <color theme="1"/>
        <rFont val="等线"/>
        <charset val="134"/>
      </rPr>
      <t>样品数量规格</t>
    </r>
  </si>
  <si>
    <t>QTY</t>
  </si>
  <si>
    <r>
      <rPr>
        <sz val="8"/>
        <color theme="1"/>
        <rFont val="等线"/>
        <charset val="134"/>
      </rPr>
      <t>个数</t>
    </r>
  </si>
  <si>
    <t>CAPACITY</t>
  </si>
  <si>
    <r>
      <rPr>
        <sz val="8"/>
        <color theme="1"/>
        <rFont val="宋体"/>
        <charset val="134"/>
      </rPr>
      <t>容积</t>
    </r>
  </si>
  <si>
    <t>DISTRIBUTION</t>
  </si>
  <si>
    <r>
      <rPr>
        <sz val="8"/>
        <color theme="1"/>
        <rFont val="宋体"/>
        <charset val="134"/>
      </rPr>
      <t>样品分配</t>
    </r>
  </si>
  <si>
    <t>SEAL NUMBERS</t>
  </si>
  <si>
    <r>
      <rPr>
        <sz val="8"/>
        <color theme="1"/>
        <rFont val="宋体"/>
        <charset val="134"/>
      </rPr>
      <t>封号</t>
    </r>
  </si>
  <si>
    <t>Nominated Shore Tank(s) Number :</t>
  </si>
  <si>
    <r>
      <rPr>
        <sz val="8"/>
        <color theme="1"/>
        <rFont val="宋体"/>
        <charset val="134"/>
      </rPr>
      <t>作业岸罐号：</t>
    </r>
  </si>
  <si>
    <t>Nominated Vessel Tank(s) Number :</t>
  </si>
  <si>
    <r>
      <rPr>
        <sz val="8"/>
        <color theme="1"/>
        <rFont val="宋体"/>
        <charset val="134"/>
      </rPr>
      <t>船舶作业舱号：</t>
    </r>
  </si>
  <si>
    <t>Nominated Sending Shore Tank(s) Number :</t>
  </si>
  <si>
    <r>
      <rPr>
        <sz val="8"/>
        <color theme="1"/>
        <rFont val="宋体"/>
        <charset val="134"/>
      </rPr>
      <t>发油作业岸罐号：</t>
    </r>
  </si>
  <si>
    <t>Nominated Receiving Shore Tank(s) Number :</t>
  </si>
  <si>
    <r>
      <rPr>
        <sz val="8"/>
        <color theme="1"/>
        <rFont val="宋体"/>
        <charset val="134"/>
      </rPr>
      <t>收油作业岸罐号：</t>
    </r>
  </si>
  <si>
    <t>Nominated Lighter Tank(s) Number:</t>
  </si>
  <si>
    <r>
      <rPr>
        <sz val="8"/>
        <color theme="1"/>
        <rFont val="宋体"/>
        <charset val="134"/>
      </rPr>
      <t>驳船作业舱号</t>
    </r>
  </si>
  <si>
    <t>Nominated Storage Tank(s) Number:</t>
  </si>
  <si>
    <t>指定储罐罐号：</t>
  </si>
  <si>
    <t>Before Discharge</t>
  </si>
  <si>
    <r>
      <rPr>
        <sz val="8"/>
        <color theme="1"/>
        <rFont val="微软雅黑"/>
        <charset val="134"/>
      </rPr>
      <t>卸货前</t>
    </r>
  </si>
  <si>
    <t>During Discharge</t>
  </si>
  <si>
    <r>
      <rPr>
        <sz val="8"/>
        <color theme="1"/>
        <rFont val="微软雅黑"/>
        <charset val="134"/>
      </rPr>
      <t>卸货中</t>
    </r>
  </si>
  <si>
    <t>After Discharge</t>
  </si>
  <si>
    <r>
      <rPr>
        <sz val="8"/>
        <color theme="1"/>
        <rFont val="微软雅黑"/>
        <charset val="134"/>
      </rPr>
      <t>卸货后</t>
    </r>
  </si>
  <si>
    <t>Before Load</t>
  </si>
  <si>
    <r>
      <rPr>
        <sz val="8"/>
        <color theme="1"/>
        <rFont val="微软雅黑"/>
        <charset val="134"/>
      </rPr>
      <t>装货前</t>
    </r>
  </si>
  <si>
    <t>During Load</t>
  </si>
  <si>
    <r>
      <rPr>
        <sz val="8"/>
        <color theme="1"/>
        <rFont val="微软雅黑"/>
        <charset val="134"/>
      </rPr>
      <t>装货中</t>
    </r>
  </si>
  <si>
    <t>After Load</t>
  </si>
  <si>
    <r>
      <rPr>
        <sz val="8"/>
        <color theme="1"/>
        <rFont val="微软雅黑"/>
        <charset val="134"/>
      </rPr>
      <t>装货后</t>
    </r>
  </si>
  <si>
    <t>Before Transfer</t>
  </si>
  <si>
    <r>
      <rPr>
        <sz val="8"/>
        <color theme="1"/>
        <rFont val="微软雅黑"/>
        <charset val="134"/>
      </rPr>
      <t>转运前</t>
    </r>
  </si>
  <si>
    <t>During Transfer</t>
  </si>
  <si>
    <r>
      <rPr>
        <sz val="8"/>
        <color theme="1"/>
        <rFont val="宋体"/>
        <charset val="134"/>
      </rPr>
      <t>转运中</t>
    </r>
  </si>
  <si>
    <t>After Transfer</t>
  </si>
  <si>
    <r>
      <rPr>
        <sz val="8"/>
        <color theme="1"/>
        <rFont val="宋体"/>
        <charset val="134"/>
      </rPr>
      <t>转运后</t>
    </r>
  </si>
  <si>
    <t>While Measurement</t>
  </si>
  <si>
    <t>与计量同时</t>
  </si>
  <si>
    <t>Tank Composite</t>
  </si>
  <si>
    <t>单罐组合样</t>
  </si>
  <si>
    <t>Multiple Tank Composite</t>
  </si>
  <si>
    <t>岸罐组合样</t>
  </si>
  <si>
    <t>Compartment Composite</t>
  </si>
  <si>
    <r>
      <rPr>
        <sz val="8"/>
        <color theme="1"/>
        <rFont val="等线"/>
        <charset val="134"/>
      </rPr>
      <t>单舱组合样</t>
    </r>
  </si>
  <si>
    <t>Deck Composite</t>
  </si>
  <si>
    <r>
      <rPr>
        <sz val="8"/>
        <color theme="1"/>
        <rFont val="等线"/>
        <charset val="134"/>
      </rPr>
      <t>船舱组合样</t>
    </r>
  </si>
  <si>
    <t>Composite</t>
  </si>
  <si>
    <r>
      <rPr>
        <sz val="8"/>
        <color theme="1"/>
        <rFont val="等线"/>
        <charset val="134"/>
      </rPr>
      <t>组合样</t>
    </r>
  </si>
  <si>
    <t>Running</t>
  </si>
  <si>
    <t>例行样</t>
  </si>
  <si>
    <t>All-levels</t>
  </si>
  <si>
    <r>
      <rPr>
        <sz val="8"/>
        <color theme="1"/>
        <rFont val="等线"/>
        <charset val="134"/>
      </rPr>
      <t>全层样</t>
    </r>
  </si>
  <si>
    <t>Spot</t>
  </si>
  <si>
    <t>点样</t>
  </si>
  <si>
    <t>Upper</t>
  </si>
  <si>
    <r>
      <rPr>
        <sz val="8"/>
        <color theme="1"/>
        <rFont val="等线"/>
        <charset val="134"/>
      </rPr>
      <t>上部样</t>
    </r>
  </si>
  <si>
    <t>Middle</t>
  </si>
  <si>
    <r>
      <rPr>
        <sz val="8"/>
        <color theme="1"/>
        <rFont val="等线"/>
        <charset val="134"/>
      </rPr>
      <t>中部样</t>
    </r>
  </si>
  <si>
    <t>Lower</t>
  </si>
  <si>
    <r>
      <rPr>
        <sz val="8"/>
        <color theme="1"/>
        <rFont val="等线"/>
        <charset val="134"/>
      </rPr>
      <t>下部样</t>
    </r>
  </si>
  <si>
    <t>Bottom</t>
  </si>
  <si>
    <r>
      <rPr>
        <sz val="8"/>
        <color theme="1"/>
        <rFont val="等线"/>
        <charset val="134"/>
      </rPr>
      <t>底部样</t>
    </r>
  </si>
  <si>
    <t>1st Foot</t>
  </si>
  <si>
    <r>
      <rPr>
        <sz val="8"/>
        <color theme="1"/>
        <rFont val="等线"/>
        <charset val="134"/>
      </rPr>
      <t>一英尺</t>
    </r>
    <r>
      <rPr>
        <sz val="8"/>
        <color theme="1"/>
        <rFont val="宋体"/>
        <charset val="134"/>
      </rPr>
      <t>样</t>
    </r>
  </si>
  <si>
    <t>For Client Retention</t>
  </si>
  <si>
    <t>客户保留</t>
  </si>
  <si>
    <t>For Vessel Retention</t>
  </si>
  <si>
    <t>船方保留</t>
  </si>
  <si>
    <t>For Receiver Retention</t>
  </si>
  <si>
    <t>收货人保留</t>
  </si>
  <si>
    <t>For Terminal Retention</t>
  </si>
  <si>
    <t>油库保留</t>
  </si>
  <si>
    <t>For Analysis</t>
  </si>
  <si>
    <t>分析样品</t>
  </si>
  <si>
    <t>For CCIC Retention</t>
  </si>
  <si>
    <t>CCIC 保留</t>
  </si>
  <si>
    <t>- Reference Standards: API MPMS Chapter 8.1 (2013).</t>
  </si>
  <si>
    <t>- 参考标准: API MPMS Chapter 8.1 (2013).</t>
  </si>
  <si>
    <t>Weather condition during sampling:</t>
  </si>
  <si>
    <t>取样时的天气状况:</t>
  </si>
  <si>
    <t>- Unless otherwise instructed, the above CCIC retention samples will be retained only for three months.</t>
  </si>
  <si>
    <t>- 除非收到客户明确指示，否则以上CCIC保留样只保留3个月。</t>
  </si>
  <si>
    <t>Normal</t>
  </si>
  <si>
    <t>正常</t>
  </si>
  <si>
    <t>Abnormal weather condition:</t>
  </si>
  <si>
    <t>异常天气状况 ：</t>
  </si>
  <si>
    <t>1~5C, 1~5 P/S &amp; Slop P/S</t>
  </si>
  <si>
    <t>红色部分可点选，样品类型可以参照左边中英文对照表</t>
  </si>
  <si>
    <t>封号直接输入数字即可</t>
  </si>
  <si>
    <t>T-101, T-102, &amp; T-105</t>
  </si>
  <si>
    <t>样品类型中英文对照表</t>
  </si>
  <si>
    <t>CN</t>
  </si>
  <si>
    <t>EN</t>
  </si>
  <si>
    <t>Shore Tank T0101</t>
  </si>
  <si>
    <t>1 Callon</t>
  </si>
  <si>
    <t>90075432</t>
  </si>
  <si>
    <t>单舱组合样</t>
  </si>
  <si>
    <t>卸货中</t>
  </si>
  <si>
    <t>12345678</t>
  </si>
  <si>
    <t>船舱组合样</t>
  </si>
  <si>
    <t>12345679</t>
  </si>
  <si>
    <t>组合样</t>
  </si>
  <si>
    <t>12345680</t>
  </si>
  <si>
    <t>12345681</t>
  </si>
  <si>
    <t>全层样</t>
  </si>
  <si>
    <t>Shore Tank T0102</t>
  </si>
  <si>
    <t>12345682</t>
  </si>
  <si>
    <t>12345683</t>
  </si>
  <si>
    <t>上部样</t>
  </si>
  <si>
    <t>12345684</t>
  </si>
  <si>
    <t>中部样</t>
  </si>
  <si>
    <t>12345685</t>
  </si>
  <si>
    <t>下部样</t>
  </si>
  <si>
    <t>12345686</t>
  </si>
  <si>
    <t>底部样</t>
  </si>
  <si>
    <t>Shore Tank T0105</t>
  </si>
  <si>
    <t>12345687</t>
  </si>
  <si>
    <t>12345688</t>
  </si>
  <si>
    <t>12345689</t>
  </si>
  <si>
    <t>封号前缀</t>
  </si>
  <si>
    <t>12345690</t>
  </si>
  <si>
    <t>CCIC LN</t>
  </si>
  <si>
    <t>12345691</t>
  </si>
  <si>
    <t>All Nominated Shore Tanks</t>
  </si>
  <si>
    <t>12345692</t>
  </si>
  <si>
    <t>12345693</t>
  </si>
  <si>
    <t>12345694</t>
  </si>
  <si>
    <t>12345695</t>
  </si>
  <si>
    <t>12345696</t>
  </si>
  <si>
    <t>Vessel Manifold</t>
  </si>
  <si>
    <t>12345697</t>
  </si>
  <si>
    <t>12345698</t>
  </si>
  <si>
    <t>12345699</t>
  </si>
  <si>
    <t>12345700</t>
  </si>
  <si>
    <t>12345701</t>
  </si>
  <si>
    <t>All Nominated Vessel Tanks</t>
  </si>
  <si>
    <t>7885399</t>
  </si>
  <si>
    <t>取岸罐前尺样</t>
  </si>
  <si>
    <t>项目</t>
  </si>
  <si>
    <t>工作单号：</t>
  </si>
  <si>
    <t xml:space="preserve">       Arms/          Hoses connecting</t>
  </si>
  <si>
    <r>
      <rPr>
        <sz val="8"/>
        <color theme="1"/>
        <rFont val="Arial"/>
        <charset val="134"/>
      </rPr>
      <t xml:space="preserve">       </t>
    </r>
    <r>
      <rPr>
        <sz val="8"/>
        <color theme="1"/>
        <rFont val="宋体"/>
        <charset val="134"/>
      </rPr>
      <t>输油臂/        输油管连接</t>
    </r>
  </si>
  <si>
    <t xml:space="preserve">       Arms/          Hoses disconnecting</t>
  </si>
  <si>
    <t>Discharge</t>
  </si>
  <si>
    <t>Load</t>
  </si>
  <si>
    <t>x</t>
  </si>
  <si>
    <r>
      <rPr>
        <sz val="8"/>
        <color theme="1"/>
        <rFont val="微软雅黑"/>
        <charset val="134"/>
      </rPr>
      <t>工作单号</t>
    </r>
    <r>
      <rPr>
        <sz val="8"/>
        <color theme="1"/>
        <rFont val="Arial"/>
        <charset val="134"/>
      </rPr>
      <t>:</t>
    </r>
  </si>
</sst>
</file>

<file path=xl/styles.xml><?xml version="1.0" encoding="utf-8"?>
<styleSheet xmlns="http://schemas.openxmlformats.org/spreadsheetml/2006/main">
  <numFmts count="22">
    <numFmt numFmtId="176" formatCode="0.000"/>
    <numFmt numFmtId="177" formatCode="yyyy/mm/dd"/>
    <numFmt numFmtId="178" formatCode="0.000_ ;[Red]\-0.000\ "/>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9" formatCode="0.0%"/>
    <numFmt numFmtId="180" formatCode="0.00_ "/>
    <numFmt numFmtId="181" formatCode="0.0000_ "/>
    <numFmt numFmtId="182" formatCode="0.000_ "/>
    <numFmt numFmtId="183" formatCode="0.0_ "/>
    <numFmt numFmtId="184" formatCode="&quot;CCIC &quot;@"/>
    <numFmt numFmtId="185" formatCode="hh:mm;@"/>
    <numFmt numFmtId="186" formatCode="0.00000_ "/>
    <numFmt numFmtId="187" formatCode="0.0000000_ ;[Red]\-0.0000000\ "/>
    <numFmt numFmtId="188" formatCode="0.00_);[Red]\(0.00\)"/>
    <numFmt numFmtId="189" formatCode="0.000000"/>
    <numFmt numFmtId="190" formatCode="0.0000"/>
    <numFmt numFmtId="191" formatCode="0.00_ ;[Red]\-0.00\ "/>
    <numFmt numFmtId="192" formatCode="0.00000_);[Red]\(0.00000\)"/>
    <numFmt numFmtId="193" formatCode="0.00000"/>
  </numFmts>
  <fonts count="124">
    <font>
      <sz val="11"/>
      <color theme="1"/>
      <name val="等线"/>
      <charset val="134"/>
      <scheme val="minor"/>
    </font>
    <font>
      <b/>
      <sz val="8"/>
      <color theme="0"/>
      <name val="Arial"/>
      <charset val="134"/>
    </font>
    <font>
      <sz val="11"/>
      <color theme="1"/>
      <name val="Arial"/>
      <charset val="134"/>
    </font>
    <font>
      <sz val="8"/>
      <color theme="1"/>
      <name val="Arial"/>
      <charset val="134"/>
    </font>
    <font>
      <sz val="9"/>
      <color theme="1"/>
      <name val="Arial"/>
      <charset val="134"/>
    </font>
    <font>
      <sz val="11"/>
      <color theme="1"/>
      <name val="宋体"/>
      <charset val="134"/>
    </font>
    <font>
      <sz val="8"/>
      <color theme="1"/>
      <name val="微软雅黑"/>
      <charset val="134"/>
    </font>
    <font>
      <sz val="8"/>
      <color theme="1"/>
      <name val="宋体"/>
      <charset val="134"/>
    </font>
    <font>
      <sz val="8"/>
      <color theme="1"/>
      <name val="Arial"/>
      <charset val="134"/>
    </font>
    <font>
      <sz val="8"/>
      <color indexed="8"/>
      <name val="Arial"/>
      <charset val="134"/>
    </font>
    <font>
      <sz val="8"/>
      <color theme="0"/>
      <name val="微软雅黑"/>
      <charset val="134"/>
    </font>
    <font>
      <b/>
      <sz val="8"/>
      <color theme="0"/>
      <name val="微软雅黑"/>
      <charset val="134"/>
    </font>
    <font>
      <sz val="11"/>
      <color theme="1"/>
      <name val="微软雅黑"/>
      <charset val="134"/>
    </font>
    <font>
      <sz val="8"/>
      <color theme="1"/>
      <name val="等线"/>
      <charset val="134"/>
      <scheme val="minor"/>
    </font>
    <font>
      <sz val="6"/>
      <color theme="1"/>
      <name val="等线"/>
      <charset val="134"/>
      <scheme val="minor"/>
    </font>
    <font>
      <sz val="8"/>
      <color theme="1"/>
      <name val="宋体"/>
      <charset val="134"/>
    </font>
    <font>
      <sz val="8"/>
      <name val="Arial"/>
      <charset val="134"/>
    </font>
    <font>
      <sz val="8"/>
      <name val="宋体"/>
      <charset val="134"/>
    </font>
    <font>
      <sz val="8"/>
      <name val="微软雅黑"/>
      <charset val="134"/>
    </font>
    <font>
      <sz val="8"/>
      <name val="宋体"/>
      <charset val="134"/>
    </font>
    <font>
      <sz val="6"/>
      <color theme="1"/>
      <name val="Arial"/>
      <charset val="134"/>
    </font>
    <font>
      <b/>
      <sz val="8"/>
      <color theme="1"/>
      <name val="Arial"/>
      <charset val="134"/>
    </font>
    <font>
      <b/>
      <sz val="16"/>
      <color theme="1"/>
      <name val="微软雅黑"/>
      <charset val="134"/>
    </font>
    <font>
      <b/>
      <sz val="12"/>
      <color theme="1"/>
      <name val="Arial"/>
      <charset val="134"/>
    </font>
    <font>
      <b/>
      <sz val="16"/>
      <color theme="1"/>
      <name val="Arial"/>
      <charset val="134"/>
    </font>
    <font>
      <sz val="8"/>
      <color rgb="FF0000FF"/>
      <name val="Arial"/>
      <charset val="134"/>
    </font>
    <font>
      <sz val="11"/>
      <color rgb="FF0000FF"/>
      <name val="等线"/>
      <charset val="134"/>
      <scheme val="minor"/>
    </font>
    <font>
      <sz val="8"/>
      <color rgb="FF0000FF"/>
      <name val="微软雅黑"/>
      <charset val="134"/>
    </font>
    <font>
      <b/>
      <sz val="8"/>
      <color rgb="FF0000FF"/>
      <name val="微软雅黑"/>
      <charset val="134"/>
    </font>
    <font>
      <sz val="11"/>
      <color rgb="FF0000FF"/>
      <name val="Arial"/>
      <charset val="134"/>
    </font>
    <font>
      <b/>
      <sz val="11"/>
      <color rgb="FF0000FF"/>
      <name val="等线"/>
      <charset val="134"/>
      <scheme val="minor"/>
    </font>
    <font>
      <b/>
      <sz val="9"/>
      <color theme="1"/>
      <name val="微软雅黑"/>
      <charset val="134"/>
    </font>
    <font>
      <sz val="8"/>
      <color rgb="FFFF0000"/>
      <name val="微软雅黑"/>
      <charset val="134"/>
    </font>
    <font>
      <b/>
      <sz val="10"/>
      <color rgb="FF0000FF"/>
      <name val="微软雅黑"/>
      <charset val="134"/>
    </font>
    <font>
      <b/>
      <sz val="9"/>
      <name val="Arial"/>
      <charset val="134"/>
    </font>
    <font>
      <sz val="9"/>
      <color theme="0"/>
      <name val="微软雅黑"/>
      <charset val="134"/>
    </font>
    <font>
      <sz val="9"/>
      <color theme="1"/>
      <name val="微软雅黑"/>
      <charset val="134"/>
    </font>
    <font>
      <b/>
      <sz val="16"/>
      <name val="Arial"/>
      <charset val="134"/>
    </font>
    <font>
      <b/>
      <sz val="8"/>
      <name val="Arial"/>
      <charset val="134"/>
    </font>
    <font>
      <sz val="7"/>
      <color rgb="FF0000FF"/>
      <name val="Arial"/>
      <charset val="134"/>
    </font>
    <font>
      <sz val="9"/>
      <name val="Arial"/>
      <charset val="134"/>
    </font>
    <font>
      <sz val="11"/>
      <color rgb="FFFF0000"/>
      <name val="等线"/>
      <charset val="134"/>
      <scheme val="minor"/>
    </font>
    <font>
      <sz val="7"/>
      <name val="Arial"/>
      <charset val="134"/>
    </font>
    <font>
      <b/>
      <sz val="10"/>
      <name val="Arial"/>
      <charset val="134"/>
    </font>
    <font>
      <b/>
      <sz val="9"/>
      <color theme="1"/>
      <name val="Arial"/>
      <charset val="134"/>
    </font>
    <font>
      <sz val="8"/>
      <color theme="1"/>
      <name val="Segoe UI Symbol"/>
      <charset val="134"/>
    </font>
    <font>
      <sz val="9"/>
      <color rgb="FF0000FF"/>
      <name val="Arial"/>
      <charset val="134"/>
    </font>
    <font>
      <b/>
      <sz val="9"/>
      <color theme="0"/>
      <name val="微软雅黑"/>
      <charset val="134"/>
    </font>
    <font>
      <sz val="11"/>
      <color rgb="FFFF0000"/>
      <name val="Arial"/>
      <charset val="134"/>
    </font>
    <font>
      <b/>
      <sz val="8"/>
      <color rgb="FF0000FF"/>
      <name val="Arial"/>
      <charset val="134"/>
    </font>
    <font>
      <sz val="11"/>
      <color theme="1"/>
      <name val="等线"/>
      <charset val="134"/>
      <scheme val="minor"/>
    </font>
    <font>
      <sz val="9"/>
      <color theme="0"/>
      <name val="Arial"/>
      <charset val="134"/>
    </font>
    <font>
      <sz val="9"/>
      <color indexed="8"/>
      <name val="Arial"/>
      <charset val="134"/>
    </font>
    <font>
      <sz val="9"/>
      <color theme="1"/>
      <name val="Arial"/>
      <charset val="134"/>
    </font>
    <font>
      <sz val="9"/>
      <color theme="1"/>
      <name val="宋体"/>
      <charset val="134"/>
    </font>
    <font>
      <sz val="9"/>
      <color rgb="FFFF0000"/>
      <name val="Arial"/>
      <charset val="134"/>
    </font>
    <font>
      <sz val="11"/>
      <color rgb="FFFF0000"/>
      <name val="等线"/>
      <charset val="134"/>
      <scheme val="minor"/>
    </font>
    <font>
      <sz val="9"/>
      <color theme="1"/>
      <name val="宋体"/>
      <charset val="134"/>
    </font>
    <font>
      <sz val="8"/>
      <color rgb="FF333333"/>
      <name val="Arial"/>
      <charset val="134"/>
    </font>
    <font>
      <sz val="7"/>
      <color theme="1"/>
      <name val="Arial"/>
      <charset val="134"/>
    </font>
    <font>
      <b/>
      <sz val="8"/>
      <color theme="1"/>
      <name val="微软雅黑"/>
      <charset val="134"/>
    </font>
    <font>
      <sz val="6"/>
      <color theme="1"/>
      <name val="微软雅黑"/>
      <charset val="134"/>
    </font>
    <font>
      <b/>
      <sz val="7"/>
      <color theme="1"/>
      <name val="Arial"/>
      <charset val="134"/>
    </font>
    <font>
      <b/>
      <sz val="10"/>
      <color theme="1"/>
      <name val="Arial"/>
      <charset val="134"/>
    </font>
    <font>
      <sz val="10"/>
      <color theme="1"/>
      <name val="Arial"/>
      <charset val="134"/>
    </font>
    <font>
      <b/>
      <sz val="10"/>
      <color theme="0"/>
      <name val="微软雅黑"/>
      <charset val="134"/>
    </font>
    <font>
      <b/>
      <sz val="22"/>
      <color theme="1"/>
      <name val="Arial"/>
      <charset val="134"/>
    </font>
    <font>
      <sz val="20"/>
      <color theme="1"/>
      <name val="Arial"/>
      <charset val="134"/>
    </font>
    <font>
      <sz val="12"/>
      <color theme="1"/>
      <name val="Arial"/>
      <charset val="134"/>
    </font>
    <font>
      <sz val="11"/>
      <color theme="1"/>
      <name val="宋体"/>
      <charset val="134"/>
    </font>
    <font>
      <sz val="8"/>
      <color rgb="FFFF0000"/>
      <name val="Arial"/>
      <charset val="134"/>
    </font>
    <font>
      <b/>
      <sz val="9"/>
      <color theme="0"/>
      <name val="Arial"/>
      <charset val="134"/>
    </font>
    <font>
      <sz val="10"/>
      <color theme="0"/>
      <name val="Arial"/>
      <charset val="134"/>
    </font>
    <font>
      <sz val="11"/>
      <color theme="1"/>
      <name val="等线"/>
      <charset val="134"/>
      <scheme val="minor"/>
    </font>
    <font>
      <sz val="11"/>
      <color theme="0"/>
      <name val="等线"/>
      <charset val="0"/>
      <scheme val="minor"/>
    </font>
    <font>
      <sz val="11"/>
      <color theme="1"/>
      <name val="等线"/>
      <charset val="0"/>
      <scheme val="minor"/>
    </font>
    <font>
      <b/>
      <sz val="13"/>
      <color theme="3"/>
      <name val="等线"/>
      <charset val="134"/>
      <scheme val="minor"/>
    </font>
    <font>
      <sz val="11"/>
      <color rgb="FFFF0000"/>
      <name val="等线"/>
      <charset val="0"/>
      <scheme val="minor"/>
    </font>
    <font>
      <sz val="11"/>
      <color rgb="FF9C0006"/>
      <name val="等线"/>
      <charset val="0"/>
      <scheme val="minor"/>
    </font>
    <font>
      <b/>
      <sz val="11"/>
      <color rgb="FF3F3F3F"/>
      <name val="等线"/>
      <charset val="0"/>
      <scheme val="minor"/>
    </font>
    <font>
      <u/>
      <sz val="11"/>
      <color rgb="FF0000FF"/>
      <name val="等线"/>
      <charset val="0"/>
      <scheme val="minor"/>
    </font>
    <font>
      <sz val="11"/>
      <color rgb="FF3F3F76"/>
      <name val="等线"/>
      <charset val="0"/>
      <scheme val="minor"/>
    </font>
    <font>
      <sz val="11"/>
      <color rgb="FFFA7D00"/>
      <name val="等线"/>
      <charset val="0"/>
      <scheme val="minor"/>
    </font>
    <font>
      <sz val="10"/>
      <name val="Arial"/>
      <charset val="134"/>
    </font>
    <font>
      <sz val="11"/>
      <color rgb="FF9C6500"/>
      <name val="等线"/>
      <charset val="0"/>
      <scheme val="minor"/>
    </font>
    <font>
      <sz val="11"/>
      <color rgb="FF006100"/>
      <name val="等线"/>
      <charset val="0"/>
      <scheme val="minor"/>
    </font>
    <font>
      <u/>
      <sz val="11"/>
      <color rgb="FF800080"/>
      <name val="等线"/>
      <charset val="0"/>
      <scheme val="minor"/>
    </font>
    <font>
      <i/>
      <sz val="11"/>
      <color rgb="FF7F7F7F"/>
      <name val="等线"/>
      <charset val="0"/>
      <scheme val="minor"/>
    </font>
    <font>
      <b/>
      <sz val="11"/>
      <color theme="3"/>
      <name val="等线"/>
      <charset val="134"/>
      <scheme val="minor"/>
    </font>
    <font>
      <b/>
      <sz val="11"/>
      <color rgb="FFFA7D00"/>
      <name val="等线"/>
      <charset val="0"/>
      <scheme val="minor"/>
    </font>
    <font>
      <b/>
      <sz val="18"/>
      <color theme="3"/>
      <name val="等线"/>
      <charset val="134"/>
      <scheme val="minor"/>
    </font>
    <font>
      <b/>
      <sz val="11"/>
      <color theme="1"/>
      <name val="等线"/>
      <charset val="0"/>
      <scheme val="minor"/>
    </font>
    <font>
      <b/>
      <sz val="11"/>
      <color rgb="FFFFFFFF"/>
      <name val="等线"/>
      <charset val="0"/>
      <scheme val="minor"/>
    </font>
    <font>
      <b/>
      <sz val="15"/>
      <color theme="3"/>
      <name val="等线"/>
      <charset val="134"/>
      <scheme val="minor"/>
    </font>
    <font>
      <sz val="8"/>
      <color indexed="8"/>
      <name val="Segoe UI Symbol"/>
      <charset val="134"/>
    </font>
    <font>
      <sz val="8"/>
      <color rgb="FF000000"/>
      <name val="Arial"/>
      <charset val="134"/>
    </font>
    <font>
      <sz val="8"/>
      <color indexed="8"/>
      <name val="宋体"/>
      <charset val="134"/>
    </font>
    <font>
      <sz val="8"/>
      <color indexed="8"/>
      <name val="Arial"/>
      <charset val="134"/>
    </font>
    <font>
      <sz val="8"/>
      <color rgb="FF000000"/>
      <name val="Arial"/>
      <charset val="134"/>
    </font>
    <font>
      <sz val="8"/>
      <color rgb="FF000000"/>
      <name val="Segoe UI Symbol"/>
      <charset val="134"/>
    </font>
    <font>
      <sz val="8"/>
      <color indexed="8"/>
      <name val="微软雅黑"/>
      <charset val="134"/>
    </font>
    <font>
      <sz val="8"/>
      <color rgb="FF000000"/>
      <name val="Segoe UI Symbol"/>
      <charset val="134"/>
    </font>
    <font>
      <sz val="8"/>
      <color rgb="FF000000"/>
      <name val="宋体"/>
      <charset val="134"/>
    </font>
    <font>
      <sz val="11"/>
      <color theme="1"/>
      <name val="Segoe UI Symbol"/>
      <charset val="134"/>
    </font>
    <font>
      <sz val="8"/>
      <color theme="1"/>
      <name val="等线"/>
      <charset val="134"/>
    </font>
    <font>
      <b/>
      <sz val="8"/>
      <color indexed="9"/>
      <name val="微软雅黑"/>
      <charset val="134"/>
    </font>
    <font>
      <b/>
      <sz val="8"/>
      <color indexed="9"/>
      <name val="Arial"/>
      <charset val="134"/>
    </font>
    <font>
      <b/>
      <sz val="9"/>
      <name val="宋体"/>
      <charset val="134"/>
    </font>
    <font>
      <sz val="9"/>
      <color theme="1"/>
      <name val="等线"/>
      <charset val="134"/>
    </font>
    <font>
      <sz val="9"/>
      <color theme="1"/>
      <name val="等线"/>
      <charset val="134"/>
    </font>
    <font>
      <sz val="9"/>
      <color indexed="8"/>
      <name val="Segoe UI Symbol"/>
      <charset val="134"/>
    </font>
    <font>
      <sz val="9"/>
      <color rgb="FF000000"/>
      <name val="Arial"/>
      <charset val="134"/>
    </font>
    <font>
      <sz val="9"/>
      <color indexed="8"/>
      <name val="宋体"/>
      <charset val="134"/>
    </font>
    <font>
      <sz val="9"/>
      <color rgb="FF000000"/>
      <name val="Segoe UI Symbol"/>
      <charset val="134"/>
    </font>
    <font>
      <sz val="9"/>
      <color theme="1"/>
      <name val="Segoe UI Symbol"/>
      <charset val="134"/>
    </font>
    <font>
      <sz val="9"/>
      <color theme="1"/>
      <name val="宋体"/>
      <charset val="134"/>
    </font>
    <font>
      <sz val="9"/>
      <color indexed="8"/>
      <name val="微软雅黑"/>
      <charset val="134"/>
    </font>
    <font>
      <sz val="9"/>
      <color rgb="FF000000"/>
      <name val="Segoe UI Symbol"/>
      <charset val="134"/>
    </font>
    <font>
      <sz val="9"/>
      <color rgb="FF000000"/>
      <name val="宋体"/>
      <charset val="134"/>
    </font>
    <font>
      <sz val="9"/>
      <color theme="1"/>
      <name val="Segoe UI Symbol"/>
      <charset val="134"/>
    </font>
    <font>
      <sz val="9"/>
      <color theme="1"/>
      <name val="Calibri"/>
      <charset val="161"/>
    </font>
    <font>
      <sz val="9"/>
      <color theme="1"/>
      <name val="Segoe UI Symbol"/>
      <charset val="134"/>
    </font>
    <font>
      <sz val="9"/>
      <color indexed="12"/>
      <name val="宋体"/>
      <charset val="134"/>
    </font>
    <font>
      <sz val="9"/>
      <color indexed="12"/>
      <name val="Arial"/>
      <charset val="134"/>
    </font>
  </fonts>
  <fills count="53">
    <fill>
      <patternFill patternType="none"/>
    </fill>
    <fill>
      <patternFill patternType="gray125"/>
    </fill>
    <fill>
      <patternFill patternType="solid">
        <fgColor theme="0" tint="-0.499984740745262"/>
        <bgColor indexed="64"/>
      </patternFill>
    </fill>
    <fill>
      <patternFill patternType="solid">
        <fgColor theme="0" tint="-0.149998474074526"/>
        <bgColor indexed="64"/>
      </patternFill>
    </fill>
    <fill>
      <patternFill patternType="solid">
        <fgColor theme="0" tint="-0.0499893185216834"/>
        <bgColor indexed="64"/>
      </patternFill>
    </fill>
    <fill>
      <patternFill patternType="solid">
        <fgColor theme="8" tint="0.799981688894314"/>
        <bgColor theme="8" tint="0.799981688894314"/>
      </patternFill>
    </fill>
    <fill>
      <patternFill patternType="solid">
        <fgColor rgb="FFFFFF00"/>
        <bgColor indexed="64"/>
      </patternFill>
    </fill>
    <fill>
      <patternFill patternType="solid">
        <fgColor rgb="FF00B0F0"/>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8"/>
        <bgColor theme="8"/>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3" tint="0.599993896298105"/>
        <bgColor indexed="64"/>
      </patternFill>
    </fill>
    <fill>
      <patternFill patternType="solid">
        <fgColor rgb="FF0070C0"/>
        <bgColor indexed="64"/>
      </patternFill>
    </fill>
    <fill>
      <patternFill patternType="solid">
        <fgColor theme="9"/>
        <bgColor indexed="64"/>
      </patternFill>
    </fill>
    <fill>
      <patternFill patternType="solid">
        <fgColor theme="4"/>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rgb="FFFFC7CE"/>
        <bgColor indexed="64"/>
      </patternFill>
    </fill>
    <fill>
      <patternFill patternType="solid">
        <fgColor theme="9" tint="0.599993896298105"/>
        <bgColor indexed="64"/>
      </patternFill>
    </fill>
    <fill>
      <patternFill patternType="solid">
        <fgColor rgb="FFF2F2F2"/>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rgb="FFFFCC99"/>
        <bgColor indexed="64"/>
      </patternFill>
    </fill>
    <fill>
      <patternFill patternType="solid">
        <fgColor theme="5"/>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rgb="FFFFFFCC"/>
        <bgColor indexed="64"/>
      </patternFill>
    </fill>
    <fill>
      <patternFill patternType="solid">
        <fgColor theme="6" tint="0.399975585192419"/>
        <bgColor indexed="64"/>
      </patternFill>
    </fill>
    <fill>
      <patternFill patternType="solid">
        <fgColor theme="8" tint="0.399975585192419"/>
        <bgColor indexed="64"/>
      </patternFill>
    </fill>
    <fill>
      <patternFill patternType="solid">
        <fgColor theme="6"/>
        <bgColor indexed="64"/>
      </patternFill>
    </fill>
    <fill>
      <patternFill patternType="solid">
        <fgColor rgb="FFFFEB9C"/>
        <bgColor indexed="64"/>
      </patternFill>
    </fill>
    <fill>
      <patternFill patternType="solid">
        <fgColor rgb="FFC6EFCE"/>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8" tint="0.599993896298105"/>
        <bgColor indexed="64"/>
      </patternFill>
    </fill>
    <fill>
      <patternFill patternType="solid">
        <fgColor theme="7"/>
        <bgColor indexed="64"/>
      </patternFill>
    </fill>
    <fill>
      <patternFill patternType="solid">
        <fgColor theme="9" tint="0.399975585192419"/>
        <bgColor indexed="64"/>
      </patternFill>
    </fill>
    <fill>
      <patternFill patternType="solid">
        <fgColor theme="8"/>
        <bgColor indexed="64"/>
      </patternFill>
    </fill>
    <fill>
      <patternFill patternType="solid">
        <fgColor theme="7" tint="0.599993896298105"/>
        <bgColor indexed="64"/>
      </patternFill>
    </fill>
    <fill>
      <patternFill patternType="solid">
        <fgColor rgb="FFA5A5A5"/>
        <bgColor indexed="64"/>
      </patternFill>
    </fill>
  </fills>
  <borders count="91">
    <border>
      <left/>
      <right/>
      <top/>
      <bottom/>
      <diagonal/>
    </border>
    <border>
      <left style="thin">
        <color theme="0"/>
      </left>
      <right/>
      <top style="thin">
        <color theme="0"/>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medium">
        <color rgb="FF00B0F0"/>
      </left>
      <right/>
      <top style="medium">
        <color rgb="FF00B0F0"/>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style="thin">
        <color rgb="FF00B0F0"/>
      </top>
      <bottom style="thin">
        <color rgb="FF00B0F0"/>
      </bottom>
      <diagonal/>
    </border>
    <border>
      <left style="thin">
        <color auto="1"/>
      </left>
      <right style="thin">
        <color auto="1"/>
      </right>
      <top style="thin">
        <color auto="1"/>
      </top>
      <bottom style="thin">
        <color auto="1"/>
      </bottom>
      <diagonal/>
    </border>
    <border>
      <left/>
      <right style="thin">
        <color rgb="FF00B0F0"/>
      </right>
      <top/>
      <bottom/>
      <diagonal/>
    </border>
    <border>
      <left/>
      <right/>
      <top/>
      <bottom style="thin">
        <color rgb="FF00B0F0"/>
      </bottom>
      <diagonal/>
    </border>
    <border>
      <left style="thin">
        <color rgb="FF00B0F0"/>
      </left>
      <right style="thin">
        <color rgb="FF00B0F0"/>
      </right>
      <top style="thin">
        <color rgb="FF00B0F0"/>
      </top>
      <bottom style="thin">
        <color rgb="FF00B0F0"/>
      </bottom>
      <diagonal/>
    </border>
    <border>
      <left/>
      <right/>
      <top style="thin">
        <color rgb="FF00B0F0"/>
      </top>
      <bottom/>
      <diagonal/>
    </border>
    <border>
      <left style="medium">
        <color rgb="FF00B0F0"/>
      </left>
      <right/>
      <top style="medium">
        <color rgb="FF00B0F0"/>
      </top>
      <bottom style="medium">
        <color rgb="FF00B0F0"/>
      </bottom>
      <diagonal/>
    </border>
    <border>
      <left/>
      <right/>
      <top style="medium">
        <color rgb="FF00B0F0"/>
      </top>
      <bottom style="medium">
        <color rgb="FF00B0F0"/>
      </bottom>
      <diagonal/>
    </border>
    <border>
      <left style="medium">
        <color rgb="FF00B0F0"/>
      </left>
      <right/>
      <top style="medium">
        <color rgb="FF00B0F0"/>
      </top>
      <bottom style="thin">
        <color rgb="FF00B0F0"/>
      </bottom>
      <diagonal/>
    </border>
    <border>
      <left/>
      <right/>
      <top style="medium">
        <color rgb="FF00B0F0"/>
      </top>
      <bottom style="thin">
        <color rgb="FF00B0F0"/>
      </bottom>
      <diagonal/>
    </border>
    <border>
      <left/>
      <right/>
      <top style="medium">
        <color rgb="FF00B0F0"/>
      </top>
      <bottom/>
      <diagonal/>
    </border>
    <border>
      <left style="medium">
        <color rgb="FF00B0F0"/>
      </left>
      <right/>
      <top style="thin">
        <color rgb="FF00B0F0"/>
      </top>
      <bottom style="thin">
        <color rgb="FF00B0F0"/>
      </bottom>
      <diagonal/>
    </border>
    <border>
      <left/>
      <right style="medium">
        <color rgb="FF00B0F0"/>
      </right>
      <top style="medium">
        <color rgb="FF00B0F0"/>
      </top>
      <bottom style="medium">
        <color rgb="FF00B0F0"/>
      </bottom>
      <diagonal/>
    </border>
    <border>
      <left/>
      <right style="medium">
        <color rgb="FF00B0F0"/>
      </right>
      <top style="medium">
        <color rgb="FF00B0F0"/>
      </top>
      <bottom/>
      <diagonal/>
    </border>
    <border>
      <left/>
      <right style="medium">
        <color rgb="FF00B0F0"/>
      </right>
      <top style="thin">
        <color rgb="FF00B0F0"/>
      </top>
      <bottom style="thin">
        <color rgb="FF00B0F0"/>
      </bottom>
      <diagonal/>
    </border>
    <border>
      <left style="medium">
        <color rgb="FF00B0F0"/>
      </left>
      <right/>
      <top style="thin">
        <color rgb="FF00B0F0"/>
      </top>
      <bottom/>
      <diagonal/>
    </border>
    <border>
      <left/>
      <right style="thin">
        <color rgb="FF00B0F0"/>
      </right>
      <top style="thin">
        <color rgb="FF00B0F0"/>
      </top>
      <bottom/>
      <diagonal/>
    </border>
    <border>
      <left style="thin">
        <color rgb="FF00B0F0"/>
      </left>
      <right/>
      <top style="thin">
        <color rgb="FF00B0F0"/>
      </top>
      <bottom/>
      <diagonal/>
    </border>
    <border>
      <left style="medium">
        <color rgb="FF00B0F0"/>
      </left>
      <right/>
      <top style="thin">
        <color rgb="FF00B0F0"/>
      </top>
      <bottom style="medium">
        <color rgb="FF00B0F0"/>
      </bottom>
      <diagonal/>
    </border>
    <border>
      <left/>
      <right/>
      <top style="thin">
        <color rgb="FF00B0F0"/>
      </top>
      <bottom style="medium">
        <color rgb="FF00B0F0"/>
      </bottom>
      <diagonal/>
    </border>
    <border>
      <left style="thin">
        <color rgb="FF00B0F0"/>
      </left>
      <right/>
      <top style="thin">
        <color rgb="FF00B0F0"/>
      </top>
      <bottom style="medium">
        <color rgb="FF00B0F0"/>
      </bottom>
      <diagonal/>
    </border>
    <border>
      <left/>
      <right style="medium">
        <color rgb="FF00B0F0"/>
      </right>
      <top style="thin">
        <color rgb="FF00B0F0"/>
      </top>
      <bottom/>
      <diagonal/>
    </border>
    <border>
      <left/>
      <right style="thin">
        <color rgb="FF00B0F0"/>
      </right>
      <top style="thin">
        <color rgb="FF00B0F0"/>
      </top>
      <bottom style="medium">
        <color rgb="FF00B0F0"/>
      </bottom>
      <diagonal/>
    </border>
    <border>
      <left/>
      <right style="medium">
        <color rgb="FF00B0F0"/>
      </right>
      <top style="thin">
        <color rgb="FF00B0F0"/>
      </top>
      <bottom style="medium">
        <color rgb="FF00B0F0"/>
      </bottom>
      <diagonal/>
    </border>
    <border>
      <left/>
      <right/>
      <top/>
      <bottom style="medium">
        <color rgb="FF00B0F0"/>
      </bottom>
      <diagonal/>
    </border>
    <border>
      <left style="medium">
        <color rgb="FF00B0F0"/>
      </left>
      <right style="thin">
        <color rgb="FF00B0F0"/>
      </right>
      <top style="medium">
        <color rgb="FF00B0F0"/>
      </top>
      <bottom style="thin">
        <color rgb="FF00B0F0"/>
      </bottom>
      <diagonal/>
    </border>
    <border>
      <left style="thin">
        <color rgb="FF00B0F0"/>
      </left>
      <right style="thin">
        <color rgb="FF00B0F0"/>
      </right>
      <top style="medium">
        <color rgb="FF00B0F0"/>
      </top>
      <bottom style="thin">
        <color rgb="FF00B0F0"/>
      </bottom>
      <diagonal/>
    </border>
    <border>
      <left style="medium">
        <color rgb="FF00B0F0"/>
      </left>
      <right style="thin">
        <color rgb="FF00B0F0"/>
      </right>
      <top style="thin">
        <color rgb="FF00B0F0"/>
      </top>
      <bottom style="medium">
        <color rgb="FF00B0F0"/>
      </bottom>
      <diagonal/>
    </border>
    <border>
      <left style="thin">
        <color rgb="FF00B0F0"/>
      </left>
      <right style="thin">
        <color rgb="FF00B0F0"/>
      </right>
      <top style="thin">
        <color rgb="FF00B0F0"/>
      </top>
      <bottom style="medium">
        <color rgb="FF00B0F0"/>
      </bottom>
      <diagonal/>
    </border>
    <border>
      <left style="medium">
        <color rgb="FF00B0F0"/>
      </left>
      <right style="thin">
        <color rgb="FF00B0F0"/>
      </right>
      <top style="thin">
        <color rgb="FF00B0F0"/>
      </top>
      <bottom style="thin">
        <color rgb="FF00B0F0"/>
      </bottom>
      <diagonal/>
    </border>
    <border>
      <left style="thin">
        <color rgb="FF00B0F0"/>
      </left>
      <right style="medium">
        <color rgb="FF00B0F0"/>
      </right>
      <top style="medium">
        <color rgb="FF00B0F0"/>
      </top>
      <bottom style="thin">
        <color rgb="FF00B0F0"/>
      </bottom>
      <diagonal/>
    </border>
    <border>
      <left style="thin">
        <color rgb="FF00B0F0"/>
      </left>
      <right style="medium">
        <color rgb="FF00B0F0"/>
      </right>
      <top style="thin">
        <color rgb="FF00B0F0"/>
      </top>
      <bottom style="medium">
        <color rgb="FF00B0F0"/>
      </bottom>
      <diagonal/>
    </border>
    <border>
      <left style="thin">
        <color rgb="FF00B0F0"/>
      </left>
      <right style="medium">
        <color rgb="FF00B0F0"/>
      </right>
      <top style="thin">
        <color rgb="FF00B0F0"/>
      </top>
      <bottom style="thin">
        <color rgb="FF00B0F0"/>
      </bottom>
      <diagonal/>
    </border>
    <border>
      <left style="thin">
        <color theme="8" tint="0.399975585192419"/>
      </left>
      <right/>
      <top style="thin">
        <color theme="8" tint="0.399975585192419"/>
      </top>
      <bottom style="thin">
        <color theme="8" tint="0.399975585192419"/>
      </bottom>
      <diagonal/>
    </border>
    <border>
      <left style="thin">
        <color theme="8" tint="0.399975585192419"/>
      </left>
      <right/>
      <top style="thin">
        <color theme="8" tint="0.399975585192419"/>
      </top>
      <bottom/>
      <diagonal/>
    </border>
    <border>
      <left/>
      <right style="thin">
        <color theme="8" tint="0.399975585192419"/>
      </right>
      <top style="thin">
        <color theme="8" tint="0.399975585192419"/>
      </top>
      <bottom style="thin">
        <color theme="8" tint="0.399975585192419"/>
      </bottom>
      <diagonal/>
    </border>
    <border>
      <left/>
      <right style="thin">
        <color theme="8" tint="0.399975585192419"/>
      </right>
      <top style="thin">
        <color theme="8" tint="0.399975585192419"/>
      </top>
      <bottom/>
      <diagonal/>
    </border>
    <border>
      <left style="medium">
        <color rgb="FF00B0F0"/>
      </left>
      <right style="thin">
        <color rgb="FF00B0F0"/>
      </right>
      <top/>
      <bottom style="thin">
        <color rgb="FF00B0F0"/>
      </bottom>
      <diagonal/>
    </border>
    <border>
      <left style="thin">
        <color rgb="FF00B0F0"/>
      </left>
      <right style="thin">
        <color rgb="FF00B0F0"/>
      </right>
      <top/>
      <bottom style="thin">
        <color rgb="FF00B0F0"/>
      </bottom>
      <diagonal/>
    </border>
    <border>
      <left style="thin">
        <color rgb="FF00B0F0"/>
      </left>
      <right style="medium">
        <color rgb="FF00B0F0"/>
      </right>
      <top/>
      <bottom style="thin">
        <color rgb="FF00B0F0"/>
      </bottom>
      <diagonal/>
    </border>
    <border>
      <left/>
      <right style="thin">
        <color rgb="FF00B0F0"/>
      </right>
      <top style="medium">
        <color rgb="FF00B0F0"/>
      </top>
      <bottom/>
      <diagonal/>
    </border>
    <border>
      <left style="thin">
        <color rgb="FF00B0F0"/>
      </left>
      <right style="thin">
        <color rgb="FF00B0F0"/>
      </right>
      <top style="medium">
        <color rgb="FF00B0F0"/>
      </top>
      <bottom/>
      <diagonal/>
    </border>
    <border>
      <left style="thin">
        <color rgb="FF00B0F0"/>
      </left>
      <right/>
      <top style="medium">
        <color rgb="FF00B0F0"/>
      </top>
      <bottom/>
      <diagonal/>
    </border>
    <border>
      <left style="medium">
        <color rgb="FF00B0F0"/>
      </left>
      <right/>
      <top/>
      <bottom/>
      <diagonal/>
    </border>
    <border>
      <left style="thin">
        <color rgb="FF00B0F0"/>
      </left>
      <right style="thin">
        <color rgb="FF00B0F0"/>
      </right>
      <top/>
      <bottom/>
      <diagonal/>
    </border>
    <border>
      <left style="thin">
        <color rgb="FF00B0F0"/>
      </left>
      <right/>
      <top/>
      <bottom/>
      <diagonal/>
    </border>
    <border>
      <left style="medium">
        <color rgb="FF00B0F0"/>
      </left>
      <right/>
      <top/>
      <bottom style="medium">
        <color rgb="FF00B0F0"/>
      </bottom>
      <diagonal/>
    </border>
    <border>
      <left/>
      <right style="thin">
        <color rgb="FF00B0F0"/>
      </right>
      <top/>
      <bottom style="medium">
        <color rgb="FF00B0F0"/>
      </bottom>
      <diagonal/>
    </border>
    <border>
      <left style="thin">
        <color rgb="FF00B0F0"/>
      </left>
      <right style="thin">
        <color rgb="FF00B0F0"/>
      </right>
      <top/>
      <bottom style="medium">
        <color rgb="FF00B0F0"/>
      </bottom>
      <diagonal/>
    </border>
    <border>
      <left style="thin">
        <color rgb="FF00B0F0"/>
      </left>
      <right/>
      <top/>
      <bottom style="medium">
        <color rgb="FF00B0F0"/>
      </bottom>
      <diagonal/>
    </border>
    <border>
      <left/>
      <right style="thin">
        <color rgb="FF00B0F0"/>
      </right>
      <top style="medium">
        <color rgb="FF00B0F0"/>
      </top>
      <bottom style="thin">
        <color rgb="FF00B0F0"/>
      </bottom>
      <diagonal/>
    </border>
    <border>
      <left style="thin">
        <color rgb="FF00B0F0"/>
      </left>
      <right/>
      <top style="medium">
        <color rgb="FF00B0F0"/>
      </top>
      <bottom style="thin">
        <color rgb="FF00B0F0"/>
      </bottom>
      <diagonal/>
    </border>
    <border>
      <left style="thin">
        <color rgb="FF00B0F0"/>
      </left>
      <right style="medium">
        <color rgb="FF00B0F0"/>
      </right>
      <top style="medium">
        <color rgb="FF00B0F0"/>
      </top>
      <bottom/>
      <diagonal/>
    </border>
    <border>
      <left style="thin">
        <color rgb="FF00B0F0"/>
      </left>
      <right style="medium">
        <color rgb="FF00B0F0"/>
      </right>
      <top/>
      <bottom/>
      <diagonal/>
    </border>
    <border>
      <left style="thin">
        <color rgb="FF00B0F0"/>
      </left>
      <right style="medium">
        <color rgb="FF00B0F0"/>
      </right>
      <top/>
      <bottom style="medium">
        <color rgb="FF00B0F0"/>
      </bottom>
      <diagonal/>
    </border>
    <border>
      <left style="medium">
        <color rgb="FF00B0F0"/>
      </left>
      <right style="thin">
        <color rgb="FF00B0F0"/>
      </right>
      <top style="medium">
        <color rgb="FF00B0F0"/>
      </top>
      <bottom/>
      <diagonal/>
    </border>
    <border>
      <left style="medium">
        <color rgb="FF00B0F0"/>
      </left>
      <right style="thin">
        <color rgb="FF00B0F0"/>
      </right>
      <top/>
      <bottom/>
      <diagonal/>
    </border>
    <border>
      <left style="medium">
        <color rgb="FF00B0F0"/>
      </left>
      <right style="thin">
        <color rgb="FF00B0F0"/>
      </right>
      <top style="thin">
        <color rgb="FF00B0F0"/>
      </top>
      <bottom/>
      <diagonal/>
    </border>
    <border>
      <left style="thin">
        <color rgb="FF00B0F0"/>
      </left>
      <right style="thin">
        <color rgb="FF00B0F0"/>
      </right>
      <top style="thin">
        <color rgb="FF00B0F0"/>
      </top>
      <bottom/>
      <diagonal/>
    </border>
    <border>
      <left style="thin">
        <color rgb="FF00B0F0"/>
      </left>
      <right style="medium">
        <color rgb="FF00B0F0"/>
      </right>
      <top style="thin">
        <color rgb="FF00B0F0"/>
      </top>
      <bottom/>
      <diagonal/>
    </border>
    <border>
      <left style="thin">
        <color rgb="FF00B0F0"/>
      </left>
      <right style="dotted">
        <color rgb="FF00B0F0"/>
      </right>
      <top style="thin">
        <color rgb="FF00B0F0"/>
      </top>
      <bottom style="dotted">
        <color rgb="FF00B0F0"/>
      </bottom>
      <diagonal/>
    </border>
    <border>
      <left style="dotted">
        <color rgb="FF00B0F0"/>
      </left>
      <right style="thin">
        <color rgb="FF00B0F0"/>
      </right>
      <top style="thin">
        <color rgb="FF00B0F0"/>
      </top>
      <bottom style="dotted">
        <color rgb="FF00B0F0"/>
      </bottom>
      <diagonal/>
    </border>
    <border>
      <left style="thin">
        <color rgb="FF00B0F0"/>
      </left>
      <right style="dotted">
        <color rgb="FF00B0F0"/>
      </right>
      <top style="dotted">
        <color rgb="FF00B0F0"/>
      </top>
      <bottom/>
      <diagonal/>
    </border>
    <border>
      <left style="dotted">
        <color rgb="FF00B0F0"/>
      </left>
      <right style="thin">
        <color rgb="FF00B0F0"/>
      </right>
      <top style="dotted">
        <color rgb="FF00B0F0"/>
      </top>
      <bottom/>
      <diagonal/>
    </border>
    <border>
      <left style="thin">
        <color rgb="FF00B0F0"/>
      </left>
      <right style="thin">
        <color rgb="FF00B0F0"/>
      </right>
      <top style="thin">
        <color rgb="FF00B0F0"/>
      </top>
      <bottom style="dotted">
        <color rgb="FF00B0F0"/>
      </bottom>
      <diagonal/>
    </border>
    <border>
      <left style="thin">
        <color rgb="FF00B0F0"/>
      </left>
      <right style="thin">
        <color rgb="FF00B0F0"/>
      </right>
      <top style="dotted">
        <color rgb="FF00B0F0"/>
      </top>
      <bottom style="dotted">
        <color rgb="FF00B0F0"/>
      </bottom>
      <diagonal/>
    </border>
    <border>
      <left style="thin">
        <color rgb="FF00B0F0"/>
      </left>
      <right/>
      <top style="dotted">
        <color rgb="FF00B0F0"/>
      </top>
      <bottom style="dotted">
        <color rgb="FF00B0F0"/>
      </bottom>
      <diagonal/>
    </border>
    <border>
      <left/>
      <right style="thin">
        <color rgb="FF00B0F0"/>
      </right>
      <top style="dotted">
        <color rgb="FF00B0F0"/>
      </top>
      <bottom style="dotted">
        <color rgb="FF00B0F0"/>
      </bottom>
      <diagonal/>
    </border>
    <border>
      <left style="thin">
        <color rgb="FF00B0F0"/>
      </left>
      <right/>
      <top style="dotted">
        <color rgb="FF00B0F0"/>
      </top>
      <bottom style="thin">
        <color rgb="FF00B0F0"/>
      </bottom>
      <diagonal/>
    </border>
    <border>
      <left/>
      <right style="thin">
        <color rgb="FF00B0F0"/>
      </right>
      <top style="dotted">
        <color rgb="FF00B0F0"/>
      </top>
      <bottom style="thin">
        <color rgb="FF00B0F0"/>
      </bottom>
      <diagonal/>
    </border>
    <border>
      <left style="thin">
        <color rgb="FF00B0F0"/>
      </left>
      <right style="thin">
        <color rgb="FF00B0F0"/>
      </right>
      <top style="dotted">
        <color rgb="FF00B0F0"/>
      </top>
      <bottom style="thin">
        <color rgb="FF00B0F0"/>
      </bottom>
      <diagonal/>
    </border>
    <border>
      <left style="medium">
        <color rgb="FF00B0F0"/>
      </left>
      <right style="medium">
        <color rgb="FF00B0F0"/>
      </right>
      <top style="medium">
        <color rgb="FF00B0F0"/>
      </top>
      <bottom style="medium">
        <color rgb="FF00B0F0"/>
      </bottom>
      <diagonal/>
    </border>
    <border>
      <left style="thin">
        <color rgb="FF00B0F0"/>
      </left>
      <right/>
      <top/>
      <bottom style="thin">
        <color rgb="FF00B0F0"/>
      </bottom>
      <diagonal/>
    </border>
    <border>
      <left style="double">
        <color rgb="FF0070C0"/>
      </left>
      <right/>
      <top style="double">
        <color rgb="FF0070C0"/>
      </top>
      <bottom style="double">
        <color rgb="FF0070C0"/>
      </bottom>
      <diagonal/>
    </border>
    <border>
      <left/>
      <right style="thin">
        <color rgb="FF00B0F0"/>
      </right>
      <top/>
      <bottom style="thin">
        <color rgb="FF00B0F0"/>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54">
    <xf numFmtId="0" fontId="0" fillId="0" borderId="0">
      <alignment vertical="center"/>
    </xf>
    <xf numFmtId="42" fontId="73" fillId="0" borderId="0" applyFont="0" applyFill="0" applyBorder="0" applyAlignment="0" applyProtection="0">
      <alignment vertical="center"/>
    </xf>
    <xf numFmtId="0" fontId="75" fillId="30" borderId="0" applyNumberFormat="0" applyBorder="0" applyAlignment="0" applyProtection="0">
      <alignment vertical="center"/>
    </xf>
    <xf numFmtId="0" fontId="81" fillId="31" borderId="85" applyNumberFormat="0" applyAlignment="0" applyProtection="0">
      <alignment vertical="center"/>
    </xf>
    <xf numFmtId="44" fontId="73" fillId="0" borderId="0" applyFont="0" applyFill="0" applyBorder="0" applyAlignment="0" applyProtection="0">
      <alignment vertical="center"/>
    </xf>
    <xf numFmtId="41" fontId="73" fillId="0" borderId="0" applyFont="0" applyFill="0" applyBorder="0" applyAlignment="0" applyProtection="0">
      <alignment vertical="center"/>
    </xf>
    <xf numFmtId="0" fontId="75" fillId="25" borderId="0" applyNumberFormat="0" applyBorder="0" applyAlignment="0" applyProtection="0">
      <alignment vertical="center"/>
    </xf>
    <xf numFmtId="0" fontId="78" fillId="26" borderId="0" applyNumberFormat="0" applyBorder="0" applyAlignment="0" applyProtection="0">
      <alignment vertical="center"/>
    </xf>
    <xf numFmtId="43" fontId="73" fillId="0" borderId="0" applyFont="0" applyFill="0" applyBorder="0" applyAlignment="0" applyProtection="0">
      <alignment vertical="center"/>
    </xf>
    <xf numFmtId="0" fontId="74" fillId="38" borderId="0" applyNumberFormat="0" applyBorder="0" applyAlignment="0" applyProtection="0">
      <alignment vertical="center"/>
    </xf>
    <xf numFmtId="0" fontId="80" fillId="0" borderId="0" applyNumberFormat="0" applyFill="0" applyBorder="0" applyAlignment="0" applyProtection="0">
      <alignment vertical="center"/>
    </xf>
    <xf numFmtId="9" fontId="0" fillId="0" borderId="0" applyFont="0" applyFill="0" applyBorder="0" applyAlignment="0" applyProtection="0">
      <alignment vertical="center"/>
    </xf>
    <xf numFmtId="0" fontId="86" fillId="0" borderId="0" applyNumberFormat="0" applyFill="0" applyBorder="0" applyAlignment="0" applyProtection="0">
      <alignment vertical="center"/>
    </xf>
    <xf numFmtId="0" fontId="73" fillId="37" borderId="87" applyNumberFormat="0" applyFont="0" applyAlignment="0" applyProtection="0">
      <alignment vertical="center"/>
    </xf>
    <xf numFmtId="0" fontId="74" fillId="34" borderId="0" applyNumberFormat="0" applyBorder="0" applyAlignment="0" applyProtection="0">
      <alignment vertical="center"/>
    </xf>
    <xf numFmtId="0" fontId="88"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87" fillId="0" borderId="0" applyNumberFormat="0" applyFill="0" applyBorder="0" applyAlignment="0" applyProtection="0">
      <alignment vertical="center"/>
    </xf>
    <xf numFmtId="0" fontId="93" fillId="0" borderId="83" applyNumberFormat="0" applyFill="0" applyAlignment="0" applyProtection="0">
      <alignment vertical="center"/>
    </xf>
    <xf numFmtId="0" fontId="76" fillId="0" borderId="83" applyNumberFormat="0" applyFill="0" applyAlignment="0" applyProtection="0">
      <alignment vertical="center"/>
    </xf>
    <xf numFmtId="0" fontId="74" fillId="43" borderId="0" applyNumberFormat="0" applyBorder="0" applyAlignment="0" applyProtection="0">
      <alignment vertical="center"/>
    </xf>
    <xf numFmtId="0" fontId="88" fillId="0" borderId="88" applyNumberFormat="0" applyFill="0" applyAlignment="0" applyProtection="0">
      <alignment vertical="center"/>
    </xf>
    <xf numFmtId="0" fontId="74" fillId="29" borderId="0" applyNumberFormat="0" applyBorder="0" applyAlignment="0" applyProtection="0">
      <alignment vertical="center"/>
    </xf>
    <xf numFmtId="0" fontId="79" fillId="28" borderId="84" applyNumberFormat="0" applyAlignment="0" applyProtection="0">
      <alignment vertical="center"/>
    </xf>
    <xf numFmtId="0" fontId="89" fillId="28" borderId="85" applyNumberFormat="0" applyAlignment="0" applyProtection="0">
      <alignment vertical="center"/>
    </xf>
    <xf numFmtId="0" fontId="92" fillId="52" borderId="90" applyNumberFormat="0" applyAlignment="0" applyProtection="0">
      <alignment vertical="center"/>
    </xf>
    <xf numFmtId="0" fontId="75" fillId="33" borderId="0" applyNumberFormat="0" applyBorder="0" applyAlignment="0" applyProtection="0">
      <alignment vertical="center"/>
    </xf>
    <xf numFmtId="0" fontId="74" fillId="32" borderId="0" applyNumberFormat="0" applyBorder="0" applyAlignment="0" applyProtection="0">
      <alignment vertical="center"/>
    </xf>
    <xf numFmtId="0" fontId="82" fillId="0" borderId="86" applyNumberFormat="0" applyFill="0" applyAlignment="0" applyProtection="0">
      <alignment vertical="center"/>
    </xf>
    <xf numFmtId="0" fontId="91" fillId="0" borderId="89" applyNumberFormat="0" applyFill="0" applyAlignment="0" applyProtection="0">
      <alignment vertical="center"/>
    </xf>
    <xf numFmtId="0" fontId="85" fillId="42" borderId="0" applyNumberFormat="0" applyBorder="0" applyAlignment="0" applyProtection="0">
      <alignment vertical="center"/>
    </xf>
    <xf numFmtId="0" fontId="84" fillId="41" borderId="0" applyNumberFormat="0" applyBorder="0" applyAlignment="0" applyProtection="0">
      <alignment vertical="center"/>
    </xf>
    <xf numFmtId="0" fontId="75" fillId="24" borderId="0" applyNumberFormat="0" applyBorder="0" applyAlignment="0" applyProtection="0">
      <alignment vertical="center"/>
    </xf>
    <xf numFmtId="0" fontId="74" fillId="23" borderId="0" applyNumberFormat="0" applyBorder="0" applyAlignment="0" applyProtection="0">
      <alignment vertical="center"/>
    </xf>
    <xf numFmtId="0" fontId="75" fillId="36" borderId="0" applyNumberFormat="0" applyBorder="0" applyAlignment="0" applyProtection="0">
      <alignment vertical="center"/>
    </xf>
    <xf numFmtId="0" fontId="75" fillId="46" borderId="0" applyNumberFormat="0" applyBorder="0" applyAlignment="0" applyProtection="0">
      <alignment vertical="center"/>
    </xf>
    <xf numFmtId="0" fontId="75" fillId="45" borderId="0" applyNumberFormat="0" applyBorder="0" applyAlignment="0" applyProtection="0">
      <alignment vertical="center"/>
    </xf>
    <xf numFmtId="0" fontId="75" fillId="35" borderId="0" applyNumberFormat="0" applyBorder="0" applyAlignment="0" applyProtection="0">
      <alignment vertical="center"/>
    </xf>
    <xf numFmtId="0" fontId="74" fillId="40" borderId="0" applyNumberFormat="0" applyBorder="0" applyAlignment="0" applyProtection="0">
      <alignment vertical="center"/>
    </xf>
    <xf numFmtId="0" fontId="74" fillId="48" borderId="0" applyNumberFormat="0" applyBorder="0" applyAlignment="0" applyProtection="0">
      <alignment vertical="center"/>
    </xf>
    <xf numFmtId="0" fontId="75" fillId="44" borderId="0" applyNumberFormat="0" applyBorder="0" applyAlignment="0" applyProtection="0">
      <alignment vertical="center"/>
    </xf>
    <xf numFmtId="0" fontId="75" fillId="51" borderId="0" applyNumberFormat="0" applyBorder="0" applyAlignment="0" applyProtection="0">
      <alignment vertical="center"/>
    </xf>
    <xf numFmtId="0" fontId="74" fillId="50" borderId="0" applyNumberFormat="0" applyBorder="0" applyAlignment="0" applyProtection="0">
      <alignment vertical="center"/>
    </xf>
    <xf numFmtId="0" fontId="75" fillId="47" borderId="0" applyNumberFormat="0" applyBorder="0" applyAlignment="0" applyProtection="0">
      <alignment vertical="center"/>
    </xf>
    <xf numFmtId="0" fontId="83" fillId="0" borderId="0"/>
    <xf numFmtId="0" fontId="74" fillId="39" borderId="0" applyNumberFormat="0" applyBorder="0" applyAlignment="0" applyProtection="0">
      <alignment vertical="center"/>
    </xf>
    <xf numFmtId="0" fontId="74" fillId="22" borderId="0" applyNumberFormat="0" applyBorder="0" applyAlignment="0" applyProtection="0">
      <alignment vertical="center"/>
    </xf>
    <xf numFmtId="0" fontId="75" fillId="27" borderId="0" applyNumberFormat="0" applyBorder="0" applyAlignment="0" applyProtection="0">
      <alignment vertical="center"/>
    </xf>
    <xf numFmtId="0" fontId="74" fillId="49" borderId="0" applyNumberFormat="0" applyBorder="0" applyAlignment="0" applyProtection="0">
      <alignment vertical="center"/>
    </xf>
    <xf numFmtId="0" fontId="50" fillId="0" borderId="0"/>
    <xf numFmtId="0" fontId="50" fillId="0" borderId="0">
      <alignment vertical="center"/>
    </xf>
    <xf numFmtId="0" fontId="0" fillId="0" borderId="0"/>
    <xf numFmtId="0" fontId="0" fillId="0" borderId="0"/>
  </cellStyleXfs>
  <cellXfs count="789">
    <xf numFmtId="0" fontId="0" fillId="0" borderId="0" xfId="0">
      <alignment vertical="center"/>
    </xf>
    <xf numFmtId="0" fontId="1" fillId="2" borderId="0" xfId="52" applyFont="1" applyFill="1"/>
    <xf numFmtId="0" fontId="2" fillId="0" borderId="0" xfId="52" applyFont="1"/>
    <xf numFmtId="0" fontId="3" fillId="3" borderId="0" xfId="52" applyFont="1" applyFill="1"/>
    <xf numFmtId="0" fontId="3" fillId="4" borderId="0" xfId="52" applyFont="1" applyFill="1"/>
    <xf numFmtId="0" fontId="3" fillId="0" borderId="0" xfId="51" applyFont="1">
      <alignment vertical="center"/>
    </xf>
    <xf numFmtId="0" fontId="4" fillId="0" borderId="0" xfId="52" applyFont="1" applyAlignment="1">
      <alignment vertical="center"/>
    </xf>
    <xf numFmtId="0" fontId="4" fillId="0" borderId="0" xfId="52" applyFont="1"/>
    <xf numFmtId="177" fontId="4" fillId="0" borderId="0" xfId="52" applyNumberFormat="1" applyFont="1"/>
    <xf numFmtId="0" fontId="5" fillId="0" borderId="0" xfId="52" applyFont="1"/>
    <xf numFmtId="14" fontId="4" fillId="0" borderId="0" xfId="52" applyNumberFormat="1" applyFont="1"/>
    <xf numFmtId="14" fontId="2" fillId="0" borderId="0" xfId="52" applyNumberFormat="1" applyFont="1"/>
    <xf numFmtId="0" fontId="3" fillId="0" borderId="0" xfId="51" applyFont="1" applyFill="1">
      <alignment vertical="center"/>
    </xf>
    <xf numFmtId="0" fontId="6" fillId="4" borderId="0" xfId="52" applyFont="1" applyFill="1"/>
    <xf numFmtId="0" fontId="6" fillId="3" borderId="0" xfId="52" applyFont="1" applyFill="1"/>
    <xf numFmtId="0" fontId="6" fillId="0" borderId="0" xfId="52" applyFont="1"/>
    <xf numFmtId="0" fontId="7" fillId="0" borderId="0" xfId="51" applyFont="1">
      <alignment vertical="center"/>
    </xf>
    <xf numFmtId="0" fontId="3" fillId="0" borderId="0" xfId="52" applyFont="1" applyAlignment="1">
      <alignment horizontal="left" vertical="center"/>
    </xf>
    <xf numFmtId="0" fontId="8" fillId="0" borderId="0" xfId="52" applyFont="1" applyAlignment="1">
      <alignment horizontal="left" vertical="center"/>
    </xf>
    <xf numFmtId="0" fontId="3" fillId="0" borderId="0" xfId="52" applyFont="1" applyAlignment="1">
      <alignment vertical="center"/>
    </xf>
    <xf numFmtId="0" fontId="8" fillId="0" borderId="0" xfId="52" applyFont="1" applyAlignment="1">
      <alignment vertical="center"/>
    </xf>
    <xf numFmtId="0" fontId="9" fillId="0" borderId="0" xfId="52" applyFont="1" applyAlignment="1">
      <alignment vertical="center"/>
    </xf>
    <xf numFmtId="0" fontId="3" fillId="5" borderId="1" xfId="52" applyFont="1" applyFill="1" applyBorder="1"/>
    <xf numFmtId="0" fontId="3" fillId="6" borderId="0" xfId="52" applyFont="1" applyFill="1" applyAlignment="1">
      <alignment horizontal="left" vertical="center"/>
    </xf>
    <xf numFmtId="0" fontId="8" fillId="6" borderId="0" xfId="52" applyFont="1" applyFill="1" applyAlignment="1">
      <alignment horizontal="left" vertical="center"/>
    </xf>
    <xf numFmtId="0" fontId="10" fillId="0" borderId="0" xfId="0" applyFont="1" applyFill="1" applyAlignment="1">
      <alignment vertical="center" textRotation="255"/>
    </xf>
    <xf numFmtId="0" fontId="11" fillId="0" borderId="0" xfId="0" applyFont="1" applyFill="1" applyAlignment="1"/>
    <xf numFmtId="0" fontId="0" fillId="0" borderId="0" xfId="0" applyFill="1">
      <alignment vertical="center"/>
    </xf>
    <xf numFmtId="0" fontId="6" fillId="0" borderId="0" xfId="0" applyFont="1" applyFill="1" applyAlignment="1"/>
    <xf numFmtId="0" fontId="2" fillId="0" borderId="0" xfId="52" applyFont="1" applyFill="1"/>
    <xf numFmtId="0" fontId="10" fillId="0" borderId="0" xfId="0" applyFont="1" applyFill="1" applyAlignment="1">
      <alignment wrapText="1"/>
    </xf>
    <xf numFmtId="0" fontId="2" fillId="0" borderId="0" xfId="0" applyFont="1" applyFill="1">
      <alignment vertical="center"/>
    </xf>
    <xf numFmtId="0" fontId="8" fillId="0" borderId="0" xfId="51" applyFont="1">
      <alignment vertical="center"/>
    </xf>
    <xf numFmtId="0" fontId="6" fillId="4" borderId="0" xfId="0" applyFont="1" applyFill="1" applyAlignment="1"/>
    <xf numFmtId="0" fontId="6" fillId="3" borderId="0" xfId="0" applyFont="1" applyFill="1" applyAlignment="1"/>
    <xf numFmtId="0" fontId="6" fillId="0" borderId="0" xfId="0" applyFont="1" applyFill="1" applyAlignment="1">
      <alignment wrapText="1"/>
    </xf>
    <xf numFmtId="0" fontId="10" fillId="0" borderId="0" xfId="0" applyFont="1" applyFill="1" applyAlignment="1">
      <alignment horizontal="center" vertical="center" textRotation="255"/>
    </xf>
    <xf numFmtId="0" fontId="12" fillId="0" borderId="0" xfId="0" applyFont="1" applyFill="1">
      <alignment vertical="center"/>
    </xf>
    <xf numFmtId="0" fontId="6" fillId="0" borderId="0" xfId="0" applyFont="1" applyFill="1">
      <alignment vertical="center"/>
    </xf>
    <xf numFmtId="0" fontId="13" fillId="0" borderId="0" xfId="0" applyFont="1">
      <alignment vertical="center"/>
    </xf>
    <xf numFmtId="0" fontId="13" fillId="0" borderId="2" xfId="0" applyFont="1" applyBorder="1">
      <alignment vertical="center"/>
    </xf>
    <xf numFmtId="0" fontId="13" fillId="0" borderId="3" xfId="0" applyFont="1" applyBorder="1">
      <alignment vertical="center"/>
    </xf>
    <xf numFmtId="0" fontId="13" fillId="0" borderId="4" xfId="0" applyFont="1" applyBorder="1">
      <alignment vertical="center"/>
    </xf>
    <xf numFmtId="0" fontId="13" fillId="0" borderId="5" xfId="0" applyFont="1" applyBorder="1">
      <alignment vertical="center"/>
    </xf>
    <xf numFmtId="0" fontId="13" fillId="0" borderId="6" xfId="0" applyFont="1" applyBorder="1">
      <alignment vertical="center"/>
    </xf>
    <xf numFmtId="0" fontId="13" fillId="0" borderId="7" xfId="0" applyFont="1" applyBorder="1">
      <alignment vertical="center"/>
    </xf>
    <xf numFmtId="0" fontId="3" fillId="0" borderId="0" xfId="0" applyFont="1" applyAlignment="1">
      <alignment horizontal="right" vertical="center"/>
    </xf>
    <xf numFmtId="0" fontId="3" fillId="0" borderId="0" xfId="0" applyFont="1">
      <alignment vertical="center"/>
    </xf>
    <xf numFmtId="0" fontId="13" fillId="0" borderId="8" xfId="0" applyFont="1" applyBorder="1">
      <alignment vertical="center"/>
    </xf>
    <xf numFmtId="0" fontId="13" fillId="0" borderId="5" xfId="0" applyFont="1" applyBorder="1" applyAlignment="1">
      <alignment horizontal="center"/>
    </xf>
    <xf numFmtId="0" fontId="0" fillId="0" borderId="0" xfId="0" applyNumberFormat="1">
      <alignment vertical="center"/>
    </xf>
    <xf numFmtId="0" fontId="14" fillId="0" borderId="0" xfId="0" applyFont="1" applyAlignment="1">
      <alignment horizontal="left" vertical="center" wrapText="1"/>
    </xf>
    <xf numFmtId="0" fontId="15" fillId="0" borderId="0" xfId="0" applyFont="1">
      <alignment vertical="center"/>
    </xf>
    <xf numFmtId="0" fontId="0" fillId="0" borderId="9" xfId="0" applyBorder="1">
      <alignment vertical="center"/>
    </xf>
    <xf numFmtId="0" fontId="3" fillId="0" borderId="9" xfId="51" applyFont="1" applyBorder="1">
      <alignment vertical="center"/>
    </xf>
    <xf numFmtId="0" fontId="16" fillId="0" borderId="0" xfId="0" applyFont="1" applyAlignment="1" applyProtection="1">
      <protection locked="0"/>
    </xf>
    <xf numFmtId="0" fontId="17" fillId="0" borderId="0" xfId="0" applyFont="1" applyAlignment="1" applyProtection="1">
      <protection locked="0"/>
    </xf>
    <xf numFmtId="0" fontId="18" fillId="0" borderId="0" xfId="0" applyFont="1" applyAlignment="1" applyProtection="1">
      <protection locked="0"/>
    </xf>
    <xf numFmtId="0" fontId="19" fillId="0" borderId="0" xfId="0" applyFont="1" applyAlignment="1" applyProtection="1">
      <protection locked="0"/>
    </xf>
    <xf numFmtId="0" fontId="3" fillId="0" borderId="9" xfId="51" applyFont="1" applyFill="1" applyBorder="1">
      <alignment vertical="center"/>
    </xf>
    <xf numFmtId="0" fontId="7" fillId="0" borderId="9" xfId="51" applyFont="1" applyBorder="1">
      <alignment vertical="center"/>
    </xf>
    <xf numFmtId="0" fontId="2" fillId="0" borderId="9" xfId="52" applyFont="1" applyBorder="1"/>
    <xf numFmtId="0" fontId="3" fillId="0" borderId="9" xfId="52" applyFont="1" applyBorder="1"/>
    <xf numFmtId="0" fontId="6" fillId="6" borderId="0" xfId="0" applyFont="1" applyFill="1" applyAlignment="1"/>
    <xf numFmtId="0" fontId="15" fillId="6" borderId="0" xfId="0" applyFont="1" applyFill="1">
      <alignment vertical="center"/>
    </xf>
    <xf numFmtId="0" fontId="6" fillId="0" borderId="9" xfId="0" applyFont="1" applyFill="1" applyBorder="1" applyAlignment="1">
      <alignment horizontal="center"/>
    </xf>
    <xf numFmtId="176" fontId="3" fillId="0" borderId="9" xfId="52" applyNumberFormat="1" applyFont="1" applyBorder="1"/>
    <xf numFmtId="180" fontId="20" fillId="0" borderId="9" xfId="52" applyNumberFormat="1" applyFont="1" applyBorder="1"/>
    <xf numFmtId="182" fontId="20" fillId="0" borderId="9" xfId="52" applyNumberFormat="1" applyFont="1" applyBorder="1"/>
    <xf numFmtId="49" fontId="0" fillId="0" borderId="0" xfId="0" applyNumberFormat="1">
      <alignment vertical="center"/>
    </xf>
    <xf numFmtId="0" fontId="21" fillId="0" borderId="0" xfId="0" applyFont="1">
      <alignment vertical="center"/>
    </xf>
    <xf numFmtId="0" fontId="22" fillId="0" borderId="0" xfId="0" applyFont="1">
      <alignment vertical="center"/>
    </xf>
    <xf numFmtId="0" fontId="23" fillId="0" borderId="0" xfId="0" applyFont="1">
      <alignment vertical="center"/>
    </xf>
    <xf numFmtId="0" fontId="24" fillId="0" borderId="0" xfId="0" applyFont="1" applyAlignment="1">
      <alignment horizontal="left" vertical="center" wrapText="1" indent="1"/>
    </xf>
    <xf numFmtId="0" fontId="24" fillId="0" borderId="10" xfId="0" applyFont="1" applyBorder="1" applyAlignment="1">
      <alignment horizontal="left" vertical="center" wrapText="1" indent="1"/>
    </xf>
    <xf numFmtId="0" fontId="3" fillId="0" borderId="2" xfId="0" applyFont="1" applyBorder="1">
      <alignment vertical="center"/>
    </xf>
    <xf numFmtId="0" fontId="3" fillId="0" borderId="3" xfId="0" applyFont="1" applyBorder="1">
      <alignment vertical="center"/>
    </xf>
    <xf numFmtId="0" fontId="21" fillId="0" borderId="0" xfId="0" applyFont="1" applyBorder="1" applyAlignment="1">
      <alignment horizontal="center" vertical="center"/>
    </xf>
    <xf numFmtId="0" fontId="21" fillId="0" borderId="0" xfId="0" applyFont="1" applyBorder="1">
      <alignment vertical="center"/>
    </xf>
    <xf numFmtId="0" fontId="21" fillId="0" borderId="11" xfId="0" applyFont="1" applyBorder="1" applyAlignment="1">
      <alignment horizontal="center" vertical="center"/>
    </xf>
    <xf numFmtId="0" fontId="3" fillId="0" borderId="0" xfId="0" applyFont="1" applyAlignment="1">
      <alignment horizontal="left" vertical="center" indent="1"/>
    </xf>
    <xf numFmtId="177" fontId="3" fillId="0" borderId="12" xfId="0" applyNumberFormat="1" applyFont="1" applyBorder="1" applyAlignment="1">
      <alignment horizontal="center" vertical="center"/>
    </xf>
    <xf numFmtId="0" fontId="3" fillId="0" borderId="12" xfId="0" applyFont="1" applyBorder="1" applyAlignment="1">
      <alignment horizontal="center" vertical="center"/>
    </xf>
    <xf numFmtId="0" fontId="3" fillId="0" borderId="0" xfId="0" applyFont="1" applyAlignment="1">
      <alignment horizontal="center" vertical="center"/>
    </xf>
    <xf numFmtId="0" fontId="21" fillId="0" borderId="0" xfId="0" applyFont="1" applyAlignment="1">
      <alignment horizontal="center" vertical="center"/>
    </xf>
    <xf numFmtId="0" fontId="25" fillId="0" borderId="12" xfId="0" applyFont="1" applyBorder="1" applyAlignment="1">
      <alignment horizontal="center" vertical="center"/>
    </xf>
    <xf numFmtId="0" fontId="21" fillId="0" borderId="0" xfId="0" applyFont="1" applyAlignment="1">
      <alignment horizontal="left" vertical="center" indent="1"/>
    </xf>
    <xf numFmtId="10" fontId="3" fillId="0" borderId="12" xfId="11" applyNumberFormat="1" applyFont="1" applyBorder="1" applyAlignment="1">
      <alignment horizontal="center" vertical="center"/>
    </xf>
    <xf numFmtId="0" fontId="3" fillId="0" borderId="2" xfId="0" applyFont="1" applyBorder="1" applyAlignment="1">
      <alignment horizontal="left" vertical="center" shrinkToFit="1"/>
    </xf>
    <xf numFmtId="0" fontId="3" fillId="0" borderId="8" xfId="0" applyFont="1" applyBorder="1" applyAlignment="1">
      <alignment horizontal="left" vertical="center" shrinkToFit="1"/>
    </xf>
    <xf numFmtId="0" fontId="3" fillId="0" borderId="3" xfId="0" applyFont="1" applyBorder="1" applyAlignment="1">
      <alignment horizontal="left" vertical="center" shrinkToFit="1"/>
    </xf>
    <xf numFmtId="0" fontId="3" fillId="0" borderId="2" xfId="0" applyFont="1" applyBorder="1" applyAlignment="1">
      <alignment horizontal="left" vertical="center"/>
    </xf>
    <xf numFmtId="0" fontId="3" fillId="0" borderId="8" xfId="0" applyFont="1" applyBorder="1" applyAlignment="1">
      <alignment horizontal="left" vertical="center"/>
    </xf>
    <xf numFmtId="0" fontId="3" fillId="0" borderId="3" xfId="0" applyFont="1" applyBorder="1" applyAlignment="1">
      <alignment horizontal="left" vertical="center"/>
    </xf>
    <xf numFmtId="0" fontId="3" fillId="0" borderId="13" xfId="0" applyFont="1" applyBorder="1" applyAlignment="1">
      <alignment horizontal="left" vertical="center"/>
    </xf>
    <xf numFmtId="0" fontId="3" fillId="0" borderId="0" xfId="0" applyFont="1" applyFill="1">
      <alignment vertical="center"/>
    </xf>
    <xf numFmtId="182" fontId="25" fillId="0" borderId="12" xfId="0" applyNumberFormat="1" applyFont="1" applyBorder="1" applyAlignment="1">
      <alignment horizontal="center" vertical="center"/>
    </xf>
    <xf numFmtId="182" fontId="3" fillId="0" borderId="12" xfId="0" applyNumberFormat="1" applyFont="1" applyBorder="1" applyAlignment="1">
      <alignment horizontal="center" vertical="center"/>
    </xf>
    <xf numFmtId="182" fontId="25" fillId="0" borderId="2" xfId="0" applyNumberFormat="1" applyFont="1" applyBorder="1" applyAlignment="1">
      <alignment horizontal="center" vertical="center"/>
    </xf>
    <xf numFmtId="0" fontId="25" fillId="0" borderId="8" xfId="0" applyFont="1" applyBorder="1" applyAlignment="1">
      <alignment horizontal="center" vertical="center"/>
    </xf>
    <xf numFmtId="182" fontId="25" fillId="0" borderId="8" xfId="0" applyNumberFormat="1" applyFont="1" applyBorder="1" applyAlignment="1">
      <alignment horizontal="center" vertical="center"/>
    </xf>
    <xf numFmtId="0" fontId="0" fillId="7" borderId="0" xfId="0" applyFill="1">
      <alignment vertical="center"/>
    </xf>
    <xf numFmtId="0" fontId="13" fillId="0" borderId="0" xfId="0" applyNumberFormat="1" applyFont="1">
      <alignment vertical="center"/>
    </xf>
    <xf numFmtId="0" fontId="13" fillId="7" borderId="0" xfId="0" applyFont="1" applyFill="1">
      <alignment vertical="center"/>
    </xf>
    <xf numFmtId="0" fontId="3" fillId="0" borderId="5" xfId="0" applyFont="1" applyBorder="1">
      <alignment vertical="center"/>
    </xf>
    <xf numFmtId="0" fontId="3" fillId="0" borderId="6" xfId="0" applyFont="1" applyBorder="1">
      <alignment vertical="center"/>
    </xf>
    <xf numFmtId="0" fontId="3" fillId="0" borderId="0" xfId="0" applyFont="1" applyAlignment="1">
      <alignment horizontal="left" vertical="center" wrapText="1"/>
    </xf>
    <xf numFmtId="0" fontId="3" fillId="0" borderId="5" xfId="0" applyFont="1" applyBorder="1" applyAlignment="1">
      <alignment horizontal="center"/>
    </xf>
    <xf numFmtId="0" fontId="3" fillId="0" borderId="7" xfId="0" applyFont="1" applyBorder="1">
      <alignment vertical="center"/>
    </xf>
    <xf numFmtId="0" fontId="26" fillId="0" borderId="0" xfId="0" applyFont="1">
      <alignment vertical="center"/>
    </xf>
    <xf numFmtId="0" fontId="27" fillId="0" borderId="0" xfId="0" applyFont="1" applyFill="1" applyAlignment="1">
      <alignment vertical="center" textRotation="255"/>
    </xf>
    <xf numFmtId="0" fontId="28" fillId="0" borderId="0" xfId="0" applyFont="1" applyFill="1" applyAlignment="1"/>
    <xf numFmtId="0" fontId="26" fillId="0" borderId="0" xfId="0" applyFont="1" applyFill="1">
      <alignment vertical="center"/>
    </xf>
    <xf numFmtId="0" fontId="27" fillId="0" borderId="0" xfId="0" applyFont="1" applyFill="1" applyAlignment="1"/>
    <xf numFmtId="0" fontId="29" fillId="0" borderId="0" xfId="52" applyFont="1" applyFill="1"/>
    <xf numFmtId="0" fontId="27" fillId="0" borderId="0" xfId="0" applyFont="1" applyFill="1" applyAlignment="1">
      <alignment wrapText="1"/>
    </xf>
    <xf numFmtId="0" fontId="0" fillId="8" borderId="0" xfId="0" applyFill="1">
      <alignment vertical="center"/>
    </xf>
    <xf numFmtId="0" fontId="2" fillId="0" borderId="0" xfId="0" applyFont="1">
      <alignment vertical="center"/>
    </xf>
    <xf numFmtId="0" fontId="24" fillId="0" borderId="0" xfId="0" applyFont="1" applyAlignment="1">
      <alignment horizontal="left" vertical="center" indent="1"/>
    </xf>
    <xf numFmtId="0" fontId="24" fillId="0" borderId="10" xfId="0" applyFont="1" applyBorder="1" applyAlignment="1">
      <alignment horizontal="left" vertical="center" indent="1"/>
    </xf>
    <xf numFmtId="0" fontId="3" fillId="0" borderId="2" xfId="0" applyFont="1" applyBorder="1" applyAlignment="1">
      <alignment horizontal="left" vertical="center" indent="1"/>
    </xf>
    <xf numFmtId="0" fontId="21" fillId="0" borderId="14"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left" vertical="center" indent="1"/>
    </xf>
    <xf numFmtId="0" fontId="21" fillId="0" borderId="17" xfId="0" applyFont="1" applyBorder="1" applyAlignment="1">
      <alignment horizontal="left" vertical="center" indent="1"/>
    </xf>
    <xf numFmtId="0" fontId="21" fillId="0" borderId="18" xfId="0" applyFont="1" applyBorder="1" applyAlignment="1">
      <alignment horizontal="center" vertical="center"/>
    </xf>
    <xf numFmtId="0" fontId="3" fillId="0" borderId="19" xfId="0" applyFont="1" applyBorder="1" applyAlignment="1">
      <alignment horizontal="left" vertical="center" indent="2"/>
    </xf>
    <xf numFmtId="0" fontId="3" fillId="0" borderId="8" xfId="0" applyFont="1" applyBorder="1">
      <alignment vertical="center"/>
    </xf>
    <xf numFmtId="177" fontId="25" fillId="0" borderId="2" xfId="0" applyNumberFormat="1" applyFont="1" applyBorder="1" applyAlignment="1">
      <alignment horizontal="center" vertical="center"/>
    </xf>
    <xf numFmtId="0" fontId="21" fillId="0" borderId="19" xfId="0" applyFont="1" applyBorder="1" applyAlignment="1">
      <alignment horizontal="left" vertical="center" indent="1"/>
    </xf>
    <xf numFmtId="0" fontId="21" fillId="0" borderId="8" xfId="0" applyFont="1" applyBorder="1" applyAlignment="1">
      <alignment horizontal="left" vertical="center" indent="1"/>
    </xf>
    <xf numFmtId="177" fontId="25" fillId="0" borderId="2" xfId="0" applyNumberFormat="1" applyFont="1" applyFill="1" applyBorder="1" applyAlignment="1">
      <alignment horizontal="center" vertical="center"/>
    </xf>
    <xf numFmtId="0" fontId="21" fillId="0" borderId="20" xfId="0" applyFont="1" applyBorder="1" applyAlignment="1">
      <alignment horizontal="center" vertical="center"/>
    </xf>
    <xf numFmtId="0" fontId="21" fillId="0" borderId="21" xfId="0" applyFont="1" applyBorder="1" applyAlignment="1">
      <alignment horizontal="center" vertical="center"/>
    </xf>
    <xf numFmtId="20" fontId="25" fillId="0" borderId="3" xfId="0" applyNumberFormat="1" applyFont="1" applyBorder="1" applyAlignment="1">
      <alignment horizontal="center" vertical="center"/>
    </xf>
    <xf numFmtId="177" fontId="25" fillId="0" borderId="8" xfId="0" applyNumberFormat="1" applyFont="1" applyBorder="1" applyAlignment="1">
      <alignment horizontal="center" vertical="center"/>
    </xf>
    <xf numFmtId="0" fontId="25" fillId="0" borderId="22" xfId="0" applyFont="1" applyBorder="1" applyAlignment="1">
      <alignment horizontal="center" vertical="center"/>
    </xf>
    <xf numFmtId="0" fontId="25" fillId="0" borderId="3" xfId="0" applyFont="1" applyBorder="1" applyAlignment="1">
      <alignment horizontal="center" vertical="center"/>
    </xf>
    <xf numFmtId="0" fontId="21" fillId="0" borderId="22" xfId="0" applyFont="1" applyBorder="1" applyAlignment="1">
      <alignment horizontal="left" vertical="center" indent="1"/>
    </xf>
    <xf numFmtId="0" fontId="25" fillId="0" borderId="3" xfId="0" applyFont="1" applyFill="1" applyBorder="1" applyAlignment="1">
      <alignment horizontal="center" vertical="center"/>
    </xf>
    <xf numFmtId="0" fontId="0" fillId="9" borderId="0" xfId="0" applyFill="1">
      <alignment vertical="center"/>
    </xf>
    <xf numFmtId="0" fontId="3" fillId="0" borderId="23" xfId="0" applyFont="1" applyBorder="1" applyAlignment="1">
      <alignment horizontal="left" vertical="center" indent="2"/>
    </xf>
    <xf numFmtId="0" fontId="3" fillId="0" borderId="13" xfId="0" applyFont="1" applyBorder="1">
      <alignment vertical="center"/>
    </xf>
    <xf numFmtId="0" fontId="3" fillId="0" borderId="24" xfId="0" applyFont="1" applyBorder="1">
      <alignment vertical="center"/>
    </xf>
    <xf numFmtId="177" fontId="25" fillId="0" borderId="25" xfId="0" applyNumberFormat="1" applyFont="1" applyBorder="1" applyAlignment="1">
      <alignment horizontal="center" vertical="center"/>
    </xf>
    <xf numFmtId="0" fontId="3" fillId="0" borderId="19" xfId="0" applyFont="1" applyBorder="1" applyAlignment="1">
      <alignment horizontal="left" vertical="center" indent="1"/>
    </xf>
    <xf numFmtId="177" fontId="3" fillId="0" borderId="2" xfId="0" applyNumberFormat="1" applyFont="1" applyBorder="1">
      <alignment vertical="center"/>
    </xf>
    <xf numFmtId="0" fontId="3" fillId="0" borderId="26" xfId="0" applyFont="1" applyBorder="1" applyAlignment="1">
      <alignment horizontal="left" vertical="center" indent="1"/>
    </xf>
    <xf numFmtId="0" fontId="3" fillId="0" borderId="27" xfId="0" applyFont="1" applyBorder="1">
      <alignment vertical="center"/>
    </xf>
    <xf numFmtId="177" fontId="3" fillId="0" borderId="28" xfId="0" applyNumberFormat="1" applyFont="1" applyBorder="1">
      <alignment vertical="center"/>
    </xf>
    <xf numFmtId="0" fontId="3" fillId="0" borderId="7" xfId="0" applyFont="1" applyBorder="1" applyAlignment="1">
      <alignment horizontal="center" vertical="center"/>
    </xf>
    <xf numFmtId="0" fontId="20" fillId="0" borderId="0" xfId="0" applyFont="1" applyAlignment="1">
      <alignment horizontal="left" vertical="center" wrapText="1"/>
    </xf>
    <xf numFmtId="0" fontId="25" fillId="0" borderId="24" xfId="0" applyFont="1" applyBorder="1" applyAlignment="1">
      <alignment horizontal="center" vertical="center"/>
    </xf>
    <xf numFmtId="177" fontId="25" fillId="0" borderId="13" xfId="0" applyNumberFormat="1" applyFont="1" applyBorder="1" applyAlignment="1">
      <alignment horizontal="center" vertical="center"/>
    </xf>
    <xf numFmtId="0" fontId="25" fillId="0" borderId="29" xfId="0" applyFont="1" applyBorder="1" applyAlignment="1">
      <alignment horizontal="center" vertical="center"/>
    </xf>
    <xf numFmtId="177" fontId="3" fillId="0" borderId="8" xfId="0" applyNumberFormat="1" applyFont="1" applyBorder="1">
      <alignment vertical="center"/>
    </xf>
    <xf numFmtId="0" fontId="3" fillId="0" borderId="22" xfId="0" applyFont="1" applyBorder="1">
      <alignment vertical="center"/>
    </xf>
    <xf numFmtId="0" fontId="3" fillId="0" borderId="30" xfId="0" applyFont="1" applyBorder="1">
      <alignment vertical="center"/>
    </xf>
    <xf numFmtId="177" fontId="3" fillId="0" borderId="27" xfId="0" applyNumberFormat="1" applyFont="1" applyBorder="1">
      <alignment vertical="center"/>
    </xf>
    <xf numFmtId="0" fontId="3" fillId="0" borderId="31" xfId="0" applyFont="1" applyBorder="1">
      <alignment vertical="center"/>
    </xf>
    <xf numFmtId="0" fontId="3" fillId="0" borderId="0" xfId="52" applyFont="1"/>
    <xf numFmtId="0" fontId="6" fillId="0" borderId="0" xfId="0" applyFont="1" applyFill="1" applyAlignment="1">
      <alignment horizontal="left"/>
    </xf>
    <xf numFmtId="0" fontId="6" fillId="0" borderId="0" xfId="52" applyFont="1" applyFill="1" applyAlignment="1">
      <alignment horizontal="left"/>
    </xf>
    <xf numFmtId="0" fontId="13" fillId="10" borderId="0" xfId="0" applyFont="1" applyFill="1">
      <alignment vertical="center"/>
    </xf>
    <xf numFmtId="0" fontId="6" fillId="0" borderId="0" xfId="0" applyFont="1">
      <alignment vertical="center"/>
    </xf>
    <xf numFmtId="0" fontId="2" fillId="0" borderId="0" xfId="52" applyFont="1" applyFill="1" applyAlignment="1"/>
    <xf numFmtId="0" fontId="18" fillId="0" borderId="0" xfId="0" applyFont="1" applyFill="1" applyAlignment="1">
      <alignment vertical="center" textRotation="1"/>
    </xf>
    <xf numFmtId="0" fontId="3" fillId="0" borderId="0" xfId="0" applyFont="1" applyAlignment="1">
      <alignment vertical="center"/>
    </xf>
    <xf numFmtId="0" fontId="0" fillId="0" borderId="0" xfId="0" applyAlignment="1">
      <alignment vertical="center"/>
    </xf>
    <xf numFmtId="0" fontId="2" fillId="0" borderId="0" xfId="0" applyFont="1" applyFill="1" applyAlignment="1">
      <alignment vertical="center"/>
    </xf>
    <xf numFmtId="0" fontId="6" fillId="0" borderId="0" xfId="0" applyFont="1" applyAlignment="1">
      <alignment horizontal="left" vertical="center"/>
    </xf>
    <xf numFmtId="0" fontId="3" fillId="0" borderId="0" xfId="0" applyFont="1" applyAlignment="1">
      <alignment horizontal="distributed" vertical="center"/>
    </xf>
    <xf numFmtId="0" fontId="25" fillId="0" borderId="0" xfId="0" applyFont="1">
      <alignment vertical="center"/>
    </xf>
    <xf numFmtId="0" fontId="3" fillId="0" borderId="32" xfId="0" applyFont="1" applyBorder="1" applyAlignment="1">
      <alignment horizontal="distributed" vertical="center"/>
    </xf>
    <xf numFmtId="0" fontId="21" fillId="0" borderId="33" xfId="0" applyFont="1" applyFill="1" applyBorder="1" applyAlignment="1">
      <alignment horizontal="center" vertical="center"/>
    </xf>
    <xf numFmtId="0" fontId="21" fillId="0" borderId="34" xfId="0" applyFont="1" applyFill="1" applyBorder="1" applyAlignment="1">
      <alignment horizontal="center" vertical="center"/>
    </xf>
    <xf numFmtId="0" fontId="21" fillId="0" borderId="35" xfId="0" applyFont="1" applyFill="1" applyBorder="1" applyAlignment="1">
      <alignment horizontal="center" vertical="center"/>
    </xf>
    <xf numFmtId="0" fontId="21" fillId="0" borderId="36" xfId="0" applyFont="1" applyFill="1" applyBorder="1" applyAlignment="1">
      <alignment horizontal="center" vertical="center"/>
    </xf>
    <xf numFmtId="0" fontId="3" fillId="0" borderId="33" xfId="0" applyFont="1" applyFill="1" applyBorder="1" applyAlignment="1">
      <alignment horizontal="left" vertical="center"/>
    </xf>
    <xf numFmtId="0" fontId="3" fillId="0" borderId="34" xfId="0" applyFont="1" applyFill="1" applyBorder="1" applyAlignment="1">
      <alignment horizontal="left" vertical="center"/>
    </xf>
    <xf numFmtId="0" fontId="3" fillId="0" borderId="34" xfId="0" applyFont="1" applyFill="1" applyBorder="1" applyAlignment="1">
      <alignment horizontal="center" vertical="center"/>
    </xf>
    <xf numFmtId="0" fontId="3" fillId="0" borderId="37" xfId="0" applyFont="1" applyFill="1" applyBorder="1" applyAlignment="1">
      <alignment horizontal="left" vertical="center"/>
    </xf>
    <xf numFmtId="0" fontId="3" fillId="0" borderId="12" xfId="0" applyFont="1" applyFill="1" applyBorder="1" applyAlignment="1">
      <alignment horizontal="left" vertical="center"/>
    </xf>
    <xf numFmtId="0" fontId="3" fillId="0" borderId="2" xfId="0" applyFont="1" applyFill="1" applyBorder="1" applyAlignment="1">
      <alignment horizontal="left" vertical="center"/>
    </xf>
    <xf numFmtId="0" fontId="3" fillId="0" borderId="3" xfId="0" applyFont="1" applyFill="1" applyBorder="1" applyAlignment="1">
      <alignment horizontal="left" vertical="center"/>
    </xf>
    <xf numFmtId="0" fontId="3" fillId="0" borderId="12" xfId="0" applyFont="1" applyFill="1" applyBorder="1" applyAlignment="1">
      <alignment horizontal="center" vertical="center"/>
    </xf>
    <xf numFmtId="0" fontId="21" fillId="0" borderId="38" xfId="0" applyFont="1" applyFill="1" applyBorder="1" applyAlignment="1">
      <alignment horizontal="center" vertical="center"/>
    </xf>
    <xf numFmtId="0" fontId="21" fillId="0" borderId="39" xfId="0" applyFont="1" applyFill="1" applyBorder="1" applyAlignment="1">
      <alignment horizontal="center" vertical="center"/>
    </xf>
    <xf numFmtId="0" fontId="3" fillId="0" borderId="34" xfId="0" applyNumberFormat="1" applyFont="1" applyFill="1" applyBorder="1" applyAlignment="1">
      <alignment horizontal="center" vertical="center"/>
    </xf>
    <xf numFmtId="0" fontId="3" fillId="0" borderId="38" xfId="0" applyNumberFormat="1" applyFont="1" applyFill="1" applyBorder="1" applyAlignment="1">
      <alignment horizontal="center" vertical="center"/>
    </xf>
    <xf numFmtId="0" fontId="0" fillId="10" borderId="0" xfId="0" applyFill="1">
      <alignment vertical="center"/>
    </xf>
    <xf numFmtId="0" fontId="3" fillId="0" borderId="12" xfId="0" applyNumberFormat="1" applyFont="1" applyFill="1" applyBorder="1" applyAlignment="1">
      <alignment horizontal="center" vertical="center"/>
    </xf>
    <xf numFmtId="0" fontId="3" fillId="0" borderId="40" xfId="0" applyNumberFormat="1" applyFont="1" applyFill="1" applyBorder="1" applyAlignment="1">
      <alignment horizontal="center" vertical="center"/>
    </xf>
    <xf numFmtId="0" fontId="11" fillId="11" borderId="41" xfId="0" applyFont="1" applyFill="1" applyBorder="1" applyAlignment="1">
      <alignment horizontal="center" vertical="center"/>
    </xf>
    <xf numFmtId="0" fontId="6" fillId="5" borderId="42" xfId="0" applyFont="1" applyFill="1" applyBorder="1">
      <alignment vertical="center"/>
    </xf>
    <xf numFmtId="0" fontId="6" fillId="0" borderId="42" xfId="0" applyFont="1" applyBorder="1">
      <alignment vertical="center"/>
    </xf>
    <xf numFmtId="0" fontId="6" fillId="0" borderId="41" xfId="0" applyFont="1" applyBorder="1">
      <alignment vertical="center"/>
    </xf>
    <xf numFmtId="0" fontId="27" fillId="5" borderId="42" xfId="0" applyFont="1" applyFill="1" applyBorder="1" applyAlignment="1">
      <alignment horizontal="center" vertical="center"/>
    </xf>
    <xf numFmtId="0" fontId="30" fillId="0" borderId="0" xfId="0" applyFont="1">
      <alignment vertical="center"/>
    </xf>
    <xf numFmtId="0" fontId="11" fillId="11" borderId="43" xfId="0" applyFont="1" applyFill="1" applyBorder="1" applyAlignment="1">
      <alignment horizontal="center" vertical="center"/>
    </xf>
    <xf numFmtId="0" fontId="31" fillId="0" borderId="33" xfId="0" applyFont="1" applyBorder="1" applyAlignment="1">
      <alignment horizontal="center" vertical="center"/>
    </xf>
    <xf numFmtId="0" fontId="31" fillId="0" borderId="34" xfId="0" applyFont="1" applyBorder="1" applyAlignment="1">
      <alignment horizontal="center" vertical="center"/>
    </xf>
    <xf numFmtId="0" fontId="6" fillId="5" borderId="44" xfId="0" applyFont="1" applyFill="1" applyBorder="1">
      <alignment vertical="center"/>
    </xf>
    <xf numFmtId="0" fontId="31" fillId="0" borderId="35" xfId="0" applyFont="1" applyBorder="1" applyAlignment="1">
      <alignment horizontal="center" vertical="center"/>
    </xf>
    <xf numFmtId="0" fontId="31" fillId="0" borderId="36" xfId="0" applyFont="1" applyBorder="1" applyAlignment="1">
      <alignment horizontal="center" vertical="center"/>
    </xf>
    <xf numFmtId="0" fontId="6" fillId="0" borderId="44" xfId="0" applyFont="1" applyBorder="1">
      <alignment vertical="center"/>
    </xf>
    <xf numFmtId="0" fontId="32" fillId="10" borderId="45" xfId="0" applyFont="1" applyFill="1" applyBorder="1">
      <alignment vertical="center"/>
    </xf>
    <xf numFmtId="0" fontId="27" fillId="0" borderId="46" xfId="0" applyFont="1" applyBorder="1">
      <alignment vertical="center"/>
    </xf>
    <xf numFmtId="0" fontId="32" fillId="0" borderId="46" xfId="0" applyFont="1" applyBorder="1">
      <alignment vertical="center"/>
    </xf>
    <xf numFmtId="0" fontId="27" fillId="0" borderId="46" xfId="0" applyFont="1" applyBorder="1" applyAlignment="1">
      <alignment horizontal="center" vertical="center"/>
    </xf>
    <xf numFmtId="0" fontId="32" fillId="10" borderId="37" xfId="0" applyFont="1" applyFill="1" applyBorder="1">
      <alignment vertical="center"/>
    </xf>
    <xf numFmtId="0" fontId="27" fillId="0" borderId="12" xfId="0" applyFont="1" applyBorder="1" applyAlignment="1">
      <alignment horizontal="center" vertical="center"/>
    </xf>
    <xf numFmtId="0" fontId="32" fillId="0" borderId="12" xfId="0" applyFont="1" applyBorder="1">
      <alignment vertical="center"/>
    </xf>
    <xf numFmtId="0" fontId="6" fillId="0" borderId="43" xfId="0" applyFont="1" applyBorder="1">
      <alignment vertical="center"/>
    </xf>
    <xf numFmtId="0" fontId="11" fillId="0" borderId="43" xfId="0" applyFont="1" applyFill="1" applyBorder="1" applyAlignment="1">
      <alignment vertical="center"/>
    </xf>
    <xf numFmtId="0" fontId="27" fillId="0" borderId="12" xfId="0" applyFont="1" applyBorder="1">
      <alignment vertical="center"/>
    </xf>
    <xf numFmtId="0" fontId="33" fillId="0" borderId="0" xfId="0" applyFont="1">
      <alignment vertical="center"/>
    </xf>
    <xf numFmtId="0" fontId="31" fillId="0" borderId="38" xfId="0" applyFont="1" applyBorder="1" applyAlignment="1">
      <alignment horizontal="center" vertical="center"/>
    </xf>
    <xf numFmtId="0" fontId="31" fillId="0" borderId="39" xfId="0" applyFont="1" applyBorder="1" applyAlignment="1">
      <alignment horizontal="center" vertical="center"/>
    </xf>
    <xf numFmtId="184" fontId="27" fillId="0" borderId="47" xfId="0" applyNumberFormat="1" applyFont="1" applyBorder="1" applyAlignment="1">
      <alignment horizontal="center" vertical="center"/>
    </xf>
    <xf numFmtId="184" fontId="27" fillId="0" borderId="40" xfId="0" applyNumberFormat="1" applyFont="1" applyBorder="1" applyAlignment="1">
      <alignment horizontal="center" vertical="center"/>
    </xf>
    <xf numFmtId="0" fontId="3" fillId="0" borderId="35" xfId="0" applyFont="1" applyFill="1" applyBorder="1" applyAlignment="1">
      <alignment horizontal="left" vertical="center"/>
    </xf>
    <xf numFmtId="0" fontId="3" fillId="0" borderId="36" xfId="0" applyFont="1" applyFill="1" applyBorder="1" applyAlignment="1">
      <alignment horizontal="left" vertical="center"/>
    </xf>
    <xf numFmtId="0" fontId="3" fillId="0" borderId="28" xfId="0" applyFont="1" applyFill="1" applyBorder="1" applyAlignment="1">
      <alignment horizontal="left" vertical="center"/>
    </xf>
    <xf numFmtId="0" fontId="3" fillId="0" borderId="30" xfId="0" applyFont="1" applyFill="1" applyBorder="1" applyAlignment="1">
      <alignment horizontal="left" vertical="center"/>
    </xf>
    <xf numFmtId="0" fontId="3" fillId="0" borderId="36" xfId="0" applyFont="1" applyFill="1" applyBorder="1" applyAlignment="1">
      <alignment horizontal="center" vertical="center"/>
    </xf>
    <xf numFmtId="0" fontId="3" fillId="0" borderId="36" xfId="0" applyNumberFormat="1" applyFont="1" applyFill="1" applyBorder="1" applyAlignment="1">
      <alignment horizontal="center" vertical="center"/>
    </xf>
    <xf numFmtId="0" fontId="3" fillId="0" borderId="39" xfId="0" applyNumberFormat="1" applyFont="1" applyFill="1" applyBorder="1" applyAlignment="1">
      <alignment horizontal="center" vertical="center"/>
    </xf>
    <xf numFmtId="0" fontId="32" fillId="10" borderId="35" xfId="0" applyFont="1" applyFill="1" applyBorder="1">
      <alignment vertical="center"/>
    </xf>
    <xf numFmtId="0" fontId="27" fillId="0" borderId="36" xfId="0" applyFont="1" applyBorder="1">
      <alignment vertical="center"/>
    </xf>
    <xf numFmtId="0" fontId="27" fillId="0" borderId="36" xfId="0" applyFont="1" applyBorder="1" applyAlignment="1">
      <alignment horizontal="center" vertical="center"/>
    </xf>
    <xf numFmtId="0" fontId="32" fillId="0" borderId="36" xfId="0" applyFont="1" applyBorder="1">
      <alignment vertical="center"/>
    </xf>
    <xf numFmtId="184" fontId="27" fillId="0" borderId="39" xfId="0" applyNumberFormat="1" applyFont="1" applyBorder="1" applyAlignment="1">
      <alignment horizontal="center" vertical="center"/>
    </xf>
    <xf numFmtId="0" fontId="0" fillId="0" borderId="0" xfId="0" applyAlignment="1"/>
    <xf numFmtId="0" fontId="10" fillId="12" borderId="0" xfId="0" applyFont="1" applyFill="1" applyAlignment="1">
      <alignment horizontal="center" vertical="center" textRotation="255"/>
    </xf>
    <xf numFmtId="0" fontId="1" fillId="2" borderId="0" xfId="0" applyFont="1" applyFill="1" applyAlignment="1"/>
    <xf numFmtId="0" fontId="3" fillId="3" borderId="0" xfId="0" applyFont="1" applyFill="1" applyAlignment="1"/>
    <xf numFmtId="0" fontId="3" fillId="4" borderId="0" xfId="0" applyFont="1" applyFill="1" applyAlignment="1"/>
    <xf numFmtId="0" fontId="10" fillId="13" borderId="0" xfId="0" applyFont="1" applyFill="1" applyAlignment="1">
      <alignment horizontal="center" vertical="center"/>
    </xf>
    <xf numFmtId="0" fontId="10" fillId="13" borderId="0" xfId="0" applyFont="1" applyFill="1" applyAlignment="1">
      <alignment horizontal="center" vertical="center" textRotation="255"/>
    </xf>
    <xf numFmtId="0" fontId="10" fillId="12" borderId="0" xfId="0" applyFont="1" applyFill="1" applyAlignment="1">
      <alignment horizontal="center" wrapText="1"/>
    </xf>
    <xf numFmtId="0" fontId="0" fillId="0" borderId="0" xfId="0" applyAlignment="1">
      <alignment wrapText="1"/>
    </xf>
    <xf numFmtId="0" fontId="6" fillId="3" borderId="0" xfId="0" applyFont="1" applyFill="1" applyAlignment="1">
      <alignment wrapText="1"/>
    </xf>
    <xf numFmtId="0" fontId="6" fillId="4" borderId="0" xfId="0" applyFont="1" applyFill="1" applyAlignment="1">
      <alignment wrapText="1"/>
    </xf>
    <xf numFmtId="0" fontId="34" fillId="0" borderId="0" xfId="0" applyFont="1" applyAlignment="1"/>
    <xf numFmtId="0" fontId="16" fillId="0" borderId="0" xfId="0" applyFont="1" applyAlignment="1">
      <alignment vertical="top"/>
    </xf>
    <xf numFmtId="0" fontId="16" fillId="0" borderId="0" xfId="0" applyFont="1" applyAlignment="1">
      <alignment horizontal="left" vertical="top"/>
    </xf>
    <xf numFmtId="0" fontId="3" fillId="0" borderId="0" xfId="0" applyFont="1" applyAlignment="1"/>
    <xf numFmtId="0" fontId="35" fillId="0" borderId="0" xfId="50" applyFont="1" applyFill="1" applyBorder="1" applyAlignment="1">
      <alignment vertical="center"/>
    </xf>
    <xf numFmtId="0" fontId="35" fillId="0" borderId="0" xfId="0" applyFont="1" applyFill="1" applyBorder="1" applyAlignment="1">
      <alignment vertical="center"/>
    </xf>
    <xf numFmtId="0" fontId="36" fillId="0" borderId="0" xfId="0" applyFont="1" applyFill="1" applyBorder="1" applyAlignment="1">
      <alignment vertical="center"/>
    </xf>
    <xf numFmtId="0" fontId="37" fillId="0" borderId="0" xfId="0" applyFont="1" applyAlignment="1">
      <alignment horizontal="left" vertical="center" wrapText="1" indent="1"/>
    </xf>
    <xf numFmtId="0" fontId="37" fillId="0" borderId="10" xfId="0" applyFont="1" applyBorder="1" applyAlignment="1">
      <alignment horizontal="left" vertical="center" wrapText="1" indent="1"/>
    </xf>
    <xf numFmtId="0" fontId="3" fillId="0" borderId="3" xfId="0" applyFont="1" applyBorder="1" applyAlignment="1">
      <alignment horizontal="left" vertical="center" indent="1"/>
    </xf>
    <xf numFmtId="0" fontId="38" fillId="0" borderId="4" xfId="0" applyFont="1" applyBorder="1" applyAlignment="1">
      <alignment horizontal="center" vertical="center" wrapText="1"/>
    </xf>
    <xf numFmtId="0" fontId="38" fillId="0" borderId="48" xfId="0" applyFont="1" applyBorder="1" applyAlignment="1">
      <alignment horizontal="center" vertical="center" wrapText="1"/>
    </xf>
    <xf numFmtId="0" fontId="38" fillId="0" borderId="49" xfId="0" applyFont="1" applyBorder="1" applyAlignment="1">
      <alignment horizontal="center" vertical="center" wrapText="1"/>
    </xf>
    <xf numFmtId="0" fontId="38" fillId="0" borderId="49" xfId="0" applyFont="1" applyBorder="1" applyAlignment="1">
      <alignment horizontal="center" vertical="center"/>
    </xf>
    <xf numFmtId="0" fontId="38" fillId="0" borderId="50" xfId="0" applyFont="1" applyBorder="1" applyAlignment="1">
      <alignment horizontal="center" vertical="center"/>
    </xf>
    <xf numFmtId="0" fontId="38" fillId="0" borderId="48" xfId="0" applyFont="1" applyBorder="1" applyAlignment="1">
      <alignment horizontal="center" vertical="center"/>
    </xf>
    <xf numFmtId="0" fontId="38" fillId="0" borderId="51" xfId="0" applyFont="1" applyBorder="1" applyAlignment="1">
      <alignment horizontal="center" vertical="center" wrapText="1"/>
    </xf>
    <xf numFmtId="0" fontId="38" fillId="0" borderId="10" xfId="0" applyFont="1" applyBorder="1" applyAlignment="1">
      <alignment horizontal="center" vertical="center" wrapText="1"/>
    </xf>
    <xf numFmtId="0" fontId="38" fillId="0" borderId="52" xfId="0" applyFont="1" applyBorder="1" applyAlignment="1">
      <alignment horizontal="center" vertical="center" wrapText="1"/>
    </xf>
    <xf numFmtId="0" fontId="38" fillId="0" borderId="52" xfId="0" applyFont="1" applyBorder="1" applyAlignment="1">
      <alignment horizontal="center" vertical="center"/>
    </xf>
    <xf numFmtId="0" fontId="38" fillId="0" borderId="53" xfId="0" applyFont="1" applyBorder="1" applyAlignment="1">
      <alignment horizontal="center" vertical="center"/>
    </xf>
    <xf numFmtId="0" fontId="38" fillId="0" borderId="10" xfId="0" applyFont="1" applyBorder="1" applyAlignment="1">
      <alignment horizontal="center" vertical="center"/>
    </xf>
    <xf numFmtId="0" fontId="38" fillId="0" borderId="54" xfId="0" applyFont="1" applyBorder="1" applyAlignment="1">
      <alignment horizontal="center" vertical="center" wrapText="1"/>
    </xf>
    <xf numFmtId="0" fontId="38" fillId="0" borderId="55" xfId="0" applyFont="1" applyBorder="1" applyAlignment="1">
      <alignment horizontal="center" vertical="center" wrapText="1"/>
    </xf>
    <xf numFmtId="0" fontId="38" fillId="0" borderId="56" xfId="0" applyFont="1" applyBorder="1" applyAlignment="1">
      <alignment horizontal="center" vertical="center" wrapText="1"/>
    </xf>
    <xf numFmtId="0" fontId="38" fillId="0" borderId="56" xfId="0" applyFont="1" applyBorder="1" applyAlignment="1">
      <alignment horizontal="center" vertical="center"/>
    </xf>
    <xf numFmtId="0" fontId="38" fillId="0" borderId="57" xfId="0" applyFont="1" applyBorder="1" applyAlignment="1">
      <alignment horizontal="center" vertical="center"/>
    </xf>
    <xf numFmtId="0" fontId="38" fillId="0" borderId="55" xfId="0" applyFont="1" applyBorder="1" applyAlignment="1">
      <alignment horizontal="center" vertical="center"/>
    </xf>
    <xf numFmtId="49" fontId="39" fillId="0" borderId="16" xfId="0" applyNumberFormat="1" applyFont="1" applyBorder="1" applyAlignment="1">
      <alignment horizontal="center" vertical="center" wrapText="1"/>
    </xf>
    <xf numFmtId="49" fontId="39" fillId="0" borderId="58" xfId="0" applyNumberFormat="1" applyFont="1" applyBorder="1" applyAlignment="1">
      <alignment horizontal="center" vertical="center" wrapText="1"/>
    </xf>
    <xf numFmtId="49" fontId="39" fillId="0" borderId="34" xfId="0" applyNumberFormat="1" applyFont="1" applyBorder="1" applyAlignment="1">
      <alignment vertical="center" wrapText="1"/>
    </xf>
    <xf numFmtId="177" fontId="39" fillId="0" borderId="34" xfId="0" applyNumberFormat="1" applyFont="1" applyBorder="1" applyAlignment="1">
      <alignment horizontal="left" vertical="center" wrapText="1"/>
    </xf>
    <xf numFmtId="0" fontId="39" fillId="0" borderId="59" xfId="0" applyFont="1" applyBorder="1" applyAlignment="1">
      <alignment horizontal="left" vertical="center" wrapText="1"/>
    </xf>
    <xf numFmtId="0" fontId="39" fillId="0" borderId="58" xfId="0" applyFont="1" applyBorder="1" applyAlignment="1">
      <alignment horizontal="left" vertical="center" wrapText="1"/>
    </xf>
    <xf numFmtId="0" fontId="39" fillId="0" borderId="34" xfId="0" applyFont="1" applyBorder="1" applyAlignment="1">
      <alignment vertical="center" wrapText="1"/>
    </xf>
    <xf numFmtId="0" fontId="39" fillId="0" borderId="34" xfId="0" applyFont="1" applyBorder="1" applyAlignment="1">
      <alignment horizontal="center" vertical="center" wrapText="1"/>
    </xf>
    <xf numFmtId="49" fontId="39" fillId="0" borderId="19" xfId="0" applyNumberFormat="1" applyFont="1" applyBorder="1" applyAlignment="1">
      <alignment horizontal="center" vertical="center" wrapText="1"/>
    </xf>
    <xf numFmtId="49" fontId="39" fillId="0" borderId="3" xfId="0" applyNumberFormat="1" applyFont="1" applyBorder="1" applyAlignment="1">
      <alignment horizontal="center" vertical="center" wrapText="1"/>
    </xf>
    <xf numFmtId="49" fontId="39" fillId="0" borderId="12" xfId="0" applyNumberFormat="1" applyFont="1" applyBorder="1" applyAlignment="1">
      <alignment vertical="center" wrapText="1"/>
    </xf>
    <xf numFmtId="177" fontId="39" fillId="0" borderId="12" xfId="0" applyNumberFormat="1" applyFont="1" applyBorder="1" applyAlignment="1">
      <alignment horizontal="left" vertical="center" wrapText="1"/>
    </xf>
    <xf numFmtId="0" fontId="39" fillId="0" borderId="2" xfId="0" applyFont="1" applyBorder="1" applyAlignment="1">
      <alignment horizontal="left" vertical="center" wrapText="1"/>
    </xf>
    <xf numFmtId="0" fontId="39" fillId="0" borderId="3" xfId="0" applyFont="1" applyBorder="1" applyAlignment="1">
      <alignment horizontal="left" vertical="center" wrapText="1"/>
    </xf>
    <xf numFmtId="0" fontId="39" fillId="0" borderId="12" xfId="0" applyFont="1" applyBorder="1" applyAlignment="1">
      <alignment vertical="center" wrapText="1"/>
    </xf>
    <xf numFmtId="0" fontId="39" fillId="0" borderId="12" xfId="0" applyFont="1" applyBorder="1" applyAlignment="1">
      <alignment horizontal="center" vertical="center" wrapText="1"/>
    </xf>
    <xf numFmtId="49" fontId="39" fillId="0" borderId="26" xfId="0" applyNumberFormat="1" applyFont="1" applyBorder="1" applyAlignment="1">
      <alignment horizontal="center" vertical="center" wrapText="1"/>
    </xf>
    <xf numFmtId="49" fontId="39" fillId="0" borderId="30" xfId="0" applyNumberFormat="1" applyFont="1" applyBorder="1" applyAlignment="1">
      <alignment horizontal="center" vertical="center" wrapText="1"/>
    </xf>
    <xf numFmtId="49" fontId="39" fillId="0" borderId="36" xfId="0" applyNumberFormat="1" applyFont="1" applyBorder="1" applyAlignment="1">
      <alignment vertical="center" wrapText="1"/>
    </xf>
    <xf numFmtId="177" fontId="39" fillId="0" borderId="36" xfId="0" applyNumberFormat="1" applyFont="1" applyBorder="1" applyAlignment="1">
      <alignment horizontal="left" vertical="center" wrapText="1"/>
    </xf>
    <xf numFmtId="0" fontId="39" fillId="0" borderId="28" xfId="0" applyFont="1" applyBorder="1" applyAlignment="1">
      <alignment horizontal="left" vertical="center" wrapText="1"/>
    </xf>
    <xf numFmtId="0" fontId="39" fillId="0" borderId="30" xfId="0" applyFont="1" applyBorder="1" applyAlignment="1">
      <alignment horizontal="left" vertical="center" wrapText="1"/>
    </xf>
    <xf numFmtId="0" fontId="39" fillId="0" borderId="36" xfId="0" applyFont="1" applyBorder="1" applyAlignment="1">
      <alignment vertical="center" wrapText="1"/>
    </xf>
    <xf numFmtId="0" fontId="39" fillId="0" borderId="36" xfId="0" applyFont="1" applyBorder="1" applyAlignment="1">
      <alignment horizontal="center" vertical="center" wrapText="1"/>
    </xf>
    <xf numFmtId="0" fontId="16" fillId="0" borderId="16" xfId="0" applyFont="1" applyBorder="1" applyAlignment="1">
      <alignment horizontal="center" vertical="center"/>
    </xf>
    <xf numFmtId="0" fontId="16" fillId="0" borderId="17" xfId="0" applyFont="1" applyBorder="1" applyAlignment="1">
      <alignment horizontal="center" vertical="center"/>
    </xf>
    <xf numFmtId="0" fontId="16" fillId="0" borderId="19" xfId="0" applyFont="1" applyBorder="1" applyAlignment="1">
      <alignment horizontal="center" vertical="center"/>
    </xf>
    <xf numFmtId="0" fontId="16" fillId="0" borderId="8" xfId="0" applyFont="1" applyBorder="1" applyAlignment="1">
      <alignment horizontal="center" vertical="center"/>
    </xf>
    <xf numFmtId="0" fontId="16" fillId="0" borderId="26" xfId="0" applyFont="1" applyBorder="1" applyAlignment="1">
      <alignment horizontal="center" vertical="center"/>
    </xf>
    <xf numFmtId="0" fontId="16" fillId="0" borderId="27" xfId="0" applyFont="1" applyBorder="1" applyAlignment="1">
      <alignment horizontal="center" vertical="center"/>
    </xf>
    <xf numFmtId="0" fontId="40" fillId="0" borderId="14" xfId="0" applyFont="1" applyBorder="1" applyAlignment="1">
      <alignment horizontal="center" vertical="center"/>
    </xf>
    <xf numFmtId="0" fontId="40" fillId="0" borderId="15" xfId="0" applyFont="1" applyBorder="1" applyAlignment="1">
      <alignment horizontal="center" vertical="center"/>
    </xf>
    <xf numFmtId="0" fontId="41" fillId="0" borderId="0" xfId="0" applyFont="1" applyAlignment="1"/>
    <xf numFmtId="0" fontId="40" fillId="0" borderId="0" xfId="0" applyFont="1" applyAlignment="1">
      <alignment horizontal="center" vertical="center"/>
    </xf>
    <xf numFmtId="0" fontId="0" fillId="0" borderId="0" xfId="0" applyBorder="1">
      <alignment vertical="center"/>
    </xf>
    <xf numFmtId="0" fontId="0" fillId="0" borderId="0" xfId="0" applyBorder="1" applyAlignment="1"/>
    <xf numFmtId="0" fontId="13" fillId="0" borderId="0" xfId="0" applyFont="1" applyBorder="1">
      <alignment vertical="center"/>
    </xf>
    <xf numFmtId="0" fontId="3" fillId="0" borderId="0" xfId="0" applyFont="1" applyBorder="1">
      <alignment vertical="center"/>
    </xf>
    <xf numFmtId="0" fontId="25" fillId="0" borderId="0" xfId="0" applyFont="1" applyBorder="1" applyAlignment="1">
      <alignment horizontal="left" vertical="center" indent="1"/>
    </xf>
    <xf numFmtId="177" fontId="25" fillId="0" borderId="0" xfId="0" applyNumberFormat="1" applyFont="1" applyBorder="1" applyAlignment="1">
      <alignment horizontal="left" vertical="center" indent="1"/>
    </xf>
    <xf numFmtId="177" fontId="25" fillId="0" borderId="0" xfId="0" applyNumberFormat="1" applyFont="1" applyAlignment="1">
      <alignment horizontal="left" vertical="center" indent="1"/>
    </xf>
    <xf numFmtId="0" fontId="2" fillId="0" borderId="0" xfId="0" applyFont="1" applyAlignment="1"/>
    <xf numFmtId="0" fontId="38" fillId="0" borderId="60" xfId="0" applyFont="1" applyBorder="1" applyAlignment="1">
      <alignment horizontal="center" vertical="center" wrapText="1"/>
    </xf>
    <xf numFmtId="0" fontId="38" fillId="0" borderId="61" xfId="0" applyFont="1" applyBorder="1" applyAlignment="1">
      <alignment horizontal="center" vertical="center" wrapText="1"/>
    </xf>
    <xf numFmtId="0" fontId="38" fillId="0" borderId="62" xfId="0" applyFont="1" applyBorder="1" applyAlignment="1">
      <alignment horizontal="center" vertical="center" wrapText="1"/>
    </xf>
    <xf numFmtId="0" fontId="42" fillId="0" borderId="34" xfId="0" applyFont="1" applyBorder="1" applyAlignment="1">
      <alignment horizontal="center" vertical="center" wrapText="1"/>
    </xf>
    <xf numFmtId="186" fontId="42" fillId="0" borderId="34" xfId="0" applyNumberFormat="1" applyFont="1" applyBorder="1" applyAlignment="1">
      <alignment horizontal="center" vertical="center" wrapText="1"/>
    </xf>
    <xf numFmtId="0" fontId="25" fillId="0" borderId="34" xfId="0" applyFont="1" applyBorder="1" applyAlignment="1">
      <alignment horizontal="center" vertical="center" wrapText="1"/>
    </xf>
    <xf numFmtId="0" fontId="16" fillId="0" borderId="38" xfId="0" applyFont="1" applyBorder="1" applyAlignment="1">
      <alignment horizontal="center" vertical="center" wrapText="1"/>
    </xf>
    <xf numFmtId="0" fontId="42" fillId="0" borderId="12" xfId="0" applyFont="1" applyBorder="1" applyAlignment="1">
      <alignment horizontal="center" vertical="center" wrapText="1"/>
    </xf>
    <xf numFmtId="186" fontId="42" fillId="0" borderId="12" xfId="0" applyNumberFormat="1" applyFont="1" applyBorder="1" applyAlignment="1">
      <alignment horizontal="center" vertical="center" wrapText="1"/>
    </xf>
    <xf numFmtId="0" fontId="25" fillId="0" borderId="12" xfId="0" applyFont="1" applyBorder="1" applyAlignment="1">
      <alignment horizontal="center" vertical="center" wrapText="1"/>
    </xf>
    <xf numFmtId="0" fontId="16" fillId="0" borderId="40" xfId="0" applyFont="1" applyBorder="1" applyAlignment="1">
      <alignment horizontal="center" vertical="center" wrapText="1"/>
    </xf>
    <xf numFmtId="0" fontId="42" fillId="0" borderId="36" xfId="0" applyFont="1" applyBorder="1" applyAlignment="1">
      <alignment horizontal="center" vertical="center" wrapText="1"/>
    </xf>
    <xf numFmtId="186" fontId="42" fillId="0" borderId="36" xfId="0" applyNumberFormat="1" applyFont="1" applyBorder="1" applyAlignment="1">
      <alignment horizontal="center" vertical="center" wrapText="1"/>
    </xf>
    <xf numFmtId="0" fontId="25" fillId="0" borderId="36"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17" xfId="0" applyFont="1" applyBorder="1" applyAlignment="1">
      <alignment horizontal="right" vertical="center"/>
    </xf>
    <xf numFmtId="0" fontId="16" fillId="0" borderId="34" xfId="0" applyFont="1" applyBorder="1" applyAlignment="1">
      <alignment horizontal="center" vertical="center"/>
    </xf>
    <xf numFmtId="0" fontId="16" fillId="0" borderId="38" xfId="0" applyFont="1" applyBorder="1" applyAlignment="1">
      <alignment horizontal="center" vertical="center"/>
    </xf>
    <xf numFmtId="0" fontId="16" fillId="0" borderId="8" xfId="0" applyFont="1" applyBorder="1" applyAlignment="1">
      <alignment horizontal="right" vertical="center"/>
    </xf>
    <xf numFmtId="0" fontId="16" fillId="0" borderId="12" xfId="0" applyFont="1" applyBorder="1" applyAlignment="1">
      <alignment horizontal="center" vertical="center"/>
    </xf>
    <xf numFmtId="0" fontId="16" fillId="0" borderId="40" xfId="0" applyFont="1" applyBorder="1" applyAlignment="1">
      <alignment horizontal="center" vertical="center"/>
    </xf>
    <xf numFmtId="0" fontId="16" fillId="0" borderId="27" xfId="0" applyFont="1" applyBorder="1" applyAlignment="1">
      <alignment horizontal="right" vertical="center"/>
    </xf>
    <xf numFmtId="0" fontId="16" fillId="0" borderId="36" xfId="0" applyFont="1" applyBorder="1" applyAlignment="1">
      <alignment horizontal="center" vertical="center"/>
    </xf>
    <xf numFmtId="0" fontId="16" fillId="0" borderId="39" xfId="0" applyFont="1" applyBorder="1" applyAlignment="1">
      <alignment horizontal="center" vertical="center"/>
    </xf>
    <xf numFmtId="0" fontId="34" fillId="0" borderId="15" xfId="0" applyFont="1" applyBorder="1" applyAlignment="1">
      <alignment horizontal="right" vertical="center"/>
    </xf>
    <xf numFmtId="181" fontId="34" fillId="0" borderId="14" xfId="0" applyNumberFormat="1" applyFont="1" applyBorder="1" applyAlignment="1">
      <alignment horizontal="center" vertical="center"/>
    </xf>
    <xf numFmtId="181" fontId="34" fillId="0" borderId="20" xfId="0" applyNumberFormat="1" applyFont="1" applyBorder="1" applyAlignment="1">
      <alignment horizontal="center" vertical="center"/>
    </xf>
    <xf numFmtId="0" fontId="34" fillId="0" borderId="0" xfId="0" applyFont="1" applyAlignment="1">
      <alignment horizontal="right" vertical="center"/>
    </xf>
    <xf numFmtId="181" fontId="34" fillId="0" borderId="0" xfId="0" applyNumberFormat="1" applyFont="1" applyAlignment="1">
      <alignment horizontal="center" vertical="center"/>
    </xf>
    <xf numFmtId="0" fontId="25" fillId="0" borderId="0" xfId="0" applyFont="1" applyBorder="1" applyAlignment="1">
      <alignment vertical="center"/>
    </xf>
    <xf numFmtId="177" fontId="25" fillId="0" borderId="0" xfId="0" applyNumberFormat="1" applyFont="1" applyBorder="1" applyAlignment="1">
      <alignment vertical="center"/>
    </xf>
    <xf numFmtId="0" fontId="40" fillId="0" borderId="0" xfId="0" applyFont="1" applyAlignment="1">
      <alignment wrapText="1"/>
    </xf>
    <xf numFmtId="0" fontId="43" fillId="0" borderId="0" xfId="0" applyFont="1" applyAlignment="1"/>
    <xf numFmtId="0" fontId="16" fillId="0" borderId="0" xfId="0" applyFont="1" applyAlignment="1"/>
    <xf numFmtId="0" fontId="0" fillId="0" borderId="0" xfId="0" applyAlignment="1">
      <alignment vertical="top"/>
    </xf>
    <xf numFmtId="0" fontId="16" fillId="0" borderId="0" xfId="0" applyFont="1" applyAlignment="1">
      <alignment horizontal="left" vertical="top" wrapText="1"/>
    </xf>
    <xf numFmtId="0" fontId="34" fillId="0" borderId="0" xfId="0" applyFont="1" applyAlignment="1">
      <alignment horizontal="left" vertical="top"/>
    </xf>
    <xf numFmtId="0" fontId="44" fillId="0" borderId="0" xfId="0" applyFont="1" applyAlignment="1"/>
    <xf numFmtId="0" fontId="3" fillId="0" borderId="5" xfId="0" applyFont="1" applyBorder="1" applyAlignment="1"/>
    <xf numFmtId="0" fontId="3" fillId="0" borderId="6" xfId="0" applyFont="1" applyBorder="1" applyAlignment="1"/>
    <xf numFmtId="0" fontId="3" fillId="0" borderId="0" xfId="0" applyFont="1" applyAlignment="1">
      <alignment horizontal="left"/>
    </xf>
    <xf numFmtId="0" fontId="3" fillId="0" borderId="7" xfId="0" applyFont="1" applyBorder="1" applyAlignment="1">
      <alignment horizontal="center"/>
    </xf>
    <xf numFmtId="0" fontId="3" fillId="0" borderId="0" xfId="0" applyFont="1" applyAlignment="1">
      <alignment horizontal="left" wrapText="1"/>
    </xf>
    <xf numFmtId="0" fontId="3" fillId="0" borderId="0" xfId="50" applyFont="1"/>
    <xf numFmtId="0" fontId="7" fillId="14" borderId="0" xfId="50" applyFont="1" applyFill="1" applyAlignment="1">
      <alignment horizontal="center" vertical="center" textRotation="255"/>
    </xf>
    <xf numFmtId="0" fontId="3" fillId="14" borderId="0" xfId="50" applyFont="1" applyFill="1" applyAlignment="1">
      <alignment horizontal="center" vertical="center" textRotation="255"/>
    </xf>
    <xf numFmtId="0" fontId="7" fillId="15" borderId="0" xfId="50" applyFont="1" applyFill="1" applyAlignment="1">
      <alignment horizontal="center" vertical="center" textRotation="255"/>
    </xf>
    <xf numFmtId="0" fontId="3" fillId="15" borderId="0" xfId="50" applyFont="1" applyFill="1" applyAlignment="1">
      <alignment horizontal="center" vertical="center" textRotation="255"/>
    </xf>
    <xf numFmtId="0" fontId="7" fillId="16" borderId="0" xfId="50" applyFont="1" applyFill="1" applyAlignment="1">
      <alignment horizontal="center" vertical="center" textRotation="255"/>
    </xf>
    <xf numFmtId="0" fontId="7" fillId="17" borderId="0" xfId="50" applyFont="1" applyFill="1" applyAlignment="1">
      <alignment horizontal="center" wrapText="1"/>
    </xf>
    <xf numFmtId="0" fontId="3" fillId="17" borderId="0" xfId="50" applyFont="1" applyFill="1" applyAlignment="1">
      <alignment horizontal="center" wrapText="1"/>
    </xf>
    <xf numFmtId="0" fontId="7" fillId="18" borderId="0" xfId="50" applyFont="1" applyFill="1" applyAlignment="1">
      <alignment horizontal="center" vertical="center" textRotation="255"/>
    </xf>
    <xf numFmtId="0" fontId="3" fillId="18" borderId="0" xfId="50" applyFont="1" applyFill="1" applyAlignment="1">
      <alignment horizontal="center" vertical="center" textRotation="255"/>
    </xf>
    <xf numFmtId="0" fontId="7" fillId="19" borderId="0" xfId="50" applyFont="1" applyFill="1" applyAlignment="1">
      <alignment horizontal="center" vertical="center" textRotation="255"/>
    </xf>
    <xf numFmtId="0" fontId="3" fillId="19" borderId="0" xfId="50" applyFont="1" applyFill="1" applyAlignment="1">
      <alignment horizontal="center" vertical="center" textRotation="255"/>
    </xf>
    <xf numFmtId="0" fontId="7" fillId="3" borderId="0" xfId="50" applyFont="1" applyFill="1" applyAlignment="1">
      <alignment horizontal="center" vertical="center" textRotation="255"/>
    </xf>
    <xf numFmtId="0" fontId="7" fillId="20" borderId="0" xfId="50" applyFont="1" applyFill="1" applyAlignment="1">
      <alignment horizontal="center" vertical="center" textRotation="255"/>
    </xf>
    <xf numFmtId="0" fontId="7" fillId="6" borderId="0" xfId="50" applyFont="1" applyFill="1" applyAlignment="1">
      <alignment horizontal="center" vertical="center" textRotation="255"/>
    </xf>
    <xf numFmtId="0" fontId="3" fillId="6" borderId="0" xfId="50" applyFont="1" applyFill="1" applyAlignment="1">
      <alignment horizontal="center" vertical="center" textRotation="255"/>
    </xf>
    <xf numFmtId="0" fontId="7" fillId="0" borderId="0" xfId="50" applyFont="1"/>
    <xf numFmtId="0" fontId="45" fillId="0" borderId="0" xfId="50" applyFont="1"/>
    <xf numFmtId="0" fontId="3" fillId="0" borderId="0" xfId="50" applyFont="1" applyAlignment="1">
      <alignment wrapText="1"/>
    </xf>
    <xf numFmtId="0" fontId="46" fillId="0" borderId="0" xfId="0" applyFont="1">
      <alignment vertical="center"/>
    </xf>
    <xf numFmtId="0" fontId="3" fillId="0" borderId="0" xfId="50" applyFont="1" applyBorder="1"/>
    <xf numFmtId="0" fontId="3" fillId="0" borderId="0" xfId="51" applyFont="1" applyBorder="1">
      <alignment vertical="center"/>
    </xf>
    <xf numFmtId="0" fontId="11" fillId="0" borderId="0" xfId="50" applyFont="1" applyFill="1" applyBorder="1" applyAlignment="1">
      <alignment horizontal="center" vertical="center"/>
    </xf>
    <xf numFmtId="0" fontId="25" fillId="0" borderId="0" xfId="50" applyFont="1" applyFill="1" applyBorder="1" applyAlignment="1">
      <alignment vertical="center"/>
    </xf>
    <xf numFmtId="0" fontId="24" fillId="0" borderId="0" xfId="50" applyFont="1" applyAlignment="1">
      <alignment horizontal="left" vertical="center" wrapText="1"/>
    </xf>
    <xf numFmtId="0" fontId="3" fillId="0" borderId="0" xfId="50" applyFont="1" applyAlignment="1">
      <alignment horizontal="right"/>
    </xf>
    <xf numFmtId="177" fontId="25" fillId="0" borderId="5" xfId="50" applyNumberFormat="1" applyFont="1" applyBorder="1" applyAlignment="1">
      <alignment horizontal="center"/>
    </xf>
    <xf numFmtId="20" fontId="25" fillId="0" borderId="6" xfId="50" applyNumberFormat="1" applyFont="1" applyBorder="1" applyAlignment="1">
      <alignment horizontal="center"/>
    </xf>
    <xf numFmtId="0" fontId="21" fillId="0" borderId="63" xfId="50" applyFont="1" applyBorder="1" applyAlignment="1">
      <alignment horizontal="center" vertical="center" wrapText="1"/>
    </xf>
    <xf numFmtId="0" fontId="21" fillId="0" borderId="49" xfId="50" applyFont="1" applyBorder="1" applyAlignment="1">
      <alignment horizontal="center" vertical="center" wrapText="1"/>
    </xf>
    <xf numFmtId="0" fontId="21" fillId="0" borderId="64" xfId="50" applyFont="1" applyBorder="1" applyAlignment="1">
      <alignment horizontal="center" vertical="center" wrapText="1"/>
    </xf>
    <xf numFmtId="0" fontId="21" fillId="0" borderId="52" xfId="50" applyFont="1" applyBorder="1" applyAlignment="1">
      <alignment horizontal="center" vertical="center" wrapText="1"/>
    </xf>
    <xf numFmtId="0" fontId="21" fillId="0" borderId="45" xfId="50" applyFont="1" applyBorder="1" applyAlignment="1">
      <alignment horizontal="center" vertical="center" wrapText="1"/>
    </xf>
    <xf numFmtId="0" fontId="21" fillId="0" borderId="46" xfId="50" applyFont="1" applyBorder="1" applyAlignment="1">
      <alignment horizontal="center" vertical="center" wrapText="1"/>
    </xf>
    <xf numFmtId="0" fontId="25" fillId="0" borderId="37" xfId="50" applyFont="1" applyBorder="1" applyAlignment="1">
      <alignment horizontal="center"/>
    </xf>
    <xf numFmtId="0" fontId="25" fillId="0" borderId="12" xfId="50" applyFont="1" applyBorder="1" applyAlignment="1">
      <alignment horizontal="center"/>
    </xf>
    <xf numFmtId="0" fontId="11" fillId="0" borderId="0" xfId="51" applyFont="1" applyFill="1" applyBorder="1" applyAlignment="1">
      <alignment horizontal="center" vertical="center"/>
    </xf>
    <xf numFmtId="0" fontId="25" fillId="0" borderId="0" xfId="51" applyFont="1" applyFill="1" applyBorder="1" applyAlignment="1">
      <alignment vertical="center"/>
    </xf>
    <xf numFmtId="0" fontId="24" fillId="0" borderId="10" xfId="50" applyFont="1" applyBorder="1" applyAlignment="1">
      <alignment horizontal="left" vertical="center" wrapText="1"/>
    </xf>
    <xf numFmtId="0" fontId="3" fillId="0" borderId="12" xfId="50" applyFont="1" applyBorder="1" applyAlignment="1">
      <alignment horizontal="left"/>
    </xf>
    <xf numFmtId="0" fontId="3" fillId="0" borderId="0" xfId="50" applyFont="1" applyAlignment="1">
      <alignment horizontal="left"/>
    </xf>
    <xf numFmtId="0" fontId="3" fillId="0" borderId="0" xfId="50" applyFont="1" applyAlignment="1">
      <alignment horizontal="distributed"/>
    </xf>
    <xf numFmtId="180" fontId="25" fillId="0" borderId="5" xfId="50" applyNumberFormat="1" applyFont="1" applyBorder="1" applyAlignment="1">
      <alignment horizontal="center"/>
    </xf>
    <xf numFmtId="0" fontId="21" fillId="0" borderId="59" xfId="50" applyFont="1" applyBorder="1" applyAlignment="1">
      <alignment horizontal="center" vertical="center"/>
    </xf>
    <xf numFmtId="0" fontId="21" fillId="0" borderId="17" xfId="50" applyFont="1" applyBorder="1" applyAlignment="1">
      <alignment horizontal="center" vertical="center"/>
    </xf>
    <xf numFmtId="0" fontId="21" fillId="0" borderId="58" xfId="50" applyFont="1" applyBorder="1" applyAlignment="1">
      <alignment horizontal="center" vertical="center"/>
    </xf>
    <xf numFmtId="0" fontId="21" fillId="0" borderId="52" xfId="50" applyFont="1" applyBorder="1" applyAlignment="1">
      <alignment horizontal="center" vertical="center"/>
    </xf>
    <xf numFmtId="0" fontId="21" fillId="0" borderId="2" xfId="50" applyFont="1" applyBorder="1" applyAlignment="1">
      <alignment horizontal="center" vertical="center"/>
    </xf>
    <xf numFmtId="0" fontId="21" fillId="0" borderId="3" xfId="50" applyFont="1" applyBorder="1" applyAlignment="1">
      <alignment horizontal="center" vertical="center"/>
    </xf>
    <xf numFmtId="0" fontId="21" fillId="0" borderId="46" xfId="50" applyFont="1" applyBorder="1" applyAlignment="1">
      <alignment horizontal="center" vertical="center"/>
    </xf>
    <xf numFmtId="0" fontId="38" fillId="0" borderId="46" xfId="50" applyFont="1" applyBorder="1" applyAlignment="1">
      <alignment horizontal="center" vertical="center"/>
    </xf>
    <xf numFmtId="0" fontId="21" fillId="0" borderId="0" xfId="50" applyFont="1" applyAlignment="1">
      <alignment horizontal="center" vertical="center"/>
    </xf>
    <xf numFmtId="182" fontId="25" fillId="0" borderId="12" xfId="50" applyNumberFormat="1" applyFont="1" applyBorder="1" applyAlignment="1">
      <alignment horizontal="center"/>
    </xf>
    <xf numFmtId="0" fontId="47" fillId="0" borderId="0" xfId="51" applyFont="1" applyFill="1" applyBorder="1" applyAlignment="1">
      <alignment vertical="center"/>
    </xf>
    <xf numFmtId="0" fontId="25" fillId="0" borderId="0" xfId="50" applyFont="1" applyAlignment="1">
      <alignment horizontal="left"/>
    </xf>
    <xf numFmtId="177" fontId="25" fillId="0" borderId="0" xfId="50" applyNumberFormat="1" applyFont="1" applyAlignment="1">
      <alignment horizontal="left"/>
    </xf>
    <xf numFmtId="0" fontId="25" fillId="0" borderId="12" xfId="50" applyFont="1" applyBorder="1" applyAlignment="1">
      <alignment horizontal="left"/>
    </xf>
    <xf numFmtId="180" fontId="3" fillId="0" borderId="5" xfId="50" applyNumberFormat="1" applyFont="1" applyBorder="1" applyAlignment="1">
      <alignment horizontal="left" indent="1"/>
    </xf>
    <xf numFmtId="0" fontId="25" fillId="0" borderId="0" xfId="50" applyFont="1" applyAlignment="1"/>
    <xf numFmtId="0" fontId="16" fillId="0" borderId="0" xfId="50" applyFont="1" applyAlignment="1">
      <alignment horizontal="right"/>
    </xf>
    <xf numFmtId="0" fontId="3" fillId="0" borderId="0" xfId="50" applyFont="1" applyAlignment="1">
      <alignment horizontal="left" indent="1"/>
    </xf>
    <xf numFmtId="186" fontId="3" fillId="0" borderId="0" xfId="50" applyNumberFormat="1" applyFont="1" applyAlignment="1">
      <alignment horizontal="right"/>
    </xf>
    <xf numFmtId="187" fontId="25" fillId="0" borderId="0" xfId="50" applyNumberFormat="1" applyFont="1" applyAlignment="1">
      <alignment horizontal="center"/>
    </xf>
    <xf numFmtId="0" fontId="48" fillId="0" borderId="0" xfId="51" applyFont="1">
      <alignment vertical="center"/>
    </xf>
    <xf numFmtId="0" fontId="21" fillId="0" borderId="49" xfId="50" applyFont="1" applyBorder="1" applyAlignment="1">
      <alignment horizontal="center" vertical="center"/>
    </xf>
    <xf numFmtId="0" fontId="21" fillId="0" borderId="60" xfId="50" applyFont="1" applyBorder="1" applyAlignment="1">
      <alignment horizontal="center" vertical="center" wrapText="1"/>
    </xf>
    <xf numFmtId="0" fontId="21" fillId="0" borderId="2" xfId="50" applyFont="1" applyBorder="1" applyAlignment="1">
      <alignment horizontal="center" vertical="center" wrapText="1"/>
    </xf>
    <xf numFmtId="0" fontId="21" fillId="0" borderId="3" xfId="50" applyFont="1" applyBorder="1" applyAlignment="1">
      <alignment horizontal="center" vertical="center" wrapText="1"/>
    </xf>
    <xf numFmtId="0" fontId="21" fillId="0" borderId="61" xfId="50" applyFont="1" applyBorder="1" applyAlignment="1">
      <alignment horizontal="center" vertical="center" wrapText="1"/>
    </xf>
    <xf numFmtId="0" fontId="49" fillId="0" borderId="52" xfId="50" applyFont="1" applyBorder="1" applyAlignment="1">
      <alignment horizontal="center" vertical="center" wrapText="1"/>
    </xf>
    <xf numFmtId="0" fontId="49" fillId="0" borderId="46" xfId="50" applyFont="1" applyBorder="1" applyAlignment="1">
      <alignment horizontal="center" vertical="center"/>
    </xf>
    <xf numFmtId="0" fontId="49" fillId="0" borderId="46" xfId="50" applyFont="1" applyBorder="1" applyAlignment="1">
      <alignment horizontal="center" vertical="center" wrapText="1"/>
    </xf>
    <xf numFmtId="0" fontId="21" fillId="0" borderId="47" xfId="50" applyFont="1" applyBorder="1" applyAlignment="1">
      <alignment horizontal="center" vertical="center" wrapText="1"/>
    </xf>
    <xf numFmtId="0" fontId="16" fillId="0" borderId="12" xfId="50" applyFont="1" applyBorder="1" applyAlignment="1">
      <alignment horizontal="center"/>
    </xf>
    <xf numFmtId="0" fontId="25" fillId="0" borderId="2" xfId="50" applyFont="1" applyBorder="1" applyAlignment="1">
      <alignment horizontal="center"/>
    </xf>
    <xf numFmtId="190" fontId="25" fillId="0" borderId="2" xfId="50" applyNumberFormat="1" applyFont="1" applyBorder="1" applyAlignment="1">
      <alignment horizontal="center"/>
    </xf>
    <xf numFmtId="180" fontId="3" fillId="0" borderId="40" xfId="50" applyNumberFormat="1" applyFont="1" applyBorder="1" applyAlignment="1">
      <alignment horizontal="center"/>
    </xf>
    <xf numFmtId="0" fontId="25" fillId="0" borderId="65" xfId="50" applyFont="1" applyBorder="1" applyAlignment="1">
      <alignment horizontal="center"/>
    </xf>
    <xf numFmtId="0" fontId="25" fillId="0" borderId="66" xfId="50" applyFont="1" applyBorder="1" applyAlignment="1">
      <alignment horizontal="center"/>
    </xf>
    <xf numFmtId="0" fontId="3" fillId="0" borderId="18" xfId="50" applyFont="1" applyBorder="1"/>
    <xf numFmtId="0" fontId="21" fillId="0" borderId="0" xfId="50" applyFont="1"/>
    <xf numFmtId="0" fontId="21" fillId="0" borderId="0" xfId="50" applyFont="1" applyAlignment="1">
      <alignment horizontal="left" indent="1"/>
    </xf>
    <xf numFmtId="0" fontId="50" fillId="0" borderId="0" xfId="51">
      <alignment vertical="center"/>
    </xf>
    <xf numFmtId="0" fontId="44" fillId="0" borderId="0" xfId="50" applyFont="1" applyAlignment="1">
      <alignment horizontal="left" indent="2"/>
    </xf>
    <xf numFmtId="0" fontId="3" fillId="0" borderId="0" xfId="50" applyFont="1" applyAlignment="1">
      <alignment horizontal="left" indent="2"/>
    </xf>
    <xf numFmtId="0" fontId="3" fillId="0" borderId="0" xfId="50" applyFont="1" applyAlignment="1">
      <alignment horizontal="left" wrapText="1"/>
    </xf>
    <xf numFmtId="182" fontId="25" fillId="0" borderId="66" xfId="50" applyNumberFormat="1" applyFont="1" applyBorder="1" applyAlignment="1">
      <alignment horizontal="center"/>
    </xf>
    <xf numFmtId="191" fontId="16" fillId="0" borderId="5" xfId="50" applyNumberFormat="1" applyFont="1" applyBorder="1" applyAlignment="1">
      <alignment horizontal="center"/>
    </xf>
    <xf numFmtId="0" fontId="3" fillId="0" borderId="12" xfId="50" applyFont="1" applyBorder="1" applyAlignment="1">
      <alignment horizontal="left" indent="1"/>
    </xf>
    <xf numFmtId="180" fontId="3" fillId="0" borderId="5" xfId="50" applyNumberFormat="1" applyFont="1" applyBorder="1" applyAlignment="1">
      <alignment horizontal="center"/>
    </xf>
    <xf numFmtId="0" fontId="3" fillId="0" borderId="12" xfId="50" applyFont="1" applyBorder="1" applyAlignment="1">
      <alignment horizontal="left" vertical="center" wrapText="1" indent="1"/>
    </xf>
    <xf numFmtId="0" fontId="44" fillId="0" borderId="0" xfId="50" applyFont="1" applyAlignment="1">
      <alignment horizontal="left"/>
    </xf>
    <xf numFmtId="0" fontId="3" fillId="0" borderId="5" xfId="50" applyFont="1" applyBorder="1"/>
    <xf numFmtId="0" fontId="3" fillId="0" borderId="6" xfId="50" applyFont="1" applyBorder="1"/>
    <xf numFmtId="0" fontId="3" fillId="0" borderId="0" xfId="50" applyFont="1" applyAlignment="1">
      <alignment horizontal="left" vertical="center"/>
    </xf>
    <xf numFmtId="0" fontId="16" fillId="0" borderId="66" xfId="50" applyFont="1" applyBorder="1" applyAlignment="1">
      <alignment horizontal="center"/>
    </xf>
    <xf numFmtId="190" fontId="25" fillId="0" borderId="25" xfId="50" applyNumberFormat="1" applyFont="1" applyBorder="1" applyAlignment="1">
      <alignment horizontal="center"/>
    </xf>
    <xf numFmtId="180" fontId="3" fillId="0" borderId="67" xfId="50" applyNumberFormat="1" applyFont="1" applyBorder="1" applyAlignment="1">
      <alignment horizontal="center"/>
    </xf>
    <xf numFmtId="0" fontId="4" fillId="0" borderId="18" xfId="50" applyFont="1" applyBorder="1" applyAlignment="1">
      <alignment horizontal="center"/>
    </xf>
    <xf numFmtId="0" fontId="3" fillId="0" borderId="12" xfId="50" applyFont="1" applyBorder="1" applyAlignment="1">
      <alignment horizontal="center" vertical="center"/>
    </xf>
    <xf numFmtId="0" fontId="3" fillId="0" borderId="12" xfId="50" applyFont="1" applyBorder="1" applyAlignment="1">
      <alignment horizontal="center"/>
    </xf>
    <xf numFmtId="0" fontId="4" fillId="0" borderId="0" xfId="50" applyFont="1" applyAlignment="1">
      <alignment horizontal="center"/>
    </xf>
    <xf numFmtId="0" fontId="3" fillId="0" borderId="12" xfId="50" applyFont="1" applyBorder="1"/>
    <xf numFmtId="0" fontId="25" fillId="0" borderId="12" xfId="50" applyFont="1" applyBorder="1" applyAlignment="1">
      <alignment horizontal="left" indent="1"/>
    </xf>
    <xf numFmtId="0" fontId="3" fillId="0" borderId="5" xfId="50" applyFont="1" applyBorder="1" applyAlignment="1">
      <alignment horizontal="center"/>
    </xf>
    <xf numFmtId="0" fontId="3" fillId="0" borderId="0" xfId="50" applyFont="1" applyAlignment="1">
      <alignment vertical="center"/>
    </xf>
    <xf numFmtId="0" fontId="44" fillId="0" borderId="0" xfId="50" applyFont="1" applyAlignment="1">
      <alignment vertical="center"/>
    </xf>
    <xf numFmtId="0" fontId="6" fillId="0" borderId="0" xfId="50" applyFont="1"/>
    <xf numFmtId="0" fontId="25" fillId="0" borderId="0" xfId="50" applyFont="1"/>
    <xf numFmtId="0" fontId="51" fillId="0" borderId="0" xfId="52" applyFont="1" applyFill="1"/>
    <xf numFmtId="0" fontId="4" fillId="0" borderId="0" xfId="52" applyFont="1" applyFill="1"/>
    <xf numFmtId="0" fontId="4" fillId="0" borderId="0" xfId="52" applyFont="1" applyFill="1" applyAlignment="1">
      <alignment horizontal="right"/>
    </xf>
    <xf numFmtId="0" fontId="4" fillId="0" borderId="0" xfId="52" applyFont="1" applyFill="1" applyAlignment="1">
      <alignment horizontal="right" vertical="center"/>
    </xf>
    <xf numFmtId="177" fontId="4" fillId="0" borderId="0" xfId="52" applyNumberFormat="1" applyFont="1" applyFill="1" applyAlignment="1">
      <alignment horizontal="right"/>
    </xf>
    <xf numFmtId="14" fontId="4" fillId="0" borderId="0" xfId="52" applyNumberFormat="1" applyFont="1" applyFill="1" applyAlignment="1">
      <alignment horizontal="right"/>
    </xf>
    <xf numFmtId="0" fontId="52" fillId="0" borderId="0" xfId="52" applyFont="1" applyFill="1" applyAlignment="1">
      <alignment horizontal="right" vertical="center"/>
    </xf>
    <xf numFmtId="0" fontId="4" fillId="0" borderId="1" xfId="52" applyFont="1" applyFill="1" applyBorder="1" applyAlignment="1">
      <alignment horizontal="right"/>
    </xf>
    <xf numFmtId="0" fontId="4" fillId="0" borderId="0" xfId="0" applyFont="1">
      <alignment vertical="center"/>
    </xf>
    <xf numFmtId="0" fontId="4" fillId="0" borderId="0" xfId="51" applyFont="1">
      <alignment vertical="center"/>
    </xf>
    <xf numFmtId="0" fontId="4" fillId="0" borderId="0" xfId="51" applyFont="1" applyFill="1">
      <alignment vertical="center"/>
    </xf>
    <xf numFmtId="0" fontId="53" fillId="0" borderId="0" xfId="51" applyFont="1">
      <alignment vertical="center"/>
    </xf>
    <xf numFmtId="0" fontId="54" fillId="0" borderId="0" xfId="0" applyFont="1">
      <alignment vertical="center"/>
    </xf>
    <xf numFmtId="0" fontId="4" fillId="0" borderId="0" xfId="51" applyFont="1" applyFill="1" applyAlignment="1">
      <alignment horizontal="right" vertical="center"/>
    </xf>
    <xf numFmtId="0" fontId="4" fillId="0" borderId="0" xfId="0" applyFont="1" applyFill="1" applyAlignment="1">
      <alignment horizontal="right"/>
    </xf>
    <xf numFmtId="0" fontId="55" fillId="0" borderId="0" xfId="0" applyFont="1">
      <alignment vertical="center"/>
    </xf>
    <xf numFmtId="0" fontId="56" fillId="0" borderId="0" xfId="0" applyFont="1">
      <alignment vertical="center"/>
    </xf>
    <xf numFmtId="0" fontId="6" fillId="0" borderId="0" xfId="51" applyFont="1">
      <alignment vertical="center"/>
    </xf>
    <xf numFmtId="0" fontId="3" fillId="0" borderId="68" xfId="0" applyFont="1" applyBorder="1" applyAlignment="1">
      <alignment horizontal="center" vertical="center"/>
    </xf>
    <xf numFmtId="0" fontId="25" fillId="0" borderId="69" xfId="0" applyFont="1" applyBorder="1" applyAlignment="1">
      <alignment horizontal="center" vertical="center"/>
    </xf>
    <xf numFmtId="0" fontId="3" fillId="0" borderId="70" xfId="0" applyFont="1" applyBorder="1" applyAlignment="1">
      <alignment horizontal="center" vertical="center"/>
    </xf>
    <xf numFmtId="0" fontId="3" fillId="0" borderId="71" xfId="0" applyFont="1" applyBorder="1" applyAlignment="1">
      <alignment horizontal="center" vertical="center"/>
    </xf>
    <xf numFmtId="0" fontId="3" fillId="0" borderId="72" xfId="0" applyFont="1" applyBorder="1" applyAlignment="1">
      <alignment horizontal="center" vertical="center"/>
    </xf>
    <xf numFmtId="0" fontId="25" fillId="0" borderId="73" xfId="0" applyFont="1" applyBorder="1" applyAlignment="1">
      <alignment horizontal="center" vertical="center"/>
    </xf>
    <xf numFmtId="177" fontId="25" fillId="0" borderId="0" xfId="0" applyNumberFormat="1" applyFont="1" applyAlignment="1">
      <alignment horizontal="center" vertical="center"/>
    </xf>
    <xf numFmtId="49" fontId="25" fillId="0" borderId="0" xfId="0" applyNumberFormat="1" applyFont="1" applyAlignment="1">
      <alignment horizontal="center" vertical="center"/>
    </xf>
    <xf numFmtId="0" fontId="25" fillId="0" borderId="0" xfId="0" applyFont="1" applyAlignment="1">
      <alignment horizontal="center" vertical="center"/>
    </xf>
    <xf numFmtId="189" fontId="25" fillId="0" borderId="0" xfId="0" applyNumberFormat="1" applyFont="1" applyAlignment="1">
      <alignment horizontal="center" vertical="center"/>
    </xf>
    <xf numFmtId="182" fontId="25" fillId="0" borderId="0" xfId="0" applyNumberFormat="1" applyFont="1" applyAlignment="1">
      <alignment horizontal="center" vertical="center"/>
    </xf>
    <xf numFmtId="182" fontId="25" fillId="0" borderId="74" xfId="0" applyNumberFormat="1" applyFont="1" applyBorder="1" applyAlignment="1">
      <alignment horizontal="center" vertical="center"/>
    </xf>
    <xf numFmtId="182" fontId="25" fillId="0" borderId="75" xfId="0" applyNumberFormat="1" applyFont="1" applyBorder="1" applyAlignment="1">
      <alignment horizontal="center" vertical="center"/>
    </xf>
    <xf numFmtId="182" fontId="3" fillId="0" borderId="0" xfId="0" applyNumberFormat="1" applyFont="1" applyFill="1" applyAlignment="1">
      <alignment horizontal="center" vertical="center"/>
    </xf>
    <xf numFmtId="0" fontId="0" fillId="0" borderId="0" xfId="0" applyAlignment="1">
      <alignment horizontal="left" vertical="center" indent="1"/>
    </xf>
    <xf numFmtId="0" fontId="3" fillId="0" borderId="0" xfId="0" applyFont="1" applyFill="1" applyAlignment="1">
      <alignment horizontal="left" vertical="center" indent="1"/>
    </xf>
    <xf numFmtId="182" fontId="25" fillId="0" borderId="0" xfId="0" applyNumberFormat="1" applyFont="1" applyFill="1" applyAlignment="1">
      <alignment horizontal="center" vertical="center"/>
    </xf>
    <xf numFmtId="0" fontId="25" fillId="0" borderId="0" xfId="0" applyFont="1" applyFill="1" applyAlignment="1">
      <alignment horizontal="center" vertical="center"/>
    </xf>
    <xf numFmtId="2" fontId="3" fillId="0" borderId="0" xfId="0" applyNumberFormat="1" applyFont="1" applyAlignment="1">
      <alignment horizontal="center" vertical="center"/>
    </xf>
    <xf numFmtId="192" fontId="3" fillId="0" borderId="0" xfId="0" applyNumberFormat="1" applyFont="1" applyAlignment="1">
      <alignment horizontal="center" vertical="center"/>
    </xf>
    <xf numFmtId="186" fontId="3" fillId="0" borderId="0" xfId="0" applyNumberFormat="1" applyFont="1" applyAlignment="1">
      <alignment horizontal="center" vertical="center"/>
    </xf>
    <xf numFmtId="178" fontId="3" fillId="0" borderId="0" xfId="0" applyNumberFormat="1" applyFont="1" applyAlignment="1">
      <alignment horizontal="center" vertical="center"/>
    </xf>
    <xf numFmtId="191" fontId="3" fillId="0" borderId="0" xfId="0" applyNumberFormat="1" applyFont="1" applyAlignment="1">
      <alignment horizontal="center" vertical="center"/>
    </xf>
    <xf numFmtId="0" fontId="3" fillId="0" borderId="0" xfId="0" applyFont="1" applyFill="1" applyAlignment="1">
      <alignment horizontal="center" vertical="center"/>
    </xf>
    <xf numFmtId="0" fontId="3" fillId="0" borderId="53" xfId="0" applyFont="1" applyBorder="1" applyAlignment="1">
      <alignment horizontal="center" vertical="center"/>
    </xf>
    <xf numFmtId="0" fontId="3" fillId="0" borderId="10" xfId="0" applyFont="1" applyBorder="1" applyAlignment="1">
      <alignment horizontal="center" vertical="center"/>
    </xf>
    <xf numFmtId="193" fontId="3" fillId="0" borderId="0" xfId="0" applyNumberFormat="1" applyFont="1" applyFill="1" applyAlignment="1">
      <alignment horizontal="center" vertical="center"/>
    </xf>
    <xf numFmtId="0" fontId="3" fillId="0" borderId="53" xfId="0" applyFont="1" applyFill="1" applyBorder="1" applyAlignment="1">
      <alignment horizontal="center" vertical="center"/>
    </xf>
    <xf numFmtId="0" fontId="3" fillId="0" borderId="10" xfId="0" applyFont="1" applyFill="1" applyBorder="1" applyAlignment="1">
      <alignment horizontal="center" vertical="center"/>
    </xf>
    <xf numFmtId="178" fontId="3" fillId="0" borderId="0" xfId="0" applyNumberFormat="1" applyFont="1" applyFill="1" applyAlignment="1">
      <alignment horizontal="center" vertical="center"/>
    </xf>
    <xf numFmtId="178" fontId="3" fillId="0" borderId="74" xfId="0" applyNumberFormat="1" applyFont="1" applyFill="1" applyBorder="1" applyAlignment="1">
      <alignment horizontal="center" vertical="center"/>
    </xf>
    <xf numFmtId="178" fontId="3" fillId="0" borderId="75" xfId="0" applyNumberFormat="1" applyFont="1" applyFill="1" applyBorder="1" applyAlignment="1">
      <alignment horizontal="center" vertical="center"/>
    </xf>
    <xf numFmtId="178" fontId="3" fillId="0" borderId="76" xfId="0" applyNumberFormat="1" applyFont="1" applyFill="1" applyBorder="1" applyAlignment="1">
      <alignment horizontal="center" vertical="center"/>
    </xf>
    <xf numFmtId="178" fontId="3" fillId="0" borderId="77" xfId="0" applyNumberFormat="1" applyFont="1" applyFill="1" applyBorder="1" applyAlignment="1">
      <alignment horizontal="center" vertical="center"/>
    </xf>
    <xf numFmtId="0" fontId="3" fillId="0" borderId="11" xfId="0" applyFont="1" applyBorder="1">
      <alignment vertical="center"/>
    </xf>
    <xf numFmtId="0" fontId="3" fillId="0" borderId="72" xfId="0" applyFont="1" applyFill="1" applyBorder="1" applyAlignment="1">
      <alignment horizontal="center" vertical="center"/>
    </xf>
    <xf numFmtId="176" fontId="3" fillId="0" borderId="73" xfId="0" applyNumberFormat="1" applyFont="1" applyFill="1" applyBorder="1" applyAlignment="1">
      <alignment horizontal="center" vertical="center"/>
    </xf>
    <xf numFmtId="0" fontId="3" fillId="0" borderId="73" xfId="0" applyFont="1" applyFill="1" applyBorder="1" applyAlignment="1">
      <alignment horizontal="center" vertical="center"/>
    </xf>
    <xf numFmtId="180" fontId="3" fillId="0" borderId="73" xfId="0" applyNumberFormat="1" applyFont="1" applyFill="1" applyBorder="1" applyAlignment="1">
      <alignment horizontal="center" vertical="center"/>
    </xf>
    <xf numFmtId="0" fontId="3" fillId="0" borderId="78" xfId="0" applyFont="1" applyFill="1" applyBorder="1" applyAlignment="1">
      <alignment horizontal="center" vertical="center"/>
    </xf>
    <xf numFmtId="0" fontId="21" fillId="0" borderId="8" xfId="0" applyFont="1" applyBorder="1" applyAlignment="1">
      <alignment horizontal="center" vertical="center"/>
    </xf>
    <xf numFmtId="0" fontId="21" fillId="0" borderId="13" xfId="0" applyFont="1" applyBorder="1" applyAlignment="1">
      <alignment horizontal="center" vertical="center"/>
    </xf>
    <xf numFmtId="0" fontId="4" fillId="0" borderId="0" xfId="0" applyFont="1" applyAlignment="1">
      <alignment vertical="center" wrapText="1"/>
    </xf>
    <xf numFmtId="0" fontId="57" fillId="0" borderId="0" xfId="0" applyFont="1">
      <alignment vertical="center"/>
    </xf>
    <xf numFmtId="0" fontId="58" fillId="0" borderId="0" xfId="0" applyFont="1">
      <alignment vertical="center"/>
    </xf>
    <xf numFmtId="0" fontId="44" fillId="0" borderId="0" xfId="0" applyFont="1" applyAlignment="1">
      <alignment horizontal="left" indent="1"/>
    </xf>
    <xf numFmtId="0" fontId="4" fillId="0" borderId="0" xfId="0" applyFont="1" applyAlignment="1">
      <alignment horizontal="left" wrapText="1" indent="2"/>
    </xf>
    <xf numFmtId="0" fontId="24" fillId="0" borderId="0" xfId="0" applyFont="1" applyAlignment="1">
      <alignment horizontal="left" vertical="center" wrapText="1"/>
    </xf>
    <xf numFmtId="0" fontId="6" fillId="0" borderId="2" xfId="0" applyFont="1" applyBorder="1" applyAlignment="1">
      <alignment horizontal="left" vertical="center" indent="1"/>
    </xf>
    <xf numFmtId="0" fontId="6" fillId="0" borderId="3" xfId="0" applyFont="1" applyBorder="1" applyAlignment="1">
      <alignment horizontal="left" vertical="center" indent="1"/>
    </xf>
    <xf numFmtId="0" fontId="6" fillId="0" borderId="2" xfId="0" applyFont="1" applyBorder="1" applyAlignment="1">
      <alignment horizontal="left" vertical="center"/>
    </xf>
    <xf numFmtId="0" fontId="3" fillId="0" borderId="0" xfId="0" applyFont="1" applyAlignment="1">
      <alignment horizontal="right" vertical="center" wrapText="1"/>
    </xf>
    <xf numFmtId="2" fontId="25" fillId="0" borderId="5" xfId="0" applyNumberFormat="1" applyFont="1" applyBorder="1" applyAlignment="1">
      <alignment horizontal="center" vertical="center"/>
    </xf>
    <xf numFmtId="0" fontId="3" fillId="0" borderId="0" xfId="0" applyFont="1" applyAlignment="1">
      <alignment vertical="center" wrapText="1"/>
    </xf>
    <xf numFmtId="2" fontId="25" fillId="0" borderId="6" xfId="0" applyNumberFormat="1" applyFont="1" applyBorder="1" applyAlignment="1">
      <alignment horizontal="center" vertical="center"/>
    </xf>
    <xf numFmtId="0" fontId="25" fillId="0" borderId="0" xfId="0" applyFont="1" applyAlignment="1">
      <alignment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6" fillId="0" borderId="34" xfId="0" applyFont="1" applyBorder="1" applyAlignment="1">
      <alignment horizontal="center" vertical="center" wrapText="1"/>
    </xf>
    <xf numFmtId="0" fontId="4" fillId="0" borderId="37" xfId="0" applyFont="1" applyBorder="1" applyAlignment="1">
      <alignment horizontal="center" vertical="center" wrapText="1"/>
    </xf>
    <xf numFmtId="0" fontId="4" fillId="0" borderId="12" xfId="0" applyFont="1" applyBorder="1" applyAlignment="1">
      <alignment horizontal="center" vertical="center" wrapText="1"/>
    </xf>
    <xf numFmtId="0" fontId="46" fillId="0" borderId="12" xfId="0" applyFont="1" applyBorder="1" applyAlignment="1">
      <alignment horizontal="center" vertical="center" wrapText="1"/>
    </xf>
    <xf numFmtId="0" fontId="46" fillId="0" borderId="37" xfId="0" applyFont="1" applyBorder="1" applyAlignment="1">
      <alignment horizontal="center" vertical="center" wrapText="1"/>
    </xf>
    <xf numFmtId="182" fontId="46" fillId="0" borderId="12" xfId="0" applyNumberFormat="1" applyFont="1" applyBorder="1" applyAlignment="1">
      <alignment horizontal="center" vertical="center" wrapText="1"/>
    </xf>
    <xf numFmtId="0" fontId="46" fillId="0" borderId="12" xfId="0" applyFont="1" applyBorder="1" applyAlignment="1">
      <alignment horizontal="center" vertical="center"/>
    </xf>
    <xf numFmtId="0" fontId="46" fillId="0" borderId="35" xfId="0" applyFont="1" applyBorder="1" applyAlignment="1">
      <alignment horizontal="center" vertical="center" wrapText="1"/>
    </xf>
    <xf numFmtId="182" fontId="46" fillId="0" borderId="36" xfId="0" applyNumberFormat="1" applyFont="1" applyBorder="1" applyAlignment="1">
      <alignment horizontal="center" vertical="center" wrapText="1"/>
    </xf>
    <xf numFmtId="182" fontId="46" fillId="0" borderId="66" xfId="0" applyNumberFormat="1" applyFont="1" applyBorder="1" applyAlignment="1">
      <alignment horizontal="center" vertical="center" wrapText="1"/>
    </xf>
    <xf numFmtId="0" fontId="46" fillId="0" borderId="36" xfId="0" applyFont="1" applyBorder="1" applyAlignment="1">
      <alignment horizontal="center" vertical="center" wrapText="1"/>
    </xf>
    <xf numFmtId="0" fontId="46" fillId="0" borderId="36" xfId="0" applyFont="1" applyBorder="1" applyAlignment="1">
      <alignment horizontal="center" vertical="center"/>
    </xf>
    <xf numFmtId="0" fontId="44" fillId="0" borderId="0" xfId="0" applyFont="1" applyAlignment="1">
      <alignment vertical="center" wrapText="1"/>
    </xf>
    <xf numFmtId="182" fontId="4" fillId="0" borderId="79" xfId="0" applyNumberFormat="1" applyFont="1" applyBorder="1" applyAlignment="1">
      <alignment horizontal="center" vertical="center" wrapText="1"/>
    </xf>
    <xf numFmtId="2" fontId="4" fillId="0" borderId="0" xfId="0" applyNumberFormat="1" applyFont="1" applyAlignment="1">
      <alignment vertical="center" wrapText="1"/>
    </xf>
    <xf numFmtId="0" fontId="6" fillId="0" borderId="8" xfId="0" applyFont="1" applyBorder="1" applyAlignment="1">
      <alignment horizontal="left" vertical="center"/>
    </xf>
    <xf numFmtId="0" fontId="6" fillId="0" borderId="3" xfId="0" applyFont="1" applyBorder="1" applyAlignment="1">
      <alignment horizontal="left" vertical="center"/>
    </xf>
    <xf numFmtId="0" fontId="11" fillId="0" borderId="0" xfId="50" applyFont="1" applyFill="1" applyBorder="1" applyAlignment="1">
      <alignment vertical="center"/>
    </xf>
    <xf numFmtId="0" fontId="47" fillId="0" borderId="0" xfId="0" applyFont="1" applyFill="1" applyBorder="1" applyAlignment="1">
      <alignment vertical="center"/>
    </xf>
    <xf numFmtId="0" fontId="4" fillId="0" borderId="0" xfId="0" applyFont="1" applyFill="1" applyBorder="1" applyAlignment="1">
      <alignment vertical="center" wrapText="1"/>
    </xf>
    <xf numFmtId="0" fontId="25" fillId="0" borderId="5" xfId="0" applyFont="1" applyBorder="1" applyAlignment="1">
      <alignment horizontal="left" vertical="center" wrapText="1" indent="1"/>
    </xf>
    <xf numFmtId="177" fontId="25" fillId="0" borderId="5" xfId="0" applyNumberFormat="1" applyFont="1" applyBorder="1" applyAlignment="1">
      <alignment horizontal="left" vertical="center" wrapText="1" indent="1"/>
    </xf>
    <xf numFmtId="185" fontId="25" fillId="0" borderId="5" xfId="0" applyNumberFormat="1" applyFont="1" applyBorder="1" applyAlignment="1">
      <alignment horizontal="left" vertical="center" wrapText="1" indent="1"/>
    </xf>
    <xf numFmtId="0" fontId="4" fillId="0" borderId="38" xfId="0" applyFont="1" applyBorder="1" applyAlignment="1">
      <alignment horizontal="center" vertical="center" wrapText="1"/>
    </xf>
    <xf numFmtId="0" fontId="4" fillId="0" borderId="40" xfId="0" applyFont="1" applyBorder="1" applyAlignment="1">
      <alignment horizontal="center" vertical="center" wrapText="1"/>
    </xf>
    <xf numFmtId="182" fontId="40" fillId="0" borderId="12" xfId="0" applyNumberFormat="1" applyFont="1" applyBorder="1" applyAlignment="1">
      <alignment horizontal="center" vertical="center" wrapText="1"/>
    </xf>
    <xf numFmtId="182" fontId="40" fillId="0" borderId="40" xfId="0" applyNumberFormat="1" applyFont="1" applyBorder="1" applyAlignment="1">
      <alignment horizontal="center" vertical="center" wrapText="1"/>
    </xf>
    <xf numFmtId="182" fontId="40" fillId="0" borderId="36" xfId="0" applyNumberFormat="1" applyFont="1" applyBorder="1" applyAlignment="1">
      <alignment horizontal="center" vertical="center" wrapText="1"/>
    </xf>
    <xf numFmtId="0" fontId="44" fillId="0" borderId="0" xfId="0" applyFont="1" applyAlignment="1">
      <alignment horizontal="right" vertical="center"/>
    </xf>
    <xf numFmtId="180" fontId="40" fillId="0" borderId="79" xfId="0" applyNumberFormat="1" applyFont="1" applyBorder="1" applyAlignment="1">
      <alignment horizontal="center" vertical="center" wrapText="1"/>
    </xf>
    <xf numFmtId="0" fontId="3" fillId="0" borderId="0" xfId="0" applyFont="1" applyBorder="1" applyAlignment="1">
      <alignment vertical="center"/>
    </xf>
    <xf numFmtId="0" fontId="25" fillId="0" borderId="0" xfId="0" applyFont="1" applyBorder="1" applyAlignment="1">
      <alignment vertical="center" wrapText="1"/>
    </xf>
    <xf numFmtId="177" fontId="25" fillId="0" borderId="0" xfId="0" applyNumberFormat="1" applyFont="1" applyBorder="1" applyAlignment="1">
      <alignment vertical="center" wrapText="1"/>
    </xf>
    <xf numFmtId="0" fontId="3" fillId="0" borderId="0" xfId="0" applyFont="1" applyBorder="1" applyAlignment="1">
      <alignment horizontal="left" vertical="center" wrapText="1" indent="3"/>
    </xf>
    <xf numFmtId="0" fontId="3" fillId="0" borderId="0" xfId="0" applyFont="1" applyBorder="1" applyAlignment="1">
      <alignment vertical="center" wrapText="1"/>
    </xf>
    <xf numFmtId="0" fontId="4" fillId="0" borderId="0" xfId="0" applyFont="1" applyBorder="1" applyAlignment="1">
      <alignment vertical="center" wrapText="1"/>
    </xf>
    <xf numFmtId="0" fontId="44" fillId="0" borderId="0" xfId="0" applyFont="1">
      <alignment vertical="center"/>
    </xf>
    <xf numFmtId="0" fontId="46" fillId="0" borderId="5" xfId="0" applyFont="1" applyBorder="1" applyAlignment="1">
      <alignment horizontal="left" vertical="center" wrapText="1"/>
    </xf>
    <xf numFmtId="0" fontId="4" fillId="0" borderId="6" xfId="0" applyFont="1" applyBorder="1" applyAlignment="1">
      <alignment horizontal="left" vertical="center" wrapText="1"/>
    </xf>
    <xf numFmtId="0" fontId="4" fillId="0" borderId="0" xfId="0" applyFont="1" applyAlignment="1">
      <alignment wrapText="1"/>
    </xf>
    <xf numFmtId="0" fontId="4" fillId="0" borderId="0" xfId="0" applyFont="1" applyAlignment="1">
      <alignment horizontal="left" wrapText="1" indent="3"/>
    </xf>
    <xf numFmtId="0" fontId="4" fillId="0" borderId="5" xfId="0" applyFont="1" applyBorder="1" applyAlignment="1">
      <alignment wrapText="1"/>
    </xf>
    <xf numFmtId="0" fontId="4" fillId="0" borderId="0" xfId="0" applyFont="1" applyAlignment="1">
      <alignment horizontal="left" indent="3"/>
    </xf>
    <xf numFmtId="0" fontId="4" fillId="0" borderId="6" xfId="0" applyFont="1" applyBorder="1" applyAlignment="1">
      <alignment wrapText="1"/>
    </xf>
    <xf numFmtId="0" fontId="4" fillId="0" borderId="0" xfId="0" applyFont="1" applyAlignment="1">
      <alignment horizontal="left" indent="2"/>
    </xf>
    <xf numFmtId="0" fontId="4" fillId="0" borderId="5" xfId="0" applyFont="1" applyBorder="1">
      <alignment vertical="center"/>
    </xf>
    <xf numFmtId="0" fontId="59" fillId="0" borderId="0" xfId="0" applyFont="1" applyAlignment="1">
      <alignment horizontal="left" vertical="center" wrapText="1"/>
    </xf>
    <xf numFmtId="0" fontId="4" fillId="0" borderId="5" xfId="0" applyFont="1" applyBorder="1" applyAlignment="1">
      <alignment horizontal="center" wrapText="1"/>
    </xf>
    <xf numFmtId="0" fontId="4" fillId="0" borderId="6" xfId="0" applyFont="1" applyBorder="1" applyAlignment="1">
      <alignment vertical="center" wrapText="1"/>
    </xf>
    <xf numFmtId="0" fontId="4" fillId="0" borderId="5" xfId="0" applyFont="1" applyBorder="1" applyAlignment="1">
      <alignment vertical="center" wrapText="1"/>
    </xf>
    <xf numFmtId="0" fontId="24" fillId="0" borderId="0" xfId="50" applyFont="1" applyAlignment="1">
      <alignment horizontal="left" vertical="center" wrapText="1" indent="1"/>
    </xf>
    <xf numFmtId="0" fontId="13" fillId="0" borderId="0" xfId="0" applyFont="1" applyAlignment="1"/>
    <xf numFmtId="0" fontId="3" fillId="0" borderId="0" xfId="50" applyFont="1" applyAlignment="1"/>
    <xf numFmtId="0" fontId="2" fillId="0" borderId="0" xfId="0" applyFont="1" applyAlignment="1">
      <alignment vertical="center"/>
    </xf>
    <xf numFmtId="0" fontId="3" fillId="0" borderId="0" xfId="50" applyFont="1" applyAlignment="1">
      <alignment horizontal="distributed" vertical="center"/>
    </xf>
    <xf numFmtId="2" fontId="25" fillId="0" borderId="5" xfId="50" applyNumberFormat="1" applyFont="1" applyBorder="1" applyAlignment="1">
      <alignment horizontal="center" vertical="center"/>
    </xf>
    <xf numFmtId="177" fontId="25" fillId="0" borderId="5" xfId="50" applyNumberFormat="1" applyFont="1" applyBorder="1" applyAlignment="1">
      <alignment horizontal="center" vertical="center"/>
    </xf>
    <xf numFmtId="2" fontId="25" fillId="0" borderId="6" xfId="50" applyNumberFormat="1" applyFont="1" applyBorder="1" applyAlignment="1">
      <alignment horizontal="center" vertical="center"/>
    </xf>
    <xf numFmtId="20" fontId="25" fillId="0" borderId="6" xfId="50" applyNumberFormat="1" applyFont="1" applyBorder="1" applyAlignment="1">
      <alignment horizontal="center" vertical="center"/>
    </xf>
    <xf numFmtId="0" fontId="25" fillId="0" borderId="6" xfId="50" applyFont="1" applyBorder="1" applyAlignment="1">
      <alignment horizontal="center" vertical="center"/>
    </xf>
    <xf numFmtId="2" fontId="3" fillId="0" borderId="5" xfId="50" applyNumberFormat="1" applyFont="1" applyBorder="1" applyAlignment="1">
      <alignment horizontal="center" vertical="center"/>
    </xf>
    <xf numFmtId="0" fontId="25" fillId="0" borderId="37" xfId="50" applyFont="1" applyBorder="1" applyAlignment="1">
      <alignment horizontal="center" vertical="center"/>
    </xf>
    <xf numFmtId="0" fontId="25" fillId="0" borderId="12" xfId="50" applyFont="1" applyBorder="1" applyAlignment="1">
      <alignment horizontal="center" vertical="center"/>
    </xf>
    <xf numFmtId="0" fontId="25" fillId="0" borderId="65" xfId="50" applyFont="1" applyBorder="1" applyAlignment="1">
      <alignment horizontal="center" vertical="center"/>
    </xf>
    <xf numFmtId="0" fontId="25" fillId="0" borderId="66" xfId="50" applyFont="1" applyBorder="1" applyAlignment="1">
      <alignment horizontal="center" vertical="center"/>
    </xf>
    <xf numFmtId="0" fontId="3" fillId="0" borderId="66" xfId="50" applyFont="1" applyBorder="1" applyAlignment="1">
      <alignment horizontal="center" vertical="center"/>
    </xf>
    <xf numFmtId="0" fontId="21" fillId="0" borderId="18" xfId="50" applyFont="1" applyBorder="1" applyAlignment="1">
      <alignment horizontal="center" vertical="center"/>
    </xf>
    <xf numFmtId="0" fontId="3" fillId="0" borderId="18" xfId="50" applyFont="1" applyBorder="1" applyAlignment="1">
      <alignment horizontal="center" vertical="center"/>
    </xf>
    <xf numFmtId="0" fontId="3" fillId="0" borderId="0" xfId="50" applyFont="1" applyAlignment="1">
      <alignment horizontal="center" vertical="center"/>
    </xf>
    <xf numFmtId="0" fontId="59" fillId="0" borderId="0" xfId="50" applyFont="1" applyAlignment="1">
      <alignment horizontal="distributed" vertical="center"/>
    </xf>
    <xf numFmtId="186" fontId="3" fillId="0" borderId="5" xfId="50" applyNumberFormat="1" applyFont="1" applyBorder="1" applyAlignment="1">
      <alignment horizontal="center" vertical="center"/>
    </xf>
    <xf numFmtId="0" fontId="21" fillId="0" borderId="47" xfId="50" applyFont="1" applyBorder="1" applyAlignment="1">
      <alignment horizontal="center" vertical="center"/>
    </xf>
    <xf numFmtId="176" fontId="25" fillId="0" borderId="12" xfId="50" applyNumberFormat="1" applyFont="1" applyBorder="1" applyAlignment="1">
      <alignment horizontal="center" vertical="center"/>
    </xf>
    <xf numFmtId="0" fontId="3" fillId="0" borderId="40" xfId="50" applyFont="1" applyBorder="1" applyAlignment="1">
      <alignment horizontal="center" vertical="center"/>
    </xf>
    <xf numFmtId="0" fontId="3" fillId="0" borderId="67" xfId="50" applyFont="1" applyBorder="1" applyAlignment="1">
      <alignment horizontal="center" vertical="center"/>
    </xf>
    <xf numFmtId="0" fontId="3" fillId="0" borderId="79" xfId="50" applyFont="1" applyBorder="1" applyAlignment="1">
      <alignment horizontal="center" vertical="center"/>
    </xf>
    <xf numFmtId="0" fontId="3" fillId="0" borderId="0" xfId="50" applyFont="1" applyBorder="1" applyAlignment="1"/>
    <xf numFmtId="0" fontId="3" fillId="0" borderId="0" xfId="50" applyFont="1" applyBorder="1" applyAlignment="1">
      <alignment horizontal="left" indent="2"/>
    </xf>
    <xf numFmtId="0" fontId="25" fillId="0" borderId="0" xfId="50" applyFont="1" applyBorder="1" applyAlignment="1">
      <alignment horizontal="left"/>
    </xf>
    <xf numFmtId="0" fontId="3" fillId="0" borderId="0" xfId="50" applyFont="1" applyBorder="1" applyAlignment="1">
      <alignment horizontal="left"/>
    </xf>
    <xf numFmtId="177" fontId="25" fillId="0" borderId="0" xfId="50" applyNumberFormat="1" applyFont="1" applyBorder="1" applyAlignment="1">
      <alignment horizontal="left"/>
    </xf>
    <xf numFmtId="0" fontId="3" fillId="0" borderId="5" xfId="50" applyFont="1" applyBorder="1" applyAlignment="1">
      <alignment horizontal="center" vertical="center"/>
    </xf>
    <xf numFmtId="0" fontId="3" fillId="0" borderId="7" xfId="50" applyFont="1" applyBorder="1" applyAlignment="1">
      <alignment horizontal="center" vertical="center"/>
    </xf>
    <xf numFmtId="0" fontId="58" fillId="0" borderId="0" xfId="50" applyFont="1" applyAlignment="1">
      <alignment horizontal="left" vertical="top" wrapText="1" indent="9"/>
    </xf>
    <xf numFmtId="0" fontId="12" fillId="0" borderId="0" xfId="0" applyFont="1">
      <alignment vertical="center"/>
    </xf>
    <xf numFmtId="0" fontId="60" fillId="0" borderId="0" xfId="0" applyFont="1">
      <alignment vertical="center"/>
    </xf>
    <xf numFmtId="0" fontId="6" fillId="0" borderId="0" xfId="0" applyFont="1" applyAlignment="1"/>
    <xf numFmtId="0" fontId="6" fillId="0" borderId="5" xfId="0" applyFont="1" applyBorder="1" applyAlignment="1"/>
    <xf numFmtId="0" fontId="6" fillId="0" borderId="6" xfId="0" applyFont="1" applyBorder="1" applyAlignment="1"/>
    <xf numFmtId="0" fontId="61" fillId="0" borderId="0" xfId="0" applyFont="1" applyAlignment="1">
      <alignment horizontal="left" vertical="center" wrapText="1"/>
    </xf>
    <xf numFmtId="0" fontId="6" fillId="0" borderId="5" xfId="0" applyFont="1" applyBorder="1" applyAlignment="1">
      <alignment horizontal="center"/>
    </xf>
    <xf numFmtId="0" fontId="6" fillId="0" borderId="6" xfId="0" applyFont="1" applyBorder="1">
      <alignment vertical="center"/>
    </xf>
    <xf numFmtId="0" fontId="6" fillId="0" borderId="5" xfId="0" applyFont="1" applyBorder="1">
      <alignment vertical="center"/>
    </xf>
    <xf numFmtId="0" fontId="6" fillId="0" borderId="7" xfId="0" applyFont="1" applyBorder="1">
      <alignment vertical="center"/>
    </xf>
    <xf numFmtId="0" fontId="44" fillId="0" borderId="0" xfId="50" applyFont="1" applyBorder="1" applyAlignment="1">
      <alignment horizontal="left" indent="3"/>
    </xf>
    <xf numFmtId="0" fontId="3" fillId="0" borderId="0" xfId="50" applyFont="1" applyBorder="1" applyAlignment="1">
      <alignment horizontal="left" indent="3"/>
    </xf>
    <xf numFmtId="0" fontId="3" fillId="0" borderId="0" xfId="50" applyFont="1" applyBorder="1" applyAlignment="1">
      <alignment wrapText="1"/>
    </xf>
    <xf numFmtId="0" fontId="44" fillId="0" borderId="0" xfId="50" applyFont="1" applyBorder="1" applyAlignment="1">
      <alignment horizontal="left" indent="2"/>
    </xf>
    <xf numFmtId="0" fontId="3" fillId="0" borderId="0" xfId="50" applyFont="1" applyBorder="1" applyAlignment="1">
      <alignment vertical="center"/>
    </xf>
    <xf numFmtId="0" fontId="44" fillId="0" borderId="0" xfId="50" applyFont="1" applyBorder="1" applyAlignment="1">
      <alignment vertical="center"/>
    </xf>
    <xf numFmtId="0" fontId="11" fillId="2" borderId="0" xfId="0" applyFont="1" applyFill="1" applyAlignment="1"/>
    <xf numFmtId="0" fontId="24" fillId="0" borderId="0" xfId="0" applyFont="1" applyAlignment="1">
      <alignment horizontal="center" vertical="center"/>
    </xf>
    <xf numFmtId="0" fontId="24" fillId="0" borderId="10" xfId="0" applyFont="1" applyBorder="1" applyAlignment="1">
      <alignment horizontal="center" vertical="center"/>
    </xf>
    <xf numFmtId="0" fontId="3" fillId="0" borderId="12" xfId="0" applyFont="1" applyBorder="1" applyAlignment="1">
      <alignment horizontal="left" vertical="center" indent="1"/>
    </xf>
    <xf numFmtId="0" fontId="23" fillId="0" borderId="0" xfId="0" applyFont="1" applyAlignment="1">
      <alignment horizontal="center" vertical="center"/>
    </xf>
    <xf numFmtId="0" fontId="3" fillId="0" borderId="0" xfId="0" applyFont="1" applyAlignment="1">
      <alignment horizontal="distributed"/>
    </xf>
    <xf numFmtId="2" fontId="25" fillId="0" borderId="5" xfId="0" applyNumberFormat="1" applyFont="1" applyBorder="1" applyAlignment="1">
      <alignment horizontal="center"/>
    </xf>
    <xf numFmtId="2" fontId="3" fillId="0" borderId="5" xfId="0" applyNumberFormat="1" applyFont="1" applyBorder="1" applyAlignment="1">
      <alignment horizontal="center"/>
    </xf>
    <xf numFmtId="0" fontId="21" fillId="0" borderId="63" xfId="0" applyFont="1" applyBorder="1" applyAlignment="1">
      <alignment horizontal="center" vertical="center" wrapText="1"/>
    </xf>
    <xf numFmtId="0" fontId="62" fillId="0" borderId="58" xfId="0" applyFont="1" applyBorder="1" applyAlignment="1">
      <alignment horizontal="center" vertical="center" wrapText="1"/>
    </xf>
    <xf numFmtId="0" fontId="21" fillId="0" borderId="34" xfId="0" applyFont="1" applyBorder="1" applyAlignment="1">
      <alignment horizontal="center" vertical="center"/>
    </xf>
    <xf numFmtId="0" fontId="21" fillId="0" borderId="34" xfId="0" applyFont="1" applyBorder="1" applyAlignment="1">
      <alignment horizontal="center" vertical="center" wrapText="1"/>
    </xf>
    <xf numFmtId="0" fontId="21" fillId="0" borderId="64" xfId="0" applyFont="1" applyBorder="1" applyAlignment="1">
      <alignment horizontal="center" vertical="center" wrapText="1"/>
    </xf>
    <xf numFmtId="0" fontId="62" fillId="0" borderId="3" xfId="0" applyFont="1" applyBorder="1" applyAlignment="1">
      <alignment horizontal="center" vertical="center" wrapText="1"/>
    </xf>
    <xf numFmtId="0" fontId="21" fillId="0" borderId="12" xfId="0" applyFont="1" applyBorder="1" applyAlignment="1">
      <alignment horizontal="center" vertical="center" wrapText="1"/>
    </xf>
    <xf numFmtId="0" fontId="21" fillId="0" borderId="12" xfId="0" applyFont="1" applyBorder="1" applyAlignment="1">
      <alignment horizontal="center" vertical="center"/>
    </xf>
    <xf numFmtId="0" fontId="21" fillId="0" borderId="45" xfId="0" applyFont="1" applyBorder="1" applyAlignment="1">
      <alignment horizontal="center" vertical="center" wrapText="1"/>
    </xf>
    <xf numFmtId="0" fontId="62" fillId="0" borderId="24" xfId="0" applyFont="1" applyBorder="1" applyAlignment="1">
      <alignment horizontal="center" vertical="center" wrapText="1"/>
    </xf>
    <xf numFmtId="0" fontId="21" fillId="0" borderId="66" xfId="0" applyFont="1" applyBorder="1" applyAlignment="1">
      <alignment horizontal="center" vertical="center" wrapText="1"/>
    </xf>
    <xf numFmtId="0" fontId="21" fillId="0" borderId="66" xfId="0" applyFont="1" applyBorder="1" applyAlignment="1">
      <alignment horizontal="center" vertical="center"/>
    </xf>
    <xf numFmtId="0" fontId="49" fillId="0" borderId="66" xfId="0" applyFont="1" applyBorder="1" applyAlignment="1">
      <alignment horizontal="center" vertical="center"/>
    </xf>
    <xf numFmtId="0" fontId="38" fillId="0" borderId="66" xfId="0" applyFont="1" applyBorder="1" applyAlignment="1">
      <alignment horizontal="center" vertical="center"/>
    </xf>
    <xf numFmtId="0" fontId="25" fillId="0" borderId="37" xfId="0" applyFont="1" applyBorder="1" applyAlignment="1">
      <alignment horizontal="center" vertical="center"/>
    </xf>
    <xf numFmtId="183" fontId="25" fillId="0" borderId="12" xfId="0" applyNumberFormat="1" applyFont="1" applyBorder="1" applyAlignment="1">
      <alignment horizontal="center" vertical="center"/>
    </xf>
    <xf numFmtId="0" fontId="25" fillId="0" borderId="35" xfId="0" applyFont="1" applyBorder="1" applyAlignment="1">
      <alignment horizontal="center" vertical="center"/>
    </xf>
    <xf numFmtId="0" fontId="25" fillId="0" borderId="36" xfId="0" applyFont="1" applyBorder="1" applyAlignment="1">
      <alignment horizontal="center" vertical="center"/>
    </xf>
    <xf numFmtId="182" fontId="25" fillId="0" borderId="36" xfId="0" applyNumberFormat="1" applyFont="1" applyBorder="1" applyAlignment="1">
      <alignment horizontal="center" vertical="center"/>
    </xf>
    <xf numFmtId="183" fontId="25" fillId="0" borderId="36" xfId="0" applyNumberFormat="1" applyFont="1" applyBorder="1" applyAlignment="1">
      <alignment horizontal="center" vertical="center"/>
    </xf>
    <xf numFmtId="0" fontId="3" fillId="0" borderId="0" xfId="0" applyFont="1" applyAlignment="1">
      <alignment horizontal="right" vertical="center" indent="1"/>
    </xf>
    <xf numFmtId="0" fontId="3" fillId="0" borderId="0" xfId="0" applyFont="1" applyAlignment="1">
      <alignment horizontal="left" vertical="center"/>
    </xf>
    <xf numFmtId="0" fontId="3" fillId="0" borderId="12" xfId="0" applyFont="1" applyBorder="1" applyAlignment="1">
      <alignment vertical="center" shrinkToFit="1"/>
    </xf>
    <xf numFmtId="0" fontId="3" fillId="0" borderId="12" xfId="0" applyFont="1" applyBorder="1" applyAlignment="1">
      <alignment vertical="center"/>
    </xf>
    <xf numFmtId="177" fontId="25" fillId="0" borderId="5" xfId="0" applyNumberFormat="1" applyFont="1" applyBorder="1" applyAlignment="1"/>
    <xf numFmtId="0" fontId="3" fillId="0" borderId="0" xfId="0" applyFont="1" applyAlignment="1">
      <alignment horizontal="left" indent="2"/>
    </xf>
    <xf numFmtId="20" fontId="25" fillId="0" borderId="5" xfId="0" applyNumberFormat="1" applyFont="1" applyBorder="1" applyAlignment="1">
      <alignment horizontal="left" indent="1"/>
    </xf>
    <xf numFmtId="0" fontId="3" fillId="0" borderId="5" xfId="0" applyFont="1" applyBorder="1" applyAlignment="1">
      <alignment horizontal="left" indent="1"/>
    </xf>
    <xf numFmtId="49" fontId="25" fillId="0" borderId="6" xfId="0" applyNumberFormat="1" applyFont="1" applyBorder="1" applyAlignment="1">
      <alignment horizontal="left" indent="1"/>
    </xf>
    <xf numFmtId="0" fontId="2" fillId="0" borderId="0" xfId="0" applyNumberFormat="1" applyFont="1">
      <alignment vertical="center"/>
    </xf>
    <xf numFmtId="0" fontId="3" fillId="0" borderId="6" xfId="0" applyFont="1" applyBorder="1" applyAlignment="1">
      <alignment horizontal="left" indent="1"/>
    </xf>
    <xf numFmtId="0" fontId="25" fillId="0" borderId="6" xfId="0" applyFont="1" applyBorder="1" applyAlignment="1">
      <alignment horizontal="left" indent="1"/>
    </xf>
    <xf numFmtId="0" fontId="25" fillId="0" borderId="6" xfId="0" applyFont="1" applyBorder="1" applyAlignment="1"/>
    <xf numFmtId="0" fontId="25" fillId="0" borderId="5" xfId="0" applyFont="1" applyBorder="1" applyAlignment="1">
      <alignment horizontal="center"/>
    </xf>
    <xf numFmtId="0" fontId="3" fillId="0" borderId="0" xfId="0" applyFont="1" applyAlignment="1">
      <alignment horizontal="right"/>
    </xf>
    <xf numFmtId="0" fontId="25" fillId="0" borderId="5" xfId="0" applyFont="1" applyBorder="1" applyAlignment="1">
      <alignment horizontal="left"/>
    </xf>
    <xf numFmtId="0" fontId="25" fillId="0" borderId="0" xfId="0" applyFont="1" applyBorder="1" applyAlignment="1">
      <alignment horizontal="center"/>
    </xf>
    <xf numFmtId="0" fontId="21" fillId="0" borderId="38" xfId="0" applyFont="1" applyBorder="1" applyAlignment="1">
      <alignment horizontal="center" vertical="center" wrapText="1"/>
    </xf>
    <xf numFmtId="0" fontId="21" fillId="0" borderId="40" xfId="0" applyFont="1" applyBorder="1" applyAlignment="1">
      <alignment horizontal="center" vertical="center" wrapText="1"/>
    </xf>
    <xf numFmtId="0" fontId="21" fillId="0" borderId="66" xfId="0" applyNumberFormat="1" applyFont="1" applyBorder="1" applyAlignment="1">
      <alignment horizontal="center" vertical="center"/>
    </xf>
    <xf numFmtId="0" fontId="21" fillId="0" borderId="67" xfId="0" applyFont="1" applyBorder="1" applyAlignment="1">
      <alignment horizontal="center" vertical="center"/>
    </xf>
    <xf numFmtId="188" fontId="3" fillId="0" borderId="40" xfId="0" applyNumberFormat="1" applyFont="1" applyBorder="1" applyAlignment="1">
      <alignment horizontal="center" vertical="center"/>
    </xf>
    <xf numFmtId="0" fontId="3" fillId="0" borderId="36" xfId="0" applyFont="1" applyBorder="1" applyAlignment="1">
      <alignment horizontal="center" vertical="center"/>
    </xf>
    <xf numFmtId="188" fontId="3" fillId="0" borderId="39" xfId="0" applyNumberFormat="1" applyFont="1" applyBorder="1" applyAlignment="1">
      <alignment horizontal="center" vertical="center"/>
    </xf>
    <xf numFmtId="0" fontId="2" fillId="7" borderId="0" xfId="0" applyFont="1" applyFill="1">
      <alignment vertical="center"/>
    </xf>
    <xf numFmtId="0" fontId="3" fillId="0" borderId="18" xfId="0" applyFont="1" applyBorder="1" applyAlignment="1">
      <alignment horizontal="center" vertical="center"/>
    </xf>
    <xf numFmtId="0" fontId="3" fillId="0" borderId="79" xfId="0" applyFont="1" applyBorder="1" applyAlignment="1">
      <alignment horizontal="center" vertical="center"/>
    </xf>
    <xf numFmtId="0" fontId="3" fillId="0" borderId="12" xfId="0" applyFont="1" applyBorder="1" applyAlignment="1">
      <alignment horizontal="left" vertical="center"/>
    </xf>
    <xf numFmtId="188" fontId="3" fillId="0" borderId="12" xfId="0" applyNumberFormat="1" applyFont="1" applyBorder="1" applyAlignment="1">
      <alignment horizontal="center" vertical="center"/>
    </xf>
    <xf numFmtId="180" fontId="3" fillId="0" borderId="2" xfId="0" applyNumberFormat="1" applyFont="1" applyBorder="1" applyAlignment="1">
      <alignment horizontal="center" vertical="center"/>
    </xf>
    <xf numFmtId="180" fontId="3" fillId="0" borderId="3" xfId="0" applyNumberFormat="1" applyFont="1" applyBorder="1" applyAlignment="1">
      <alignment horizontal="center" vertical="center"/>
    </xf>
    <xf numFmtId="180" fontId="3" fillId="0" borderId="0" xfId="0" applyNumberFormat="1" applyFont="1" applyAlignment="1">
      <alignment horizontal="center" vertical="center"/>
    </xf>
    <xf numFmtId="182" fontId="3" fillId="0" borderId="2" xfId="0" applyNumberFormat="1" applyFont="1" applyBorder="1" applyAlignment="1">
      <alignment horizontal="center" vertical="center"/>
    </xf>
    <xf numFmtId="182" fontId="3" fillId="0" borderId="3" xfId="0" applyNumberFormat="1" applyFont="1" applyBorder="1" applyAlignment="1">
      <alignment horizontal="center" vertical="center"/>
    </xf>
    <xf numFmtId="182" fontId="3" fillId="0" borderId="0" xfId="0" applyNumberFormat="1" applyFont="1" applyAlignment="1">
      <alignment horizontal="center" vertical="center"/>
    </xf>
    <xf numFmtId="0" fontId="20" fillId="0" borderId="0" xfId="0" applyFont="1" applyAlignment="1">
      <alignment horizontal="left" vertical="top" wrapText="1"/>
    </xf>
    <xf numFmtId="188" fontId="3" fillId="0" borderId="79" xfId="0" applyNumberFormat="1" applyFont="1" applyBorder="1" applyAlignment="1">
      <alignment horizontal="center" vertical="center"/>
    </xf>
    <xf numFmtId="0" fontId="3" fillId="0" borderId="0" xfId="0" applyFont="1" applyAlignment="1">
      <alignment horizontal="left" vertical="center" indent="1" shrinkToFit="1"/>
    </xf>
    <xf numFmtId="193" fontId="3" fillId="0" borderId="0" xfId="0" applyNumberFormat="1" applyFont="1" applyAlignment="1">
      <alignment horizontal="left" vertical="center"/>
    </xf>
    <xf numFmtId="176" fontId="25" fillId="0" borderId="12" xfId="50" applyNumberFormat="1" applyFont="1" applyBorder="1" applyAlignment="1">
      <alignment horizontal="center"/>
    </xf>
    <xf numFmtId="0" fontId="3" fillId="7" borderId="0" xfId="50" applyFont="1" applyFill="1"/>
    <xf numFmtId="0" fontId="48" fillId="7" borderId="0" xfId="51" applyFont="1" applyFill="1">
      <alignment vertical="center"/>
    </xf>
    <xf numFmtId="176" fontId="25" fillId="0" borderId="66" xfId="50" applyNumberFormat="1" applyFont="1" applyBorder="1" applyAlignment="1">
      <alignment horizontal="center"/>
    </xf>
    <xf numFmtId="0" fontId="25" fillId="0" borderId="25" xfId="50" applyFont="1" applyBorder="1" applyAlignment="1">
      <alignment horizontal="center"/>
    </xf>
    <xf numFmtId="0" fontId="5" fillId="0" borderId="0" xfId="52" applyFont="1" applyFill="1"/>
    <xf numFmtId="0" fontId="21" fillId="0" borderId="0" xfId="0" applyFont="1" applyBorder="1" applyAlignment="1">
      <alignment vertical="center"/>
    </xf>
    <xf numFmtId="0" fontId="23" fillId="0" borderId="0" xfId="0" applyFont="1" applyAlignment="1">
      <alignment horizontal="left" vertical="center" indent="1"/>
    </xf>
    <xf numFmtId="177" fontId="3" fillId="0" borderId="0" xfId="0" applyNumberFormat="1" applyFont="1" applyBorder="1" applyAlignment="1">
      <alignment horizontal="center" vertical="center"/>
    </xf>
    <xf numFmtId="177" fontId="63" fillId="0" borderId="0" xfId="0" applyNumberFormat="1" applyFont="1" applyBorder="1" applyAlignment="1">
      <alignment horizontal="center" vertical="center"/>
    </xf>
    <xf numFmtId="0" fontId="0" fillId="0" borderId="0" xfId="0" applyAlignment="1">
      <alignment horizontal="right" vertical="center"/>
    </xf>
    <xf numFmtId="0" fontId="64" fillId="0" borderId="0" xfId="0" applyFont="1" applyAlignment="1">
      <alignment horizontal="left" vertical="center"/>
    </xf>
    <xf numFmtId="180" fontId="64" fillId="0" borderId="0" xfId="0" applyNumberFormat="1" applyFont="1" applyBorder="1" applyAlignment="1">
      <alignment horizontal="center" vertical="center"/>
    </xf>
    <xf numFmtId="182" fontId="64" fillId="0" borderId="0" xfId="0" applyNumberFormat="1" applyFont="1" applyBorder="1" applyAlignment="1">
      <alignment horizontal="center" vertical="center"/>
    </xf>
    <xf numFmtId="0" fontId="3" fillId="0" borderId="0" xfId="0" applyFont="1" applyBorder="1" applyAlignment="1">
      <alignment horizontal="center" vertical="center"/>
    </xf>
    <xf numFmtId="0" fontId="44" fillId="0" borderId="0" xfId="0" applyFont="1" applyAlignment="1">
      <alignment horizontal="left" vertical="center" indent="1"/>
    </xf>
    <xf numFmtId="10" fontId="3" fillId="0" borderId="0" xfId="11" applyNumberFormat="1" applyFont="1" applyBorder="1" applyAlignment="1">
      <alignment horizontal="center" vertical="center"/>
    </xf>
    <xf numFmtId="0" fontId="25" fillId="0" borderId="0" xfId="0" applyFont="1" applyBorder="1" applyAlignment="1">
      <alignment horizontal="center" vertical="center"/>
    </xf>
    <xf numFmtId="177" fontId="21" fillId="0" borderId="0" xfId="0" applyNumberFormat="1" applyFont="1" applyBorder="1" applyAlignment="1">
      <alignment horizontal="center" vertical="center"/>
    </xf>
    <xf numFmtId="0" fontId="3" fillId="0" borderId="0" xfId="0" applyFont="1" applyBorder="1" applyAlignment="1">
      <alignment horizontal="left" vertical="center"/>
    </xf>
    <xf numFmtId="0" fontId="3" fillId="0" borderId="0" xfId="0" applyFont="1" applyFill="1" applyBorder="1">
      <alignment vertical="center"/>
    </xf>
    <xf numFmtId="0" fontId="20" fillId="0" borderId="9" xfId="52" applyFont="1" applyBorder="1"/>
    <xf numFmtId="181" fontId="20" fillId="0" borderId="9" xfId="52" applyNumberFormat="1" applyFont="1" applyBorder="1"/>
    <xf numFmtId="176" fontId="13" fillId="0" borderId="0" xfId="0" applyNumberFormat="1" applyFont="1">
      <alignment vertical="center"/>
    </xf>
    <xf numFmtId="179" fontId="3" fillId="0" borderId="12" xfId="11" applyNumberFormat="1" applyFont="1" applyBorder="1" applyAlignment="1">
      <alignment horizontal="center" vertical="center"/>
    </xf>
    <xf numFmtId="9" fontId="3" fillId="0" borderId="12" xfId="11" applyFont="1" applyBorder="1" applyAlignment="1">
      <alignment horizontal="center" vertical="center"/>
    </xf>
    <xf numFmtId="0" fontId="3" fillId="0" borderId="2" xfId="0" applyFont="1" applyBorder="1" applyAlignment="1">
      <alignment horizontal="center" vertical="center"/>
    </xf>
    <xf numFmtId="0" fontId="3" fillId="0" borderId="8" xfId="0" applyFont="1" applyBorder="1" applyAlignment="1">
      <alignment horizontal="center" vertical="center"/>
    </xf>
    <xf numFmtId="0" fontId="65" fillId="7" borderId="0" xfId="0" applyFont="1" applyFill="1" applyAlignment="1">
      <alignment horizontal="left" vertical="center" indent="2"/>
    </xf>
    <xf numFmtId="0" fontId="2" fillId="0" borderId="0" xfId="53" applyFont="1"/>
    <xf numFmtId="0" fontId="66" fillId="4" borderId="25" xfId="53" applyFont="1" applyFill="1" applyBorder="1" applyAlignment="1">
      <alignment horizontal="center" vertical="center" wrapText="1"/>
    </xf>
    <xf numFmtId="0" fontId="66" fillId="4" borderId="13" xfId="53" applyFont="1" applyFill="1" applyBorder="1" applyAlignment="1">
      <alignment horizontal="center" vertical="center"/>
    </xf>
    <xf numFmtId="0" fontId="66" fillId="4" borderId="53" xfId="53" applyFont="1" applyFill="1" applyBorder="1" applyAlignment="1">
      <alignment horizontal="center" vertical="center"/>
    </xf>
    <xf numFmtId="0" fontId="66" fillId="4" borderId="0" xfId="53" applyFont="1" applyFill="1" applyAlignment="1">
      <alignment horizontal="center" vertical="center"/>
    </xf>
    <xf numFmtId="0" fontId="67" fillId="4" borderId="53" xfId="53" applyFont="1" applyFill="1" applyBorder="1" applyAlignment="1">
      <alignment vertical="center"/>
    </xf>
    <xf numFmtId="0" fontId="67" fillId="4" borderId="0" xfId="53" applyFont="1" applyFill="1" applyAlignment="1">
      <alignment vertical="center"/>
    </xf>
    <xf numFmtId="0" fontId="68" fillId="4" borderId="0" xfId="53" applyFont="1" applyFill="1" applyAlignment="1">
      <alignment horizontal="center" vertical="center"/>
    </xf>
    <xf numFmtId="0" fontId="67" fillId="4" borderId="80" xfId="53" applyFont="1" applyFill="1" applyBorder="1" applyAlignment="1">
      <alignment vertical="center"/>
    </xf>
    <xf numFmtId="0" fontId="67" fillId="4" borderId="11" xfId="53" applyFont="1" applyFill="1" applyBorder="1" applyAlignment="1">
      <alignment vertical="center"/>
    </xf>
    <xf numFmtId="0" fontId="4" fillId="0" borderId="12" xfId="53" applyFont="1" applyBorder="1" applyAlignment="1">
      <alignment horizontal="left" vertical="center"/>
    </xf>
    <xf numFmtId="0" fontId="4" fillId="0" borderId="12" xfId="53" applyFont="1" applyBorder="1" applyAlignment="1">
      <alignment horizontal="left" indent="1"/>
    </xf>
    <xf numFmtId="177" fontId="4" fillId="0" borderId="12" xfId="53" applyNumberFormat="1" applyFont="1" applyBorder="1" applyAlignment="1">
      <alignment horizontal="left" indent="1"/>
    </xf>
    <xf numFmtId="0" fontId="69" fillId="0" borderId="0" xfId="53" applyFont="1"/>
    <xf numFmtId="0" fontId="5" fillId="0" borderId="0" xfId="53" applyFont="1"/>
    <xf numFmtId="0" fontId="64" fillId="0" borderId="0" xfId="53" applyFont="1" applyAlignment="1">
      <alignment vertical="center"/>
    </xf>
    <xf numFmtId="0" fontId="4" fillId="0" borderId="0" xfId="53" applyFont="1" applyAlignment="1">
      <alignment vertical="center"/>
    </xf>
    <xf numFmtId="0" fontId="4" fillId="0" borderId="0" xfId="53" applyFont="1"/>
    <xf numFmtId="0" fontId="4" fillId="0" borderId="0" xfId="53" applyFont="1" applyAlignment="1">
      <alignment horizontal="center"/>
    </xf>
    <xf numFmtId="0" fontId="3" fillId="0" borderId="0" xfId="53" applyFont="1" applyAlignment="1">
      <alignment vertical="center"/>
    </xf>
    <xf numFmtId="0" fontId="3" fillId="0" borderId="0" xfId="53" applyFont="1" applyAlignment="1">
      <alignment horizontal="center"/>
    </xf>
    <xf numFmtId="0" fontId="70" fillId="0" borderId="0" xfId="53" applyFont="1" applyAlignment="1">
      <alignment vertical="center"/>
    </xf>
    <xf numFmtId="0" fontId="3" fillId="0" borderId="0" xfId="53" applyFont="1" applyAlignment="1">
      <alignment horizontal="left" wrapText="1"/>
    </xf>
    <xf numFmtId="0" fontId="0" fillId="0" borderId="0" xfId="53"/>
    <xf numFmtId="0" fontId="71" fillId="21" borderId="0" xfId="50" applyFont="1" applyFill="1" applyAlignment="1">
      <alignment vertical="center"/>
    </xf>
    <xf numFmtId="0" fontId="71" fillId="0" borderId="0" xfId="50" applyFont="1" applyFill="1" applyBorder="1" applyAlignment="1">
      <alignment vertical="center"/>
    </xf>
    <xf numFmtId="0" fontId="4" fillId="0" borderId="81" xfId="53" applyFont="1" applyBorder="1" applyAlignment="1">
      <alignment vertical="center"/>
    </xf>
    <xf numFmtId="0" fontId="4" fillId="0" borderId="0" xfId="53" applyFont="1" applyFill="1" applyBorder="1" applyAlignment="1">
      <alignment vertical="center"/>
    </xf>
    <xf numFmtId="0" fontId="36" fillId="0" borderId="0" xfId="0" applyFont="1">
      <alignment vertical="center"/>
    </xf>
    <xf numFmtId="0" fontId="66" fillId="4" borderId="24" xfId="53" applyFont="1" applyFill="1" applyBorder="1" applyAlignment="1">
      <alignment horizontal="center" vertical="center"/>
    </xf>
    <xf numFmtId="0" fontId="66" fillId="4" borderId="10" xfId="53" applyFont="1" applyFill="1" applyBorder="1" applyAlignment="1">
      <alignment horizontal="center" vertical="center"/>
    </xf>
    <xf numFmtId="0" fontId="67" fillId="4" borderId="10" xfId="53" applyFont="1" applyFill="1" applyBorder="1" applyAlignment="1">
      <alignment vertical="center"/>
    </xf>
    <xf numFmtId="0" fontId="67" fillId="4" borderId="82" xfId="53" applyFont="1" applyFill="1" applyBorder="1" applyAlignment="1">
      <alignment vertical="center"/>
    </xf>
    <xf numFmtId="0" fontId="1" fillId="2" borderId="0" xfId="53" applyFont="1" applyFill="1"/>
    <xf numFmtId="0" fontId="3" fillId="3" borderId="0" xfId="53" applyFont="1" applyFill="1"/>
    <xf numFmtId="0" fontId="3" fillId="4" borderId="0" xfId="53" applyFont="1" applyFill="1"/>
    <xf numFmtId="0" fontId="64" fillId="0" borderId="0" xfId="53" applyFont="1" applyAlignment="1">
      <alignment horizontal="left" indent="1"/>
    </xf>
    <xf numFmtId="0" fontId="2" fillId="0" borderId="0" xfId="53" applyFont="1" applyAlignment="1">
      <alignment horizontal="center"/>
    </xf>
    <xf numFmtId="177" fontId="4" fillId="0" borderId="0" xfId="53" applyNumberFormat="1" applyFont="1"/>
    <xf numFmtId="0" fontId="5" fillId="0" borderId="0" xfId="53" applyFont="1" applyAlignment="1">
      <alignment horizontal="center"/>
    </xf>
    <xf numFmtId="14" fontId="4" fillId="0" borderId="0" xfId="53" applyNumberFormat="1" applyFont="1"/>
    <xf numFmtId="14" fontId="2" fillId="0" borderId="0" xfId="53" applyNumberFormat="1" applyFont="1"/>
    <xf numFmtId="0" fontId="6" fillId="0" borderId="0" xfId="53" applyFont="1" applyFill="1" applyAlignment="1"/>
    <xf numFmtId="190" fontId="2" fillId="0" borderId="0" xfId="53" applyNumberFormat="1" applyFont="1"/>
    <xf numFmtId="0" fontId="3" fillId="0" borderId="0" xfId="53" applyFont="1" applyAlignment="1">
      <alignment horizontal="left" vertical="center"/>
    </xf>
    <xf numFmtId="0" fontId="72" fillId="0" borderId="0" xfId="53" applyFont="1" applyFill="1" applyAlignment="1">
      <alignment horizontal="left" indent="1"/>
    </xf>
    <xf numFmtId="0" fontId="72" fillId="7" borderId="0" xfId="53" applyFont="1" applyFill="1" applyAlignment="1">
      <alignment horizontal="left" indent="1"/>
    </xf>
    <xf numFmtId="0" fontId="2" fillId="0" borderId="0" xfId="53" applyFont="1" applyFill="1" applyBorder="1"/>
    <xf numFmtId="0" fontId="3" fillId="0" borderId="0" xfId="53" applyFont="1" applyFill="1" applyBorder="1"/>
    <xf numFmtId="0" fontId="3" fillId="0" borderId="0" xfId="53" applyFont="1" applyFill="1" applyBorder="1" applyAlignment="1">
      <alignment vertical="center"/>
    </xf>
    <xf numFmtId="0" fontId="2" fillId="0" borderId="0" xfId="53" applyFont="1" applyFill="1"/>
    <xf numFmtId="0" fontId="15" fillId="0" borderId="0" xfId="0" applyFont="1" quotePrefix="1">
      <alignment vertical="center"/>
    </xf>
    <xf numFmtId="0" fontId="3" fillId="0" borderId="0" xfId="50" applyFont="1" quotePrefix="1"/>
    <xf numFmtId="0" fontId="6" fillId="0" borderId="0" xfId="0" applyFont="1" quotePrefix="1">
      <alignment vertical="center"/>
    </xf>
    <xf numFmtId="0" fontId="4" fillId="0" borderId="0" xfId="0" applyFont="1" quotePrefix="1">
      <alignment vertical="center"/>
    </xf>
    <xf numFmtId="0" fontId="3" fillId="0" borderId="0" xfId="0" applyFont="1" applyAlignment="1" quotePrefix="1">
      <alignment horizontal="center" vertical="center"/>
    </xf>
    <xf numFmtId="0" fontId="0" fillId="0" borderId="0" xfId="0" applyAlignment="1" quotePrefix="1"/>
    <xf numFmtId="0" fontId="3" fillId="0" borderId="0" xfId="0" applyFont="1" applyAlignment="1" quotePrefix="1"/>
    <xf numFmtId="0" fontId="3" fillId="0" borderId="0" xfId="0" applyFont="1" applyAlignment="1" quotePrefix="1">
      <alignment vertical="center"/>
    </xf>
    <xf numFmtId="0" fontId="18" fillId="0" borderId="0" xfId="0" applyFont="1" applyFill="1" applyAlignment="1" quotePrefix="1">
      <alignment vertical="center" textRotation="1"/>
    </xf>
    <xf numFmtId="0" fontId="3" fillId="0" borderId="0" xfId="0" applyFont="1" quotePrefix="1">
      <alignment vertical="center"/>
    </xf>
    <xf numFmtId="0" fontId="0" fillId="0" borderId="0" xfId="0" quotePrefix="1">
      <alignment vertical="center"/>
    </xf>
    <xf numFmtId="177" fontId="25" fillId="0" borderId="8" xfId="0" applyNumberFormat="1" applyFont="1" applyBorder="1" applyAlignment="1" quotePrefix="1">
      <alignment horizontal="center" vertical="center"/>
    </xf>
    <xf numFmtId="0" fontId="25" fillId="0" borderId="22" xfId="0" applyFont="1" applyBorder="1" applyAlignment="1" quotePrefix="1">
      <alignment horizontal="center" vertical="center"/>
    </xf>
    <xf numFmtId="177" fontId="25" fillId="0" borderId="2" xfId="0" applyNumberFormat="1" applyFont="1" applyBorder="1" applyAlignment="1" quotePrefix="1">
      <alignment horizontal="center" vertical="center"/>
    </xf>
    <xf numFmtId="0" fontId="25" fillId="0" borderId="3" xfId="0" applyFont="1" applyBorder="1" applyAlignment="1" quotePrefix="1">
      <alignment horizontal="center" vertical="center"/>
    </xf>
    <xf numFmtId="177" fontId="25" fillId="0" borderId="25" xfId="0" applyNumberFormat="1" applyFont="1" applyBorder="1" applyAlignment="1" quotePrefix="1">
      <alignment horizontal="center" vertical="center"/>
    </xf>
    <xf numFmtId="0" fontId="25" fillId="0" borderId="24" xfId="0" applyFont="1" applyBorder="1" applyAlignment="1" quotePrefix="1">
      <alignment horizontal="center" vertical="center"/>
    </xf>
  </cellXfs>
  <cellStyles count="54">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Normal_OGCHZ100219_ATHINA_NAPO  C O _HUIZHOU" xfId="45"/>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 name="常规 4" xfId="52"/>
    <cellStyle name="常规 4 2" xfId="53"/>
  </cellStyles>
  <dxfs count="26">
    <dxf>
      <numFmt numFmtId="182" formatCode="0.000_ "/>
    </dxf>
    <dxf>
      <numFmt numFmtId="180" formatCode="0.00_ "/>
    </dxf>
    <dxf>
      <numFmt numFmtId="181" formatCode="0.0000_ "/>
    </dxf>
    <dxf>
      <numFmt numFmtId="194" formatCode=";;;"/>
    </dxf>
    <dxf>
      <numFmt numFmtId="183" formatCode="0.0_ "/>
    </dxf>
    <dxf>
      <border>
        <bottom style="thin">
          <color auto="1"/>
        </bottom>
      </border>
    </dxf>
    <dxf>
      <border>
        <left style="thin">
          <color rgb="FF00B0F0"/>
        </left>
        <top style="thin">
          <color rgb="FF00B0F0"/>
        </top>
        <bottom style="thin">
          <color rgb="FF00B0F0"/>
        </bottom>
      </border>
    </dxf>
    <dxf>
      <border>
        <right style="thin">
          <color rgb="FF00B0F0"/>
        </right>
        <top style="thin">
          <color rgb="FF00B0F0"/>
        </top>
        <bottom style="thin">
          <color rgb="FF00B0F0"/>
        </bottom>
      </border>
    </dxf>
    <dxf>
      <border>
        <left style="thin">
          <color rgb="FF00B0F0"/>
        </left>
        <right style="thin">
          <color rgb="FF00B0F0"/>
        </right>
        <top style="thin">
          <color rgb="FF00B0F0"/>
        </top>
        <bottom style="thin">
          <color rgb="FF00B0F0"/>
        </bottom>
      </border>
    </dxf>
    <dxf>
      <numFmt numFmtId="186" formatCode="0.00000_ "/>
    </dxf>
    <dxf>
      <border>
        <right style="thin">
          <color rgb="FF00B0F0"/>
        </right>
        <top style="thin">
          <color rgb="FF00B0F0"/>
        </top>
        <bottom style="thin">
          <color rgb="FF00B0F0"/>
        </bottom>
      </border>
    </dxf>
    <dxf>
      <numFmt numFmtId="191" formatCode="0.00_ ;[Red]\-0.00\ "/>
    </dxf>
    <dxf>
      <numFmt numFmtId="178" formatCode="0.000_ ;[Red]\-0.000\ "/>
    </dxf>
    <dxf>
      <border>
        <left style="thin">
          <color rgb="FF00B0F0"/>
        </left>
        <right style="thin">
          <color rgb="FF00B0F0"/>
        </right>
        <top style="dotted">
          <color rgb="FF00B0F0"/>
        </top>
        <bottom style="dotted">
          <color rgb="FF00B0F0"/>
        </bottom>
      </border>
    </dxf>
    <dxf>
      <border>
        <left style="thin">
          <color rgb="FF00B0F0"/>
        </left>
        <right style="thin">
          <color rgb="FF00B0F0"/>
        </right>
        <top style="dotted">
          <color rgb="FF00B0F0"/>
        </top>
        <bottom style="thin">
          <color rgb="FF00B0F0"/>
        </bottom>
      </border>
    </dxf>
    <dxf>
      <border>
        <left style="thin">
          <color rgb="FF00B0F0"/>
        </left>
        <right style="thin">
          <color rgb="FF00B0F0"/>
        </right>
        <top style="thin">
          <color rgb="FF00B0F0"/>
        </top>
        <bottom style="dotted">
          <color rgb="FF00B0F0"/>
        </bottom>
      </border>
    </dxf>
    <dxf>
      <border>
        <left style="thin">
          <color rgb="FF00B0F0"/>
        </left>
        <right style="dotted">
          <color rgb="FF00B0F0"/>
        </right>
        <top style="dotted">
          <color rgb="FF00B0F0"/>
        </top>
        <bottom style="dotted">
          <color rgb="FF00B0F0"/>
        </bottom>
      </border>
    </dxf>
    <dxf>
      <border>
        <left style="dotted">
          <color rgb="FF00B0F0"/>
        </left>
        <right style="thin">
          <color rgb="FF00B0F0"/>
        </right>
        <top style="dotted">
          <color rgb="FF00B0F0"/>
        </top>
        <bottom style="dotted">
          <color rgb="FF00B0F0"/>
        </bottom>
      </border>
    </dxf>
    <dxf>
      <border>
        <bottom style="thin">
          <color rgb="FF00B0F0"/>
        </bottom>
      </border>
    </dxf>
    <dxf>
      <border>
        <left style="thin">
          <color rgb="FF00B0F0"/>
        </left>
        <right style="dotted">
          <color rgb="FF00B0F0"/>
        </right>
        <top style="thin">
          <color rgb="FF00B0F0"/>
        </top>
        <bottom style="dotted">
          <color rgb="FF00B0F0"/>
        </bottom>
      </border>
    </dxf>
    <dxf>
      <border>
        <right style="thin">
          <color rgb="FF00B0F0"/>
        </right>
      </border>
    </dxf>
    <dxf>
      <border>
        <left style="thin">
          <color rgb="FF00B0F0"/>
        </left>
        <right style="dotted">
          <color rgb="FF00B0F0"/>
        </right>
        <top style="dotted">
          <color rgb="FF00B0F0"/>
        </top>
        <bottom style="thin">
          <color rgb="FF00B0F0"/>
        </bottom>
      </border>
    </dxf>
    <dxf>
      <border>
        <top style="thin">
          <color rgb="FF00B0F0"/>
        </top>
      </border>
    </dxf>
    <dxf>
      <font>
        <color rgb="FFFF0000"/>
      </font>
    </dxf>
    <dxf>
      <font>
        <b val="1"/>
        <i val="0"/>
        <color rgb="FFFF0000"/>
      </font>
    </dxf>
    <dxf>
      <font>
        <color rgb="FFFF0000"/>
      </font>
    </dxf>
  </dxfs>
  <tableStyles count="0" defaultTableStyle="TableStyleMedium2" defaultPivotStyle="PivotStyleLight16"/>
  <colors>
    <mruColors>
      <color rgb="00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Drop" dx="26" fmlaLink="$O$36" fmlaRange="$G$49:$G$59" max="3" noThreeD="1" page="8" sel="6" val="3"/>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Drop" dx="26" fmlaLink="$O$36" fmlaRange="$N$36:$N$47" max="4" noThreeD="1" page="8" sel="6" val="4"/>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Radio" checked="Checked" firstButton="1" fmlaLink="$Y$83" noThreeD="1" val="0"/>
</file>

<file path=xl/ctrlProps/ctrlProp13.xml><?xml version="1.0" encoding="utf-8"?>
<formControlPr xmlns="http://schemas.microsoft.com/office/spreadsheetml/2009/9/main" objectType="Radio" noThreeD="1"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Drop" dx="26" fmlaLink="$E$8" fmlaRange="$D$32:$D$33" noThreeD="1" page="2" sel="1" val="0"/>
</file>

<file path=xl/ctrlProps/ctrlProp31.xml><?xml version="1.0" encoding="utf-8"?>
<formControlPr xmlns="http://schemas.microsoft.com/office/spreadsheetml/2009/9/main" objectType="CheckBox" checked="Checked" fmlaLink="$G$121" noThreeD="1" val="0"/>
</file>

<file path=xl/ctrlProps/ctrlProp32.xml><?xml version="1.0" encoding="utf-8"?>
<formControlPr xmlns="http://schemas.microsoft.com/office/spreadsheetml/2009/9/main" objectType="CheckBox" fmlaLink="$H$121" noThreeD="1" val="0"/>
</file>

<file path=xl/ctrlProps/ctrlProp33.xml><?xml version="1.0" encoding="utf-8"?>
<formControlPr xmlns="http://schemas.microsoft.com/office/spreadsheetml/2009/9/main" objectType="CheckBox" checked="Checked" fmlaLink="$G$121" noThreeD="1" val="0"/>
</file>

<file path=xl/ctrlProps/ctrlProp34.xml><?xml version="1.0" encoding="utf-8"?>
<formControlPr xmlns="http://schemas.microsoft.com/office/spreadsheetml/2009/9/main" objectType="CheckBox" fmlaLink="$H$121" noThreeD="1" val="0"/>
</file>

<file path=xl/ctrlProps/ctrlProp35.xml><?xml version="1.0" encoding="utf-8"?>
<formControlPr xmlns="http://schemas.microsoft.com/office/spreadsheetml/2009/9/main" objectType="CheckBox" checked="Checked" fmlaLink="$G$121" noThreeD="1" val="0"/>
</file>

<file path=xl/ctrlProps/ctrlProp36.xml><?xml version="1.0" encoding="utf-8"?>
<formControlPr xmlns="http://schemas.microsoft.com/office/spreadsheetml/2009/9/main" objectType="CheckBox" fmlaLink="$H$121" noThreeD="1" val="0"/>
</file>

<file path=xl/ctrlProps/ctrlProp37.xml><?xml version="1.0" encoding="utf-8"?>
<formControlPr xmlns="http://schemas.microsoft.com/office/spreadsheetml/2009/9/main" objectType="CheckBox" checked="Checked" fmlaLink="$G$121" noThreeD="1" val="0"/>
</file>

<file path=xl/ctrlProps/ctrlProp38.xml><?xml version="1.0" encoding="utf-8"?>
<formControlPr xmlns="http://schemas.microsoft.com/office/spreadsheetml/2009/9/main" objectType="CheckBox" fmlaLink="$H$121" noThreeD="1"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Drop" dx="26" fmlaLink="$E$1" fmlaRange="$D$1:$D$2" noThreeD="1" page="1" sel="1" val="0"/>
</file>

<file path=xl/ctrlProps/ctrlProp42.xml><?xml version="1.0" encoding="utf-8"?>
<formControlPr xmlns="http://schemas.microsoft.com/office/spreadsheetml/2009/9/main" objectType="Drop" dropLines="18" dx="26" fmlaLink="$E$4" fmlaRange="$D$3:$D$20" noThreeD="1" page="1" sel="5" val="0"/>
</file>

<file path=xl/ctrlProps/ctrlProp43.xml><?xml version="1.0" encoding="utf-8"?>
<formControlPr xmlns="http://schemas.microsoft.com/office/spreadsheetml/2009/9/main" objectType="Drop" dx="26" fmlaLink="$E$6" fmlaRange="$D$21:$D$22" noThreeD="1" page="1" sel="2" val="0"/>
</file>

<file path=xl/ctrlProps/ctrlProp44.xml><?xml version="1.0" encoding="utf-8"?>
<formControlPr xmlns="http://schemas.microsoft.com/office/spreadsheetml/2009/9/main" objectType="Drop" dx="26" fmlaLink="$E$5" fmlaRange="$D$23:$D$25" noThreeD="1" page="1" sel="2" val="0"/>
</file>

<file path=xl/ctrlProps/ctrlProp45.xml><?xml version="1.0" encoding="utf-8"?>
<formControlPr xmlns="http://schemas.microsoft.com/office/spreadsheetml/2009/9/main" objectType="Drop" dx="26" fmlaLink="$E$2" fmlaRange="$D$26:$D$27" noThreeD="1" page="1" sel="2" val="0"/>
</file>

<file path=xl/ctrlProps/ctrlProp46.xml><?xml version="1.0" encoding="utf-8"?>
<formControlPr xmlns="http://schemas.microsoft.com/office/spreadsheetml/2009/9/main" objectType="Drop" dx="26" fmlaLink="$E$3" fmlaRange="$D$28:$D$31" noThreeD="1" page="1" sel="2" val="0"/>
</file>

<file path=xl/ctrlProps/ctrlProp47.xml><?xml version="1.0" encoding="utf-8"?>
<formControlPr xmlns="http://schemas.microsoft.com/office/spreadsheetml/2009/9/main" objectType="Drop" dx="26" fmlaLink="$E$7" fmlaRange="$C$20:$C$23" noThreeD="1" page="1" sel="4" val="0"/>
</file>

<file path=xl/ctrlProps/ctrlProp48.xml><?xml version="1.0" encoding="utf-8"?>
<formControlPr xmlns="http://schemas.microsoft.com/office/spreadsheetml/2009/9/main" objectType="CheckBox" fmlaLink="$C$93" noThreeD="1" val="0"/>
</file>

<file path=xl/ctrlProps/ctrlProp49.xml><?xml version="1.0" encoding="utf-8"?>
<formControlPr xmlns="http://schemas.microsoft.com/office/spreadsheetml/2009/9/main" objectType="CheckBox" fmlaLink="$C$94" noThreeD="1" val="0"/>
</file>

<file path=xl/ctrlProps/ctrlProp50.xml><?xml version="1.0" encoding="utf-8"?>
<formControlPr xmlns="http://schemas.microsoft.com/office/spreadsheetml/2009/9/main" objectType="CheckBox" fmlaLink="$C$96" noThreeD="1" val="0"/>
</file>

<file path=xl/ctrlProps/ctrlProp51.xml><?xml version="1.0" encoding="utf-8"?>
<formControlPr xmlns="http://schemas.microsoft.com/office/spreadsheetml/2009/9/main" objectType="CheckBox" fmlaLink="$C$97" noThreeD="1" val="0"/>
</file>

<file path=xl/ctrlProps/ctrlProp52.xml><?xml version="1.0" encoding="utf-8"?>
<formControlPr xmlns="http://schemas.microsoft.com/office/spreadsheetml/2009/9/main" objectType="CheckBox" fmlaLink="$C$98" noThreeD="1" val="0"/>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18</xdr:col>
          <xdr:colOff>198120</xdr:colOff>
          <xdr:row>8</xdr:row>
          <xdr:rowOff>60960</xdr:rowOff>
        </xdr:from>
        <xdr:to>
          <xdr:col>20</xdr:col>
          <xdr:colOff>502920</xdr:colOff>
          <xdr:row>9</xdr:row>
          <xdr:rowOff>114300</xdr:rowOff>
        </xdr:to>
        <xdr:sp macro="[0]!首选项修改">
          <xdr:nvSpPr>
            <xdr:cNvPr id="12323" name="Button 35" hidden="1">
              <a:extLst>
                <a:ext uri="{63B3BB69-23CF-44E3-9099-C40C66FF867C}">
                  <a14:compatExt spid="_x0000_s12323"/>
                </a:ext>
              </a:extLst>
            </xdr:cNvPr>
            <xdr:cNvSpPr/>
          </xdr:nvSpPr>
          <xdr:spPr>
            <a:xfrm>
              <a:off x="7628255" y="1535430"/>
              <a:ext cx="1929765" cy="228600"/>
            </a:xfrm>
            <a:prstGeom prst="rect">
              <a:avLst/>
            </a:prstGeom>
          </xdr:spPr>
          <xdr:txBody>
            <a:bodyPr vertOverflow="clip" wrap="square" lIns="36576" tIns="27432" rIns="36576" bIns="27432" anchor="ctr" upright="1"/>
            <a:lstStyle/>
            <a:p>
              <a:pPr algn="ctr"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报告首选项</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20</xdr:col>
          <xdr:colOff>0</xdr:colOff>
          <xdr:row>103</xdr:row>
          <xdr:rowOff>7620</xdr:rowOff>
        </xdr:from>
        <xdr:to>
          <xdr:col>25</xdr:col>
          <xdr:colOff>144780</xdr:colOff>
          <xdr:row>104</xdr:row>
          <xdr:rowOff>68580</xdr:rowOff>
        </xdr:to>
        <xdr:sp>
          <xdr:nvSpPr>
            <xdr:cNvPr id="26637" name="Drop Down 13" hidden="1">
              <a:extLst>
                <a:ext uri="{63B3BB69-23CF-44E3-9099-C40C66FF867C}">
                  <a14:compatExt spid="_x0000_s26637"/>
                </a:ext>
              </a:extLst>
            </xdr:cNvPr>
            <xdr:cNvSpPr/>
          </xdr:nvSpPr>
          <xdr:spPr>
            <a:xfrm>
              <a:off x="7727315" y="18430875"/>
              <a:ext cx="3529330" cy="2190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100</xdr:row>
          <xdr:rowOff>38100</xdr:rowOff>
        </xdr:from>
        <xdr:to>
          <xdr:col>23</xdr:col>
          <xdr:colOff>510540</xdr:colOff>
          <xdr:row>101</xdr:row>
          <xdr:rowOff>114300</xdr:rowOff>
        </xdr:to>
        <xdr:sp macro="[0]!基本选项">
          <xdr:nvSpPr>
            <xdr:cNvPr id="26638" name="Button 14" hidden="1">
              <a:extLst>
                <a:ext uri="{63B3BB69-23CF-44E3-9099-C40C66FF867C}">
                  <a14:compatExt spid="_x0000_s26638"/>
                </a:ext>
              </a:extLst>
            </xdr:cNvPr>
            <xdr:cNvSpPr/>
          </xdr:nvSpPr>
          <xdr:spPr>
            <a:xfrm>
              <a:off x="7727315" y="17979390"/>
              <a:ext cx="2541270" cy="257175"/>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20</xdr:col>
          <xdr:colOff>53340</xdr:colOff>
          <xdr:row>100</xdr:row>
          <xdr:rowOff>30480</xdr:rowOff>
        </xdr:from>
        <xdr:to>
          <xdr:col>23</xdr:col>
          <xdr:colOff>563880</xdr:colOff>
          <xdr:row>101</xdr:row>
          <xdr:rowOff>106680</xdr:rowOff>
        </xdr:to>
        <xdr:sp macro="[0]!基本选项">
          <xdr:nvSpPr>
            <xdr:cNvPr id="28686" name="Button 14" hidden="1">
              <a:extLst>
                <a:ext uri="{63B3BB69-23CF-44E3-9099-C40C66FF867C}">
                  <a14:compatExt spid="_x0000_s28686"/>
                </a:ext>
              </a:extLst>
            </xdr:cNvPr>
            <xdr:cNvSpPr/>
          </xdr:nvSpPr>
          <xdr:spPr>
            <a:xfrm>
              <a:off x="7814945" y="1897380"/>
              <a:ext cx="2541270" cy="257175"/>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45720</xdr:colOff>
          <xdr:row>102</xdr:row>
          <xdr:rowOff>0</xdr:rowOff>
        </xdr:from>
        <xdr:to>
          <xdr:col>7</xdr:col>
          <xdr:colOff>670560</xdr:colOff>
          <xdr:row>103</xdr:row>
          <xdr:rowOff>22860</xdr:rowOff>
        </xdr:to>
        <xdr:sp>
          <xdr:nvSpPr>
            <xdr:cNvPr id="30733" name="Drop Down 13" hidden="1">
              <a:extLst>
                <a:ext uri="{63B3BB69-23CF-44E3-9099-C40C66FF867C}">
                  <a14:compatExt spid="_x0000_s30733"/>
                </a:ext>
              </a:extLst>
            </xdr:cNvPr>
            <xdr:cNvSpPr/>
          </xdr:nvSpPr>
          <xdr:spPr>
            <a:xfrm>
              <a:off x="206375" y="2190750"/>
              <a:ext cx="3392170" cy="222885"/>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106680</xdr:colOff>
          <xdr:row>102</xdr:row>
          <xdr:rowOff>7620</xdr:rowOff>
        </xdr:from>
        <xdr:to>
          <xdr:col>24</xdr:col>
          <xdr:colOff>480060</xdr:colOff>
          <xdr:row>103</xdr:row>
          <xdr:rowOff>60960</xdr:rowOff>
        </xdr:to>
        <xdr:sp macro="[0]!数量单位选择">
          <xdr:nvSpPr>
            <xdr:cNvPr id="30734" name="Button 14" hidden="1">
              <a:extLst>
                <a:ext uri="{63B3BB69-23CF-44E3-9099-C40C66FF867C}">
                  <a14:compatExt spid="_x0000_s30734"/>
                </a:ext>
              </a:extLst>
            </xdr:cNvPr>
            <xdr:cNvSpPr/>
          </xdr:nvSpPr>
          <xdr:spPr>
            <a:xfrm>
              <a:off x="7385050" y="2198370"/>
              <a:ext cx="2556510" cy="253365"/>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数量单位选择 QTY Units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106680</xdr:colOff>
          <xdr:row>100</xdr:row>
          <xdr:rowOff>22860</xdr:rowOff>
        </xdr:from>
        <xdr:to>
          <xdr:col>24</xdr:col>
          <xdr:colOff>480060</xdr:colOff>
          <xdr:row>101</xdr:row>
          <xdr:rowOff>99060</xdr:rowOff>
        </xdr:to>
        <xdr:sp macro="[0]!基本选项">
          <xdr:nvSpPr>
            <xdr:cNvPr id="30735" name="Button 15" hidden="1">
              <a:extLst>
                <a:ext uri="{63B3BB69-23CF-44E3-9099-C40C66FF867C}">
                  <a14:compatExt spid="_x0000_s30735"/>
                </a:ext>
              </a:extLst>
            </xdr:cNvPr>
            <xdr:cNvSpPr/>
          </xdr:nvSpPr>
          <xdr:spPr>
            <a:xfrm>
              <a:off x="7385050" y="1889760"/>
              <a:ext cx="2556510" cy="257175"/>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31</xdr:col>
          <xdr:colOff>91440</xdr:colOff>
          <xdr:row>114</xdr:row>
          <xdr:rowOff>129540</xdr:rowOff>
        </xdr:from>
        <xdr:to>
          <xdr:col>33</xdr:col>
          <xdr:colOff>693420</xdr:colOff>
          <xdr:row>116</xdr:row>
          <xdr:rowOff>53340</xdr:rowOff>
        </xdr:to>
        <xdr:sp macro="[0]!计算选项选择">
          <xdr:nvSpPr>
            <xdr:cNvPr id="8207" name="Button 15" hidden="1">
              <a:extLst>
                <a:ext uri="{63B3BB69-23CF-44E3-9099-C40C66FF867C}">
                  <a14:compatExt spid="_x0000_s8207"/>
                </a:ext>
              </a:extLst>
            </xdr:cNvPr>
            <xdr:cNvSpPr/>
          </xdr:nvSpPr>
          <xdr:spPr>
            <a:xfrm>
              <a:off x="7686040" y="1981200"/>
              <a:ext cx="2531745"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计算选项 Calculation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83820</xdr:colOff>
          <xdr:row>112</xdr:row>
          <xdr:rowOff>38100</xdr:rowOff>
        </xdr:from>
        <xdr:to>
          <xdr:col>33</xdr:col>
          <xdr:colOff>685800</xdr:colOff>
          <xdr:row>114</xdr:row>
          <xdr:rowOff>91440</xdr:rowOff>
        </xdr:to>
        <xdr:sp macro="[0]!基本选项">
          <xdr:nvSpPr>
            <xdr:cNvPr id="8208" name="Button 16" hidden="1">
              <a:extLst>
                <a:ext uri="{63B3BB69-23CF-44E3-9099-C40C66FF867C}">
                  <a14:compatExt spid="_x0000_s8208"/>
                </a:ext>
              </a:extLst>
            </xdr:cNvPr>
            <xdr:cNvSpPr/>
          </xdr:nvSpPr>
          <xdr:spPr>
            <a:xfrm>
              <a:off x="7678420" y="1687830"/>
              <a:ext cx="2531745" cy="25527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24</xdr:col>
          <xdr:colOff>266700</xdr:colOff>
          <xdr:row>107</xdr:row>
          <xdr:rowOff>0</xdr:rowOff>
        </xdr:from>
        <xdr:to>
          <xdr:col>28</xdr:col>
          <xdr:colOff>167640</xdr:colOff>
          <xdr:row>107</xdr:row>
          <xdr:rowOff>251460</xdr:rowOff>
        </xdr:to>
        <xdr:sp macro="[0]!数量单位选择">
          <xdr:nvSpPr>
            <xdr:cNvPr id="5176" name="Button 56" hidden="1">
              <a:extLst>
                <a:ext uri="{63B3BB69-23CF-44E3-9099-C40C66FF867C}">
                  <a14:compatExt spid="_x0000_s5176"/>
                </a:ext>
              </a:extLst>
            </xdr:cNvPr>
            <xdr:cNvSpPr/>
          </xdr:nvSpPr>
          <xdr:spPr>
            <a:xfrm>
              <a:off x="7985760" y="2745105"/>
              <a:ext cx="2608580"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数量单位选择 QTY Units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102</xdr:row>
          <xdr:rowOff>53340</xdr:rowOff>
        </xdr:from>
        <xdr:to>
          <xdr:col>28</xdr:col>
          <xdr:colOff>167640</xdr:colOff>
          <xdr:row>103</xdr:row>
          <xdr:rowOff>144780</xdr:rowOff>
        </xdr:to>
        <xdr:sp macro="[0]!计量条件选择">
          <xdr:nvSpPr>
            <xdr:cNvPr id="5179" name="Button 59" hidden="1">
              <a:extLst>
                <a:ext uri="{63B3BB69-23CF-44E3-9099-C40C66FF867C}">
                  <a14:compatExt spid="_x0000_s5179"/>
                </a:ext>
              </a:extLst>
            </xdr:cNvPr>
            <xdr:cNvSpPr/>
          </xdr:nvSpPr>
          <xdr:spPr>
            <a:xfrm>
              <a:off x="7985760" y="2097405"/>
              <a:ext cx="2608580"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计量条件选择 Gauge Conditions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108</xdr:row>
          <xdr:rowOff>7620</xdr:rowOff>
        </xdr:from>
        <xdr:to>
          <xdr:col>26</xdr:col>
          <xdr:colOff>22860</xdr:colOff>
          <xdr:row>108</xdr:row>
          <xdr:rowOff>190500</xdr:rowOff>
        </xdr:to>
        <xdr:sp>
          <xdr:nvSpPr>
            <xdr:cNvPr id="5200" name="Option Button 80" hidden="1">
              <a:extLst>
                <a:ext uri="{63B3BB69-23CF-44E3-9099-C40C66FF867C}">
                  <a14:compatExt spid="_x0000_s5200"/>
                </a:ext>
              </a:extLst>
            </xdr:cNvPr>
            <xdr:cNvSpPr/>
          </xdr:nvSpPr>
          <xdr:spPr>
            <a:xfrm>
              <a:off x="7985760" y="3080385"/>
              <a:ext cx="1109980" cy="182880"/>
            </a:xfrm>
            <a:prstGeom prst="rect">
              <a:avLst/>
            </a:prstGeom>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panose="020B0503020204020204" charset="-122"/>
                  <a:ea typeface="Microsoft YaHei UI" panose="020B0503020204020204" charset="-122"/>
                </a:rPr>
                <a:t>启用内插输入</a:t>
              </a:r>
              <a:endParaRPr lang="zh-CN" altLang="en-US" sz="900" b="0" i="0" u="none" strike="noStrike" baseline="0">
                <a:solidFill>
                  <a:srgbClr val="000000"/>
                </a:solidFill>
                <a:latin typeface="Microsoft YaHei UI" panose="020B0503020204020204" charset="-122"/>
                <a:ea typeface="Microsoft YaHei UI" panose="020B050302020402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108</xdr:row>
          <xdr:rowOff>198120</xdr:rowOff>
        </xdr:from>
        <xdr:to>
          <xdr:col>26</xdr:col>
          <xdr:colOff>22860</xdr:colOff>
          <xdr:row>109</xdr:row>
          <xdr:rowOff>83820</xdr:rowOff>
        </xdr:to>
        <xdr:sp>
          <xdr:nvSpPr>
            <xdr:cNvPr id="5201" name="Option Button 81" hidden="1">
              <a:extLst>
                <a:ext uri="{63B3BB69-23CF-44E3-9099-C40C66FF867C}">
                  <a14:compatExt spid="_x0000_s5201"/>
                </a:ext>
              </a:extLst>
            </xdr:cNvPr>
            <xdr:cNvSpPr/>
          </xdr:nvSpPr>
          <xdr:spPr>
            <a:xfrm>
              <a:off x="7985760" y="3270885"/>
              <a:ext cx="1109980" cy="182880"/>
            </a:xfrm>
            <a:prstGeom prst="rect">
              <a:avLst/>
            </a:prstGeom>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panose="020B0503020204020204" charset="-122"/>
                  <a:ea typeface="Microsoft YaHei UI" panose="020B0503020204020204" charset="-122"/>
                </a:rPr>
                <a:t>关闭内插输入</a:t>
              </a:r>
              <a:endParaRPr lang="zh-CN" altLang="en-US" sz="900" b="0" i="0" u="none" strike="noStrike" baseline="0">
                <a:solidFill>
                  <a:srgbClr val="000000"/>
                </a:solidFill>
                <a:latin typeface="Microsoft YaHei UI" panose="020B0503020204020204" charset="-122"/>
                <a:ea typeface="Microsoft YaHei UI" panose="020B050302020402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104</xdr:row>
          <xdr:rowOff>53340</xdr:rowOff>
        </xdr:from>
        <xdr:to>
          <xdr:col>28</xdr:col>
          <xdr:colOff>167640</xdr:colOff>
          <xdr:row>105</xdr:row>
          <xdr:rowOff>144780</xdr:rowOff>
        </xdr:to>
        <xdr:sp macro="[0]!计算选项选择">
          <xdr:nvSpPr>
            <xdr:cNvPr id="5203" name="Button 83" hidden="1">
              <a:extLst>
                <a:ext uri="{63B3BB69-23CF-44E3-9099-C40C66FF867C}">
                  <a14:compatExt spid="_x0000_s5203"/>
                </a:ext>
              </a:extLst>
            </xdr:cNvPr>
            <xdr:cNvSpPr/>
          </xdr:nvSpPr>
          <xdr:spPr>
            <a:xfrm>
              <a:off x="7985760" y="2417445"/>
              <a:ext cx="2608580"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计算选项 Calculation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100</xdr:row>
          <xdr:rowOff>45720</xdr:rowOff>
        </xdr:from>
        <xdr:to>
          <xdr:col>28</xdr:col>
          <xdr:colOff>167640</xdr:colOff>
          <xdr:row>101</xdr:row>
          <xdr:rowOff>137160</xdr:rowOff>
        </xdr:to>
        <xdr:sp macro="[0]!基本选项">
          <xdr:nvSpPr>
            <xdr:cNvPr id="5204" name="Button 84" hidden="1">
              <a:extLst>
                <a:ext uri="{63B3BB69-23CF-44E3-9099-C40C66FF867C}">
                  <a14:compatExt spid="_x0000_s5204"/>
                </a:ext>
              </a:extLst>
            </xdr:cNvPr>
            <xdr:cNvSpPr/>
          </xdr:nvSpPr>
          <xdr:spPr>
            <a:xfrm>
              <a:off x="7985760" y="1769745"/>
              <a:ext cx="2608580"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21</xdr:col>
          <xdr:colOff>388620</xdr:colOff>
          <xdr:row>100</xdr:row>
          <xdr:rowOff>22860</xdr:rowOff>
        </xdr:from>
        <xdr:to>
          <xdr:col>27</xdr:col>
          <xdr:colOff>335280</xdr:colOff>
          <xdr:row>101</xdr:row>
          <xdr:rowOff>121920</xdr:rowOff>
        </xdr:to>
        <xdr:sp macro="[0]!基本选项">
          <xdr:nvSpPr>
            <xdr:cNvPr id="9229" name="Button 13" hidden="1">
              <a:extLst>
                <a:ext uri="{63B3BB69-23CF-44E3-9099-C40C66FF867C}">
                  <a14:compatExt spid="_x0000_s9229"/>
                </a:ext>
              </a:extLst>
            </xdr:cNvPr>
            <xdr:cNvSpPr/>
          </xdr:nvSpPr>
          <xdr:spPr>
            <a:xfrm>
              <a:off x="7370445" y="1859280"/>
              <a:ext cx="2604770"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19</xdr:col>
          <xdr:colOff>220980</xdr:colOff>
          <xdr:row>99</xdr:row>
          <xdr:rowOff>7620</xdr:rowOff>
        </xdr:from>
        <xdr:to>
          <xdr:col>22</xdr:col>
          <xdr:colOff>304800</xdr:colOff>
          <xdr:row>100</xdr:row>
          <xdr:rowOff>114300</xdr:rowOff>
        </xdr:to>
        <xdr:sp macro="[0]!基本选项">
          <xdr:nvSpPr>
            <xdr:cNvPr id="10254" name="Button 14" hidden="1">
              <a:extLst>
                <a:ext uri="{63B3BB69-23CF-44E3-9099-C40C66FF867C}">
                  <a14:compatExt spid="_x0000_s10254"/>
                </a:ext>
              </a:extLst>
            </xdr:cNvPr>
            <xdr:cNvSpPr/>
          </xdr:nvSpPr>
          <xdr:spPr>
            <a:xfrm>
              <a:off x="10081895" y="1407795"/>
              <a:ext cx="2589530"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17</xdr:col>
      <xdr:colOff>311574</xdr:colOff>
      <xdr:row>88</xdr:row>
      <xdr:rowOff>50800</xdr:rowOff>
    </xdr:from>
    <xdr:to>
      <xdr:col>21</xdr:col>
      <xdr:colOff>212514</xdr:colOff>
      <xdr:row>94</xdr:row>
      <xdr:rowOff>109215</xdr:rowOff>
    </xdr:to>
    <xdr:grpSp>
      <xdr:nvGrpSpPr>
        <xdr:cNvPr id="4" name="组合 3"/>
        <xdr:cNvGrpSpPr/>
      </xdr:nvGrpSpPr>
      <xdr:grpSpPr>
        <a:xfrm>
          <a:off x="12500610" y="15976600"/>
          <a:ext cx="2608580" cy="981710"/>
          <a:chOff x="11292841" y="15697179"/>
          <a:chExt cx="2339340" cy="981308"/>
        </a:xfrm>
      </xdr:grpSpPr>
      <mc:AlternateContent xmlns:mc="http://schemas.openxmlformats.org/markup-compatibility/2006">
        <mc:Choice xmlns:a14="http://schemas.microsoft.com/office/drawing/2010/main" Requires="a14">
          <xdr:sp macro="[0]!数量单位选择">
            <xdr:nvSpPr>
              <xdr:cNvPr id="3110" name="Button 38" hidden="1">
                <a:extLst>
                  <a:ext uri="{63B3BB69-23CF-44E3-9099-C40C66FF867C}">
                    <a14:compatExt spid="_x0000_s3110"/>
                  </a:ext>
                </a:extLst>
              </xdr:cNvPr>
              <xdr:cNvSpPr/>
            </xdr:nvSpPr>
            <xdr:spPr>
              <a:xfrm>
                <a:off x="11292841" y="16427028"/>
                <a:ext cx="2339340" cy="251459"/>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数量单位选择 QTY Units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mc:Choice>
        <mc:Fallback/>
      </mc:AlternateContent>
      <mc:AlternateContent xmlns:mc="http://schemas.openxmlformats.org/markup-compatibility/2006">
        <mc:Choice xmlns:a14="http://schemas.microsoft.com/office/drawing/2010/main" Requires="a14">
          <xdr:sp macro="[0]!计算选项选择">
            <xdr:nvSpPr>
              <xdr:cNvPr id="3111" name="Button 39" hidden="1">
                <a:extLst>
                  <a:ext uri="{63B3BB69-23CF-44E3-9099-C40C66FF867C}">
                    <a14:compatExt spid="_x0000_s3111"/>
                  </a:ext>
                </a:extLst>
              </xdr:cNvPr>
              <xdr:cNvSpPr/>
            </xdr:nvSpPr>
            <xdr:spPr>
              <a:xfrm>
                <a:off x="11292841" y="16062111"/>
                <a:ext cx="2339340"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计算选项 Calculation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mc:Choice>
        <mc:Fallback/>
      </mc:AlternateContent>
      <mc:AlternateContent xmlns:mc="http://schemas.openxmlformats.org/markup-compatibility/2006">
        <mc:Choice xmlns:a14="http://schemas.microsoft.com/office/drawing/2010/main" Requires="a14">
          <xdr:sp macro="[0]!基本选项">
            <xdr:nvSpPr>
              <xdr:cNvPr id="3112" name="Button 40" hidden="1">
                <a:extLst>
                  <a:ext uri="{63B3BB69-23CF-44E3-9099-C40C66FF867C}">
                    <a14:compatExt spid="_x0000_s3112"/>
                  </a:ext>
                </a:extLst>
              </xdr:cNvPr>
              <xdr:cNvSpPr/>
            </xdr:nvSpPr>
            <xdr:spPr>
              <a:xfrm>
                <a:off x="11292841" y="15697179"/>
                <a:ext cx="2339340" cy="251458"/>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mc:Choice>
        <mc:Fallback/>
      </mc:AlternateContent>
    </xdr:grp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17</xdr:col>
      <xdr:colOff>311574</xdr:colOff>
      <xdr:row>88</xdr:row>
      <xdr:rowOff>50800</xdr:rowOff>
    </xdr:from>
    <xdr:to>
      <xdr:col>21</xdr:col>
      <xdr:colOff>212514</xdr:colOff>
      <xdr:row>94</xdr:row>
      <xdr:rowOff>109215</xdr:rowOff>
    </xdr:to>
    <xdr:grpSp>
      <xdr:nvGrpSpPr>
        <xdr:cNvPr id="29" name="组合 28"/>
        <xdr:cNvGrpSpPr/>
      </xdr:nvGrpSpPr>
      <xdr:grpSpPr>
        <a:xfrm>
          <a:off x="7693660" y="50800"/>
          <a:ext cx="2608580" cy="981710"/>
          <a:chOff x="11292841" y="15697181"/>
          <a:chExt cx="2339340" cy="981290"/>
        </a:xfrm>
      </xdr:grpSpPr>
      <mc:AlternateContent xmlns:mc="http://schemas.openxmlformats.org/markup-compatibility/2006">
        <mc:Choice xmlns:a14="http://schemas.microsoft.com/office/drawing/2010/main" Requires="a14">
          <xdr:sp macro="[0]!数量单位选择">
            <xdr:nvSpPr>
              <xdr:cNvPr id="32793" name="Button 25" hidden="1">
                <a:extLst>
                  <a:ext uri="{63B3BB69-23CF-44E3-9099-C40C66FF867C}">
                    <a14:compatExt spid="_x0000_s32793"/>
                  </a:ext>
                </a:extLst>
              </xdr:cNvPr>
              <xdr:cNvSpPr/>
            </xdr:nvSpPr>
            <xdr:spPr>
              <a:xfrm>
                <a:off x="11292841" y="16427012"/>
                <a:ext cx="2339340" cy="251459"/>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数量单位选择 QTY Units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mc:Choice>
        <mc:Fallback/>
      </mc:AlternateContent>
      <mc:AlternateContent xmlns:mc="http://schemas.openxmlformats.org/markup-compatibility/2006">
        <mc:Choice xmlns:a14="http://schemas.microsoft.com/office/drawing/2010/main" Requires="a14">
          <xdr:sp macro="[0]!计算选项选择">
            <xdr:nvSpPr>
              <xdr:cNvPr id="32794" name="Button 26" hidden="1">
                <a:extLst>
                  <a:ext uri="{63B3BB69-23CF-44E3-9099-C40C66FF867C}">
                    <a14:compatExt spid="_x0000_s32794"/>
                  </a:ext>
                </a:extLst>
              </xdr:cNvPr>
              <xdr:cNvSpPr/>
            </xdr:nvSpPr>
            <xdr:spPr>
              <a:xfrm>
                <a:off x="11292841" y="16062111"/>
                <a:ext cx="2339340"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计算选项 Calculation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mc:Choice>
        <mc:Fallback/>
      </mc:AlternateContent>
      <mc:AlternateContent xmlns:mc="http://schemas.openxmlformats.org/markup-compatibility/2006">
        <mc:Choice xmlns:a14="http://schemas.microsoft.com/office/drawing/2010/main" Requires="a14">
          <xdr:sp macro="[0]!基本选项">
            <xdr:nvSpPr>
              <xdr:cNvPr id="32795" name="Button 27" hidden="1">
                <a:extLst>
                  <a:ext uri="{63B3BB69-23CF-44E3-9099-C40C66FF867C}">
                    <a14:compatExt spid="_x0000_s32795"/>
                  </a:ext>
                </a:extLst>
              </xdr:cNvPr>
              <xdr:cNvSpPr/>
            </xdr:nvSpPr>
            <xdr:spPr>
              <a:xfrm>
                <a:off x="11292841" y="15697181"/>
                <a:ext cx="2339340" cy="251459"/>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mc:Choice>
        <mc:Fallback/>
      </mc:AlternateContent>
    </xdr:grpSp>
    <xdr:clientData fPrintsWithSheet="0"/>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31</xdr:col>
          <xdr:colOff>228600</xdr:colOff>
          <xdr:row>115</xdr:row>
          <xdr:rowOff>15240</xdr:rowOff>
        </xdr:from>
        <xdr:to>
          <xdr:col>34</xdr:col>
          <xdr:colOff>0</xdr:colOff>
          <xdr:row>117</xdr:row>
          <xdr:rowOff>30480</xdr:rowOff>
        </xdr:to>
        <xdr:sp macro="[0]!计算选项选择">
          <xdr:nvSpPr>
            <xdr:cNvPr id="7187" name="Button 19" hidden="1">
              <a:extLst>
                <a:ext uri="{63B3BB69-23CF-44E3-9099-C40C66FF867C}">
                  <a14:compatExt spid="_x0000_s7187"/>
                </a:ext>
              </a:extLst>
            </xdr:cNvPr>
            <xdr:cNvSpPr/>
          </xdr:nvSpPr>
          <xdr:spPr>
            <a:xfrm>
              <a:off x="7416800" y="2042160"/>
              <a:ext cx="2623820" cy="25146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计算选项 Calculation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220980</xdr:colOff>
          <xdr:row>112</xdr:row>
          <xdr:rowOff>38100</xdr:rowOff>
        </xdr:from>
        <xdr:to>
          <xdr:col>33</xdr:col>
          <xdr:colOff>822960</xdr:colOff>
          <xdr:row>114</xdr:row>
          <xdr:rowOff>91440</xdr:rowOff>
        </xdr:to>
        <xdr:sp macro="[0]!基本选项">
          <xdr:nvSpPr>
            <xdr:cNvPr id="7188" name="Button 20" hidden="1">
              <a:extLst>
                <a:ext uri="{63B3BB69-23CF-44E3-9099-C40C66FF867C}">
                  <a14:compatExt spid="_x0000_s7188"/>
                </a:ext>
              </a:extLst>
            </xdr:cNvPr>
            <xdr:cNvSpPr/>
          </xdr:nvSpPr>
          <xdr:spPr>
            <a:xfrm>
              <a:off x="7409180" y="1687830"/>
              <a:ext cx="2531745" cy="25527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22</xdr:col>
          <xdr:colOff>266700</xdr:colOff>
          <xdr:row>98</xdr:row>
          <xdr:rowOff>83820</xdr:rowOff>
        </xdr:from>
        <xdr:to>
          <xdr:col>27</xdr:col>
          <xdr:colOff>784860</xdr:colOff>
          <xdr:row>99</xdr:row>
          <xdr:rowOff>137160</xdr:rowOff>
        </xdr:to>
        <xdr:sp macro="[0]!基本选项">
          <xdr:nvSpPr>
            <xdr:cNvPr id="11278" name="Button 14" hidden="1">
              <a:extLst>
                <a:ext uri="{63B3BB69-23CF-44E3-9099-C40C66FF867C}">
                  <a14:compatExt spid="_x0000_s11278"/>
                </a:ext>
              </a:extLst>
            </xdr:cNvPr>
            <xdr:cNvSpPr/>
          </xdr:nvSpPr>
          <xdr:spPr>
            <a:xfrm>
              <a:off x="7910195" y="1729740"/>
              <a:ext cx="2541270" cy="24384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10</xdr:col>
          <xdr:colOff>15240</xdr:colOff>
          <xdr:row>100</xdr:row>
          <xdr:rowOff>60960</xdr:rowOff>
        </xdr:from>
        <xdr:to>
          <xdr:col>12</xdr:col>
          <xdr:colOff>281940</xdr:colOff>
          <xdr:row>101</xdr:row>
          <xdr:rowOff>114300</xdr:rowOff>
        </xdr:to>
        <xdr:sp macro="[0]!调整窗口">
          <xdr:nvSpPr>
            <xdr:cNvPr id="22543" name="Button 15" hidden="1">
              <a:extLst>
                <a:ext uri="{63B3BB69-23CF-44E3-9099-C40C66FF867C}">
                  <a14:compatExt spid="_x0000_s22543"/>
                </a:ext>
              </a:extLst>
            </xdr:cNvPr>
            <xdr:cNvSpPr/>
          </xdr:nvSpPr>
          <xdr:spPr>
            <a:xfrm>
              <a:off x="5720715" y="1973580"/>
              <a:ext cx="1392555" cy="262890"/>
            </a:xfrm>
            <a:prstGeom prst="rect">
              <a:avLst/>
            </a:prstGeom>
          </xdr:spPr>
          <xdr:txBody>
            <a:bodyPr vertOverflow="clip" wrap="square" lIns="36576" tIns="41148" rIns="36576" bIns="41148" anchor="ctr" upright="1"/>
            <a:lstStyle/>
            <a:p>
              <a:pPr algn="ctr" rtl="0">
                <a:defRPr sz="1000"/>
              </a:pPr>
              <a:r>
                <a:rPr lang="zh-CN" altLang="en-US" sz="1000" b="1" i="0" u="none" strike="noStrike" baseline="0">
                  <a:solidFill>
                    <a:srgbClr val="0000FF"/>
                  </a:solidFill>
                  <a:latin typeface="微软雅黑" panose="020B0503020204020204" charset="-122"/>
                  <a:ea typeface="微软雅黑" panose="020B0503020204020204" charset="-122"/>
                </a:rPr>
                <a:t>输入记录</a:t>
              </a:r>
              <a:endParaRPr lang="zh-CN" altLang="en-US" sz="10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182880</xdr:colOff>
          <xdr:row>88</xdr:row>
          <xdr:rowOff>53340</xdr:rowOff>
        </xdr:from>
        <xdr:to>
          <xdr:col>25</xdr:col>
          <xdr:colOff>38100</xdr:colOff>
          <xdr:row>89</xdr:row>
          <xdr:rowOff>129540</xdr:rowOff>
        </xdr:to>
        <xdr:sp macro="[0]!基本选项">
          <xdr:nvSpPr>
            <xdr:cNvPr id="22558" name="Button 30" hidden="1">
              <a:extLst>
                <a:ext uri="{63B3BB69-23CF-44E3-9099-C40C66FF867C}">
                  <a14:compatExt spid="_x0000_s22558"/>
                </a:ext>
              </a:extLst>
            </xdr:cNvPr>
            <xdr:cNvSpPr/>
          </xdr:nvSpPr>
          <xdr:spPr>
            <a:xfrm>
              <a:off x="7547610" y="53340"/>
              <a:ext cx="2615565" cy="257175"/>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228600</xdr:colOff>
          <xdr:row>136</xdr:row>
          <xdr:rowOff>38100</xdr:rowOff>
        </xdr:from>
        <xdr:to>
          <xdr:col>36</xdr:col>
          <xdr:colOff>243840</xdr:colOff>
          <xdr:row>137</xdr:row>
          <xdr:rowOff>91440</xdr:rowOff>
        </xdr:to>
        <xdr:sp macro="[0]!调整窗口1">
          <xdr:nvSpPr>
            <xdr:cNvPr id="22564" name="Button 36" hidden="1">
              <a:extLst>
                <a:ext uri="{63B3BB69-23CF-44E3-9099-C40C66FF867C}">
                  <a14:compatExt spid="_x0000_s22564"/>
                </a:ext>
              </a:extLst>
            </xdr:cNvPr>
            <xdr:cNvSpPr/>
          </xdr:nvSpPr>
          <xdr:spPr>
            <a:xfrm>
              <a:off x="19411315" y="8538210"/>
              <a:ext cx="1369060" cy="234315"/>
            </a:xfrm>
            <a:prstGeom prst="rect">
              <a:avLst/>
            </a:prstGeom>
          </xdr:spPr>
          <xdr:txBody>
            <a:bodyPr vertOverflow="clip" wrap="square" lIns="36576" tIns="41148" rIns="36576" bIns="41148" anchor="ctr" upright="1"/>
            <a:lstStyle/>
            <a:p>
              <a:pPr algn="ctr" rtl="0">
                <a:defRPr sz="1000"/>
              </a:pPr>
              <a:r>
                <a:rPr lang="zh-CN" altLang="en-US" sz="1000" b="1" i="0" u="none" strike="noStrike" baseline="0">
                  <a:solidFill>
                    <a:srgbClr val="0000FF"/>
                  </a:solidFill>
                  <a:latin typeface="微软雅黑" panose="020B0503020204020204" charset="-122"/>
                  <a:ea typeface="微软雅黑" panose="020B0503020204020204" charset="-122"/>
                </a:rPr>
                <a:t>输入完毕</a:t>
              </a:r>
              <a:endParaRPr lang="zh-CN" altLang="en-US" sz="10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20</xdr:col>
          <xdr:colOff>388620</xdr:colOff>
          <xdr:row>90</xdr:row>
          <xdr:rowOff>60960</xdr:rowOff>
        </xdr:from>
        <xdr:to>
          <xdr:col>24</xdr:col>
          <xdr:colOff>388620</xdr:colOff>
          <xdr:row>91</xdr:row>
          <xdr:rowOff>106680</xdr:rowOff>
        </xdr:to>
        <xdr:sp>
          <xdr:nvSpPr>
            <xdr:cNvPr id="23559" name="Drop Down 7" hidden="1">
              <a:extLst>
                <a:ext uri="{63B3BB69-23CF-44E3-9099-C40C66FF867C}">
                  <a14:compatExt spid="_x0000_s23559"/>
                </a:ext>
              </a:extLst>
            </xdr:cNvPr>
            <xdr:cNvSpPr/>
          </xdr:nvSpPr>
          <xdr:spPr>
            <a:xfrm>
              <a:off x="7625080" y="422910"/>
              <a:ext cx="2597785" cy="2266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119</xdr:row>
          <xdr:rowOff>152400</xdr:rowOff>
        </xdr:from>
        <xdr:to>
          <xdr:col>9</xdr:col>
          <xdr:colOff>441960</xdr:colOff>
          <xdr:row>121</xdr:row>
          <xdr:rowOff>0</xdr:rowOff>
        </xdr:to>
        <xdr:sp>
          <xdr:nvSpPr>
            <xdr:cNvPr id="23572" name="Check Box 20" hidden="1">
              <a:extLst>
                <a:ext uri="{63B3BB69-23CF-44E3-9099-C40C66FF867C}">
                  <a14:compatExt spid="_x0000_s23572"/>
                </a:ext>
              </a:extLst>
            </xdr:cNvPr>
            <xdr:cNvSpPr/>
          </xdr:nvSpPr>
          <xdr:spPr>
            <a:xfrm>
              <a:off x="660400" y="5478780"/>
              <a:ext cx="213360"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312420</xdr:colOff>
          <xdr:row>119</xdr:row>
          <xdr:rowOff>152400</xdr:rowOff>
        </xdr:from>
        <xdr:to>
          <xdr:col>11</xdr:col>
          <xdr:colOff>60960</xdr:colOff>
          <xdr:row>121</xdr:row>
          <xdr:rowOff>0</xdr:rowOff>
        </xdr:to>
        <xdr:sp>
          <xdr:nvSpPr>
            <xdr:cNvPr id="23573" name="Check Box 21" hidden="1">
              <a:extLst>
                <a:ext uri="{63B3BB69-23CF-44E3-9099-C40C66FF867C}">
                  <a14:compatExt spid="_x0000_s23573"/>
                </a:ext>
              </a:extLst>
            </xdr:cNvPr>
            <xdr:cNvSpPr/>
          </xdr:nvSpPr>
          <xdr:spPr>
            <a:xfrm>
              <a:off x="1260475" y="5478780"/>
              <a:ext cx="264795"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126</xdr:row>
          <xdr:rowOff>152400</xdr:rowOff>
        </xdr:from>
        <xdr:to>
          <xdr:col>9</xdr:col>
          <xdr:colOff>441960</xdr:colOff>
          <xdr:row>128</xdr:row>
          <xdr:rowOff>0</xdr:rowOff>
        </xdr:to>
        <xdr:sp>
          <xdr:nvSpPr>
            <xdr:cNvPr id="23574" name="Check Box 22" hidden="1">
              <a:extLst>
                <a:ext uri="{63B3BB69-23CF-44E3-9099-C40C66FF867C}">
                  <a14:compatExt spid="_x0000_s23574"/>
                </a:ext>
              </a:extLst>
            </xdr:cNvPr>
            <xdr:cNvSpPr/>
          </xdr:nvSpPr>
          <xdr:spPr>
            <a:xfrm>
              <a:off x="660400" y="6638925"/>
              <a:ext cx="213360"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312420</xdr:colOff>
          <xdr:row>126</xdr:row>
          <xdr:rowOff>152400</xdr:rowOff>
        </xdr:from>
        <xdr:to>
          <xdr:col>11</xdr:col>
          <xdr:colOff>60960</xdr:colOff>
          <xdr:row>128</xdr:row>
          <xdr:rowOff>0</xdr:rowOff>
        </xdr:to>
        <xdr:sp>
          <xdr:nvSpPr>
            <xdr:cNvPr id="23575" name="Check Box 23" hidden="1">
              <a:extLst>
                <a:ext uri="{63B3BB69-23CF-44E3-9099-C40C66FF867C}">
                  <a14:compatExt spid="_x0000_s23575"/>
                </a:ext>
              </a:extLst>
            </xdr:cNvPr>
            <xdr:cNvSpPr/>
          </xdr:nvSpPr>
          <xdr:spPr>
            <a:xfrm>
              <a:off x="1260475" y="6638925"/>
              <a:ext cx="264795"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129</xdr:row>
          <xdr:rowOff>152400</xdr:rowOff>
        </xdr:from>
        <xdr:to>
          <xdr:col>9</xdr:col>
          <xdr:colOff>441960</xdr:colOff>
          <xdr:row>131</xdr:row>
          <xdr:rowOff>0</xdr:rowOff>
        </xdr:to>
        <xdr:sp>
          <xdr:nvSpPr>
            <xdr:cNvPr id="23581" name="Check Box 29" hidden="1">
              <a:extLst>
                <a:ext uri="{63B3BB69-23CF-44E3-9099-C40C66FF867C}">
                  <a14:compatExt spid="_x0000_s23581"/>
                </a:ext>
              </a:extLst>
            </xdr:cNvPr>
            <xdr:cNvSpPr/>
          </xdr:nvSpPr>
          <xdr:spPr>
            <a:xfrm>
              <a:off x="660400" y="6983730"/>
              <a:ext cx="21336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320040</xdr:colOff>
          <xdr:row>129</xdr:row>
          <xdr:rowOff>152400</xdr:rowOff>
        </xdr:from>
        <xdr:to>
          <xdr:col>11</xdr:col>
          <xdr:colOff>68580</xdr:colOff>
          <xdr:row>131</xdr:row>
          <xdr:rowOff>0</xdr:rowOff>
        </xdr:to>
        <xdr:sp>
          <xdr:nvSpPr>
            <xdr:cNvPr id="23582" name="Check Box 30" hidden="1">
              <a:extLst>
                <a:ext uri="{63B3BB69-23CF-44E3-9099-C40C66FF867C}">
                  <a14:compatExt spid="_x0000_s23582"/>
                </a:ext>
              </a:extLst>
            </xdr:cNvPr>
            <xdr:cNvSpPr/>
          </xdr:nvSpPr>
          <xdr:spPr>
            <a:xfrm>
              <a:off x="1268095" y="6983730"/>
              <a:ext cx="264795"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136</xdr:row>
          <xdr:rowOff>152400</xdr:rowOff>
        </xdr:from>
        <xdr:to>
          <xdr:col>9</xdr:col>
          <xdr:colOff>441960</xdr:colOff>
          <xdr:row>138</xdr:row>
          <xdr:rowOff>0</xdr:rowOff>
        </xdr:to>
        <xdr:sp>
          <xdr:nvSpPr>
            <xdr:cNvPr id="23583" name="Check Box 31" hidden="1">
              <a:extLst>
                <a:ext uri="{63B3BB69-23CF-44E3-9099-C40C66FF867C}">
                  <a14:compatExt spid="_x0000_s23583"/>
                </a:ext>
              </a:extLst>
            </xdr:cNvPr>
            <xdr:cNvSpPr/>
          </xdr:nvSpPr>
          <xdr:spPr>
            <a:xfrm>
              <a:off x="660400" y="6983730"/>
              <a:ext cx="21336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320040</xdr:colOff>
          <xdr:row>136</xdr:row>
          <xdr:rowOff>152400</xdr:rowOff>
        </xdr:from>
        <xdr:to>
          <xdr:col>11</xdr:col>
          <xdr:colOff>68580</xdr:colOff>
          <xdr:row>138</xdr:row>
          <xdr:rowOff>0</xdr:rowOff>
        </xdr:to>
        <xdr:sp>
          <xdr:nvSpPr>
            <xdr:cNvPr id="23584" name="Check Box 32" hidden="1">
              <a:extLst>
                <a:ext uri="{63B3BB69-23CF-44E3-9099-C40C66FF867C}">
                  <a14:compatExt spid="_x0000_s23584"/>
                </a:ext>
              </a:extLst>
            </xdr:cNvPr>
            <xdr:cNvSpPr/>
          </xdr:nvSpPr>
          <xdr:spPr>
            <a:xfrm>
              <a:off x="1268095" y="6983730"/>
              <a:ext cx="264795"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373380</xdr:colOff>
          <xdr:row>88</xdr:row>
          <xdr:rowOff>114300</xdr:rowOff>
        </xdr:from>
        <xdr:to>
          <xdr:col>24</xdr:col>
          <xdr:colOff>373380</xdr:colOff>
          <xdr:row>90</xdr:row>
          <xdr:rowOff>15240</xdr:rowOff>
        </xdr:to>
        <xdr:sp macro="[0]!基本选项">
          <xdr:nvSpPr>
            <xdr:cNvPr id="23585" name="Button 33" hidden="1">
              <a:extLst>
                <a:ext uri="{63B3BB69-23CF-44E3-9099-C40C66FF867C}">
                  <a14:compatExt spid="_x0000_s23585"/>
                </a:ext>
              </a:extLst>
            </xdr:cNvPr>
            <xdr:cNvSpPr/>
          </xdr:nvSpPr>
          <xdr:spPr>
            <a:xfrm>
              <a:off x="7609840" y="114300"/>
              <a:ext cx="2597785" cy="26289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20</xdr:col>
          <xdr:colOff>53340</xdr:colOff>
          <xdr:row>100</xdr:row>
          <xdr:rowOff>30480</xdr:rowOff>
        </xdr:from>
        <xdr:to>
          <xdr:col>23</xdr:col>
          <xdr:colOff>563880</xdr:colOff>
          <xdr:row>101</xdr:row>
          <xdr:rowOff>106679</xdr:rowOff>
        </xdr:to>
        <xdr:sp macro="[0]!基本选项">
          <xdr:nvSpPr>
            <xdr:cNvPr id="43009" name="Button 1" hidden="1">
              <a:extLst>
                <a:ext uri="{63B3BB69-23CF-44E3-9099-C40C66FF867C}">
                  <a14:compatExt spid="_x0000_s43009"/>
                </a:ext>
              </a:extLst>
            </xdr:cNvPr>
            <xdr:cNvSpPr/>
          </xdr:nvSpPr>
          <xdr:spPr>
            <a:xfrm>
              <a:off x="8491855" y="1847850"/>
              <a:ext cx="2541270" cy="256540"/>
            </a:xfrm>
            <a:prstGeom prst="rect">
              <a:avLst/>
            </a:prstGeom>
          </xdr:spPr>
          <xdr:txBody>
            <a:bodyPr vertOverflow="clip" wrap="square" lIns="36576" tIns="27432" rIns="0" bIns="27432" anchor="ctr" upright="1"/>
            <a:lstStyle/>
            <a:p>
              <a:pPr algn="l" rtl="0">
                <a:defRPr sz="1000"/>
              </a:pPr>
              <a:r>
                <a:rPr lang="zh-CN" altLang="en-US" sz="900" b="1" i="0" u="none" strike="noStrike" baseline="0">
                  <a:solidFill>
                    <a:srgbClr val="0000FF"/>
                  </a:solidFill>
                  <a:latin typeface="微软雅黑" panose="020B0503020204020204" charset="-122"/>
                  <a:ea typeface="微软雅黑" panose="020B0503020204020204" charset="-122"/>
                </a:rPr>
                <a:t>报告选项 Report Options</a:t>
              </a:r>
              <a:endParaRPr lang="zh-CN" altLang="en-US" sz="900" b="1" i="0" u="none" strike="noStrike" baseline="0">
                <a:solidFill>
                  <a:srgbClr val="0000FF"/>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oneCell">
    <xdr:from>
      <xdr:col>22</xdr:col>
      <xdr:colOff>480060</xdr:colOff>
      <xdr:row>86</xdr:row>
      <xdr:rowOff>137160</xdr:rowOff>
    </xdr:from>
    <xdr:to>
      <xdr:col>26</xdr:col>
      <xdr:colOff>572460</xdr:colOff>
      <xdr:row>124</xdr:row>
      <xdr:rowOff>129420</xdr:rowOff>
    </xdr:to>
    <xdr:grpSp>
      <xdr:nvGrpSpPr>
        <xdr:cNvPr id="4" name="组合 3"/>
        <xdr:cNvGrpSpPr/>
      </xdr:nvGrpSpPr>
      <xdr:grpSpPr>
        <a:xfrm>
          <a:off x="14300835" y="15822930"/>
          <a:ext cx="2835275" cy="6430645"/>
          <a:chOff x="2042160" y="16761460"/>
          <a:chExt cx="2530800" cy="6634360"/>
        </a:xfrm>
      </xdr:grpSpPr>
      <xdr:sp>
        <xdr:nvSpPr>
          <xdr:cNvPr id="2" name="文本框 1"/>
          <xdr:cNvSpPr txBox="1"/>
        </xdr:nvSpPr>
        <xdr:spPr>
          <a:xfrm>
            <a:off x="2042160" y="16761460"/>
            <a:ext cx="2530800" cy="6634360"/>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报告语言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Report Language</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报告种类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Report Type</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油品分类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Commodity Group</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隐藏信息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Hidden Information</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体积修正系数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VCF</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表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Table</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版本号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Version</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输入密度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Density Input</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密度</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a:t>
            </a: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重量</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a:t>
            </a: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体积 转换标准</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Density/Weight/Volume Intraconversion</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数量单位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Quantities Unit</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endParaRPr lang="zh-CN" altLang="en-US" sz="1100"/>
          </a:p>
        </xdr:txBody>
      </xdr:sp>
      <mc:AlternateContent xmlns:mc="http://schemas.openxmlformats.org/markup-compatibility/2006">
        <mc:Choice xmlns:a14="http://schemas.microsoft.com/office/drawing/2010/main" Requires="a14">
          <xdr:sp>
            <xdr:nvSpPr>
              <xdr:cNvPr id="1036" name="Drop Down 12" hidden="1">
                <a:extLst>
                  <a:ext uri="{63B3BB69-23CF-44E3-9099-C40C66FF867C}">
                    <a14:compatExt spid="_x0000_s1036"/>
                  </a:ext>
                </a:extLst>
              </xdr:cNvPr>
              <xdr:cNvSpPr/>
            </xdr:nvSpPr>
            <xdr:spPr>
              <a:xfrm>
                <a:off x="2385060" y="17006614"/>
                <a:ext cx="2019300" cy="199188"/>
              </a:xfrm>
              <a:prstGeom prst="rect">
                <a:avLst/>
              </a:prstGeom>
            </xdr:spPr>
          </xdr:sp>
        </mc:Choice>
        <mc:Fallback/>
      </mc:AlternateContent>
      <mc:AlternateContent xmlns:mc="http://schemas.openxmlformats.org/markup-compatibility/2006">
        <mc:Choice xmlns:a14="http://schemas.microsoft.com/office/drawing/2010/main" Requires="a14">
          <xdr:sp>
            <xdr:nvSpPr>
              <xdr:cNvPr id="1038" name="Drop Down 14" hidden="1">
                <a:extLst>
                  <a:ext uri="{63B3BB69-23CF-44E3-9099-C40C66FF867C}">
                    <a14:compatExt spid="_x0000_s1038"/>
                  </a:ext>
                </a:extLst>
              </xdr:cNvPr>
              <xdr:cNvSpPr/>
            </xdr:nvSpPr>
            <xdr:spPr>
              <a:xfrm>
                <a:off x="3070860" y="19350899"/>
                <a:ext cx="861060" cy="199188"/>
              </a:xfrm>
              <a:prstGeom prst="rect">
                <a:avLst/>
              </a:prstGeom>
            </xdr:spPr>
          </xdr:sp>
        </mc:Choice>
        <mc:Fallback/>
      </mc:AlternateContent>
      <mc:AlternateContent xmlns:mc="http://schemas.openxmlformats.org/markup-compatibility/2006">
        <mc:Choice xmlns:a14="http://schemas.microsoft.com/office/drawing/2010/main" Requires="a14">
          <xdr:sp>
            <xdr:nvSpPr>
              <xdr:cNvPr id="1040" name="Drop Down 16" hidden="1">
                <a:extLst>
                  <a:ext uri="{63B3BB69-23CF-44E3-9099-C40C66FF867C}">
                    <a14:compatExt spid="_x0000_s1040"/>
                  </a:ext>
                </a:extLst>
              </xdr:cNvPr>
              <xdr:cNvSpPr/>
            </xdr:nvSpPr>
            <xdr:spPr>
              <a:xfrm>
                <a:off x="2446020" y="20553686"/>
                <a:ext cx="1508760" cy="199188"/>
              </a:xfrm>
              <a:prstGeom prst="rect">
                <a:avLst/>
              </a:prstGeom>
            </xdr:spPr>
          </xdr:sp>
        </mc:Choice>
        <mc:Fallback/>
      </mc:AlternateContent>
      <mc:AlternateContent xmlns:mc="http://schemas.openxmlformats.org/markup-compatibility/2006">
        <mc:Choice xmlns:a14="http://schemas.microsoft.com/office/drawing/2010/main" Requires="a14">
          <xdr:sp>
            <xdr:nvSpPr>
              <xdr:cNvPr id="1041" name="Drop Down 17" hidden="1">
                <a:extLst>
                  <a:ext uri="{63B3BB69-23CF-44E3-9099-C40C66FF867C}">
                    <a14:compatExt spid="_x0000_s1041"/>
                  </a:ext>
                </a:extLst>
              </xdr:cNvPr>
              <xdr:cNvSpPr/>
            </xdr:nvSpPr>
            <xdr:spPr>
              <a:xfrm>
                <a:off x="3070860" y="19565410"/>
                <a:ext cx="861060" cy="199188"/>
              </a:xfrm>
              <a:prstGeom prst="rect">
                <a:avLst/>
              </a:prstGeom>
            </xdr:spPr>
          </xdr:sp>
        </mc:Choice>
        <mc:Fallback/>
      </mc:AlternateContent>
      <mc:AlternateContent xmlns:mc="http://schemas.openxmlformats.org/markup-compatibility/2006">
        <mc:Choice xmlns:a14="http://schemas.microsoft.com/office/drawing/2010/main" Requires="a14">
          <xdr:sp>
            <xdr:nvSpPr>
              <xdr:cNvPr id="1042" name="Drop Down 18" hidden="1">
                <a:extLst>
                  <a:ext uri="{63B3BB69-23CF-44E3-9099-C40C66FF867C}">
                    <a14:compatExt spid="_x0000_s1042"/>
                  </a:ext>
                </a:extLst>
              </xdr:cNvPr>
              <xdr:cNvSpPr/>
            </xdr:nvSpPr>
            <xdr:spPr>
              <a:xfrm>
                <a:off x="2385060" y="17397328"/>
                <a:ext cx="2019300" cy="199188"/>
              </a:xfrm>
              <a:prstGeom prst="rect">
                <a:avLst/>
              </a:prstGeom>
            </xdr:spPr>
          </xdr:sp>
        </mc:Choice>
        <mc:Fallback/>
      </mc:AlternateContent>
      <mc:AlternateContent xmlns:mc="http://schemas.openxmlformats.org/markup-compatibility/2006">
        <mc:Choice xmlns:a14="http://schemas.microsoft.com/office/drawing/2010/main" Requires="a14">
          <xdr:sp>
            <xdr:nvSpPr>
              <xdr:cNvPr id="1043" name="Drop Down 19" hidden="1">
                <a:extLst>
                  <a:ext uri="{63B3BB69-23CF-44E3-9099-C40C66FF867C}">
                    <a14:compatExt spid="_x0000_s1043"/>
                  </a:ext>
                </a:extLst>
              </xdr:cNvPr>
              <xdr:cNvSpPr/>
            </xdr:nvSpPr>
            <xdr:spPr>
              <a:xfrm>
                <a:off x="2407920" y="17795704"/>
                <a:ext cx="2019300" cy="199188"/>
              </a:xfrm>
              <a:prstGeom prst="rect">
                <a:avLst/>
              </a:prstGeom>
            </xdr:spPr>
          </xdr:sp>
        </mc:Choice>
        <mc:Fallback/>
      </mc:AlternateContent>
      <mc:AlternateContent xmlns:mc="http://schemas.openxmlformats.org/markup-compatibility/2006">
        <mc:Choice xmlns:a14="http://schemas.microsoft.com/office/drawing/2010/main" Requires="a14">
          <xdr:sp>
            <xdr:nvSpPr>
              <xdr:cNvPr id="1045" name="Drop Down 21" hidden="1">
                <a:extLst>
                  <a:ext uri="{63B3BB69-23CF-44E3-9099-C40C66FF867C}">
                    <a14:compatExt spid="_x0000_s1045"/>
                  </a:ext>
                </a:extLst>
              </xdr:cNvPr>
              <xdr:cNvSpPr/>
            </xdr:nvSpPr>
            <xdr:spPr>
              <a:xfrm>
                <a:off x="2423160" y="19940800"/>
                <a:ext cx="1508760" cy="199188"/>
              </a:xfrm>
              <a:prstGeom prst="rect">
                <a:avLst/>
              </a:prstGeom>
            </xdr:spPr>
          </xdr:sp>
        </mc:Choice>
        <mc:Fallback/>
      </mc:AlternateContent>
      <mc:AlternateContent xmlns:mc="http://schemas.openxmlformats.org/markup-compatibility/2006">
        <mc:Choice xmlns:a14="http://schemas.microsoft.com/office/drawing/2010/main" Requires="a14">
          <xdr:sp>
            <xdr:nvSpPr>
              <xdr:cNvPr id="1048" name="Check Box 24" hidden="1">
                <a:extLst>
                  <a:ext uri="{63B3BB69-23CF-44E3-9099-C40C66FF867C}">
                    <a14:compatExt spid="_x0000_s1048"/>
                  </a:ext>
                </a:extLst>
              </xdr:cNvPr>
              <xdr:cNvSpPr/>
            </xdr:nvSpPr>
            <xdr:spPr>
              <a:xfrm>
                <a:off x="2141220" y="18209401"/>
                <a:ext cx="2293620" cy="160882"/>
              </a:xfrm>
              <a:prstGeom prst="rect">
                <a:avLst/>
              </a:prstGeom>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panose="020B0503020204020204" charset="-122"/>
                    <a:ea typeface="Microsoft YaHei UI" panose="020B0503020204020204" charset="-122"/>
                  </a:rPr>
                  <a:t>隐藏客户名称 Client Name Hidden</a:t>
                </a:r>
                <a:endParaRPr lang="zh-CN" altLang="en-US" sz="900" b="0" i="0" u="none" strike="noStrike" baseline="0">
                  <a:solidFill>
                    <a:srgbClr val="000000"/>
                  </a:solidFill>
                  <a:latin typeface="Microsoft YaHei UI" panose="020B0503020204020204" charset="-122"/>
                  <a:ea typeface="Microsoft YaHei UI" panose="020B0503020204020204" charset="-122"/>
                </a:endParaRPr>
              </a:p>
            </xdr:txBody>
          </xdr:sp>
        </mc:Choice>
        <mc:Fallback/>
      </mc:AlternateContent>
      <mc:AlternateContent xmlns:mc="http://schemas.openxmlformats.org/markup-compatibility/2006">
        <mc:Choice xmlns:a14="http://schemas.microsoft.com/office/drawing/2010/main" Requires="a14">
          <xdr:sp>
            <xdr:nvSpPr>
              <xdr:cNvPr id="1049" name="Check Box 25" hidden="1">
                <a:extLst>
                  <a:ext uri="{63B3BB69-23CF-44E3-9099-C40C66FF867C}">
                    <a14:compatExt spid="_x0000_s1049"/>
                  </a:ext>
                </a:extLst>
              </xdr:cNvPr>
              <xdr:cNvSpPr/>
            </xdr:nvSpPr>
            <xdr:spPr>
              <a:xfrm>
                <a:off x="2141220" y="18385605"/>
                <a:ext cx="2293620" cy="160882"/>
              </a:xfrm>
              <a:prstGeom prst="rect">
                <a:avLst/>
              </a:prstGeom>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panose="020B0503020204020204" charset="-122"/>
                    <a:ea typeface="Microsoft YaHei UI" panose="020B0503020204020204" charset="-122"/>
                  </a:rPr>
                  <a:t>隐藏客户编号 Client Ref. No. Hidden</a:t>
                </a:r>
                <a:endParaRPr lang="zh-CN" altLang="en-US" sz="900" b="0" i="0" u="none" strike="noStrike" baseline="0">
                  <a:solidFill>
                    <a:srgbClr val="000000"/>
                  </a:solidFill>
                  <a:latin typeface="Microsoft YaHei UI" panose="020B0503020204020204" charset="-122"/>
                  <a:ea typeface="Microsoft YaHei UI" panose="020B0503020204020204" charset="-122"/>
                </a:endParaRPr>
              </a:p>
            </xdr:txBody>
          </xdr:sp>
        </mc:Choice>
        <mc:Fallback/>
      </mc:AlternateContent>
      <mc:AlternateContent xmlns:mc="http://schemas.openxmlformats.org/markup-compatibility/2006">
        <mc:Choice xmlns:a14="http://schemas.microsoft.com/office/drawing/2010/main" Requires="a14">
          <xdr:sp>
            <xdr:nvSpPr>
              <xdr:cNvPr id="1051" name="Check Box 27" hidden="1">
                <a:extLst>
                  <a:ext uri="{63B3BB69-23CF-44E3-9099-C40C66FF867C}">
                    <a14:compatExt spid="_x0000_s1051"/>
                  </a:ext>
                </a:extLst>
              </xdr:cNvPr>
              <xdr:cNvSpPr/>
            </xdr:nvSpPr>
            <xdr:spPr>
              <a:xfrm>
                <a:off x="2141220" y="18561810"/>
                <a:ext cx="2293620" cy="160882"/>
              </a:xfrm>
              <a:prstGeom prst="rect">
                <a:avLst/>
              </a:prstGeom>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panose="020B0503020204020204" charset="-122"/>
                    <a:ea typeface="Microsoft YaHei UI" panose="020B0503020204020204" charset="-122"/>
                  </a:rPr>
                  <a:t>隐藏船名        Vessel Name Hidden</a:t>
                </a:r>
                <a:endParaRPr lang="zh-CN" altLang="en-US" sz="900" b="0" i="0" u="none" strike="noStrike" baseline="0">
                  <a:solidFill>
                    <a:srgbClr val="000000"/>
                  </a:solidFill>
                  <a:latin typeface="Microsoft YaHei UI" panose="020B0503020204020204" charset="-122"/>
                  <a:ea typeface="Microsoft YaHei UI" panose="020B0503020204020204" charset="-122"/>
                </a:endParaRPr>
              </a:p>
            </xdr:txBody>
          </xdr:sp>
        </mc:Choice>
        <mc:Fallback/>
      </mc:AlternateContent>
      <mc:AlternateContent xmlns:mc="http://schemas.openxmlformats.org/markup-compatibility/2006">
        <mc:Choice xmlns:a14="http://schemas.microsoft.com/office/drawing/2010/main" Requires="a14">
          <xdr:sp>
            <xdr:nvSpPr>
              <xdr:cNvPr id="1052" name="Check Box 28" hidden="1">
                <a:extLst>
                  <a:ext uri="{63B3BB69-23CF-44E3-9099-C40C66FF867C}">
                    <a14:compatExt spid="_x0000_s1052"/>
                  </a:ext>
                </a:extLst>
              </xdr:cNvPr>
              <xdr:cNvSpPr/>
            </xdr:nvSpPr>
            <xdr:spPr>
              <a:xfrm>
                <a:off x="2141220" y="18738014"/>
                <a:ext cx="2293620" cy="160882"/>
              </a:xfrm>
              <a:prstGeom prst="rect">
                <a:avLst/>
              </a:prstGeom>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panose="020B0503020204020204" charset="-122"/>
                    <a:ea typeface="Microsoft YaHei UI" panose="020B0503020204020204" charset="-122"/>
                  </a:rPr>
                  <a:t>隐藏港口名称 Port Name Hidden</a:t>
                </a:r>
                <a:endParaRPr lang="zh-CN" altLang="en-US" sz="900" b="0" i="0" u="none" strike="noStrike" baseline="0">
                  <a:solidFill>
                    <a:srgbClr val="000000"/>
                  </a:solidFill>
                  <a:latin typeface="Microsoft YaHei UI" panose="020B0503020204020204" charset="-122"/>
                  <a:ea typeface="Microsoft YaHei UI" panose="020B0503020204020204" charset="-122"/>
                </a:endParaRPr>
              </a:p>
            </xdr:txBody>
          </xdr:sp>
        </mc:Choice>
        <mc:Fallback/>
      </mc:AlternateContent>
      <mc:AlternateContent xmlns:mc="http://schemas.openxmlformats.org/markup-compatibility/2006">
        <mc:Choice xmlns:a14="http://schemas.microsoft.com/office/drawing/2010/main" Requires="a14">
          <xdr:sp>
            <xdr:nvSpPr>
              <xdr:cNvPr id="1053" name="Check Box 29" hidden="1">
                <a:extLst>
                  <a:ext uri="{63B3BB69-23CF-44E3-9099-C40C66FF867C}">
                    <a14:compatExt spid="_x0000_s1053"/>
                  </a:ext>
                </a:extLst>
              </xdr:cNvPr>
              <xdr:cNvSpPr/>
            </xdr:nvSpPr>
            <xdr:spPr>
              <a:xfrm>
                <a:off x="2141220" y="18914219"/>
                <a:ext cx="2293620" cy="160882"/>
              </a:xfrm>
              <a:prstGeom prst="rect">
                <a:avLst/>
              </a:prstGeom>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panose="020B0503020204020204" charset="-122"/>
                    <a:ea typeface="Microsoft YaHei UI" panose="020B0503020204020204" charset="-122"/>
                  </a:rPr>
                  <a:t>隐藏油库名称 Terminal Name Hidden</a:t>
                </a:r>
                <a:endParaRPr lang="zh-CN" altLang="en-US" sz="900" b="0" i="0" u="none" strike="noStrike" baseline="0">
                  <a:solidFill>
                    <a:srgbClr val="000000"/>
                  </a:solidFill>
                  <a:latin typeface="Microsoft YaHei UI" panose="020B0503020204020204" charset="-122"/>
                  <a:ea typeface="Microsoft YaHei UI" panose="020B0503020204020204" charset="-122"/>
                </a:endParaRPr>
              </a:p>
            </xdr:txBody>
          </xdr:sp>
        </mc:Choice>
        <mc:Fallback/>
      </mc:AlternateContent>
    </xdr:grp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vmlDrawing" Target="../drawings/vmlDrawing2.v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vmlDrawing" Target="../drawings/vmlDrawing4.vml"/><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4" Type="http://schemas.openxmlformats.org/officeDocument/2006/relationships/vmlDrawing" Target="../drawings/vmlDrawing6.vml"/><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6" Type="http://schemas.openxmlformats.org/officeDocument/2006/relationships/vmlDrawing" Target="../drawings/vmlDrawing8.vml"/><Relationship Id="rId5" Type="http://schemas.openxmlformats.org/officeDocument/2006/relationships/ctrlProp" Target="../ctrlProps/ctrlProp7.xml"/><Relationship Id="rId4" Type="http://schemas.openxmlformats.org/officeDocument/2006/relationships/ctrlProp" Target="../ctrlProps/ctrlProp6.xml"/><Relationship Id="rId3" Type="http://schemas.openxmlformats.org/officeDocument/2006/relationships/ctrlProp" Target="../ctrlProps/ctrlProp5.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5" Type="http://schemas.openxmlformats.org/officeDocument/2006/relationships/vmlDrawing" Target="../drawings/vmlDrawing10.vml"/><Relationship Id="rId4" Type="http://schemas.openxmlformats.org/officeDocument/2006/relationships/ctrlProp" Target="../ctrlProps/ctrlProp9.xml"/><Relationship Id="rId3" Type="http://schemas.openxmlformats.org/officeDocument/2006/relationships/ctrlProp" Target="../ctrlProps/ctrlProp8.xml"/><Relationship Id="rId2" Type="http://schemas.openxmlformats.org/officeDocument/2006/relationships/vmlDrawing" Target="../drawings/vmlDrawing9.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9" Type="http://schemas.openxmlformats.org/officeDocument/2006/relationships/vmlDrawing" Target="../drawings/vmlDrawing12.vml"/><Relationship Id="rId8" Type="http://schemas.openxmlformats.org/officeDocument/2006/relationships/ctrlProp" Target="../ctrlProps/ctrlProp15.xml"/><Relationship Id="rId7" Type="http://schemas.openxmlformats.org/officeDocument/2006/relationships/ctrlProp" Target="../ctrlProps/ctrlProp1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3" Type="http://schemas.openxmlformats.org/officeDocument/2006/relationships/ctrlProp" Target="../ctrlProps/ctrlProp10.xml"/><Relationship Id="rId2" Type="http://schemas.openxmlformats.org/officeDocument/2006/relationships/vmlDrawing" Target="../drawings/vmlDrawing11.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4" Type="http://schemas.openxmlformats.org/officeDocument/2006/relationships/vmlDrawing" Target="../drawings/vmlDrawing14.vml"/><Relationship Id="rId3" Type="http://schemas.openxmlformats.org/officeDocument/2006/relationships/ctrlProp" Target="../ctrlProps/ctrlProp16.xml"/><Relationship Id="rId2" Type="http://schemas.openxmlformats.org/officeDocument/2006/relationships/vmlDrawing" Target="../drawings/vmlDrawing13.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4" Type="http://schemas.openxmlformats.org/officeDocument/2006/relationships/vmlDrawing" Target="../drawings/vmlDrawing16.vml"/><Relationship Id="rId3" Type="http://schemas.openxmlformats.org/officeDocument/2006/relationships/ctrlProp" Target="../ctrlProps/ctrlProp17.xml"/><Relationship Id="rId2" Type="http://schemas.openxmlformats.org/officeDocument/2006/relationships/vmlDrawing" Target="../drawings/vmlDrawing15.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6" Type="http://schemas.openxmlformats.org/officeDocument/2006/relationships/vmlDrawing" Target="../drawings/vmlDrawing18.vml"/><Relationship Id="rId5" Type="http://schemas.openxmlformats.org/officeDocument/2006/relationships/ctrlProp" Target="../ctrlProps/ctrlProp20.xml"/><Relationship Id="rId4" Type="http://schemas.openxmlformats.org/officeDocument/2006/relationships/ctrlProp" Target="../ctrlProps/ctrlProp19.xml"/><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6" Type="http://schemas.openxmlformats.org/officeDocument/2006/relationships/vmlDrawing" Target="../drawings/vmlDrawing20.vml"/><Relationship Id="rId5" Type="http://schemas.openxmlformats.org/officeDocument/2006/relationships/ctrlProp" Target="../ctrlProps/ctrlProp23.xml"/><Relationship Id="rId4" Type="http://schemas.openxmlformats.org/officeDocument/2006/relationships/ctrlProp" Target="../ctrlProps/ctrlProp22.xml"/><Relationship Id="rId3" Type="http://schemas.openxmlformats.org/officeDocument/2006/relationships/ctrlProp" Target="../ctrlProps/ctrlProp21.xml"/><Relationship Id="rId2" Type="http://schemas.openxmlformats.org/officeDocument/2006/relationships/vmlDrawing" Target="../drawings/vmlDrawing19.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5" Type="http://schemas.openxmlformats.org/officeDocument/2006/relationships/vmlDrawing" Target="../drawings/vmlDrawing22.vml"/><Relationship Id="rId4" Type="http://schemas.openxmlformats.org/officeDocument/2006/relationships/ctrlProp" Target="../ctrlProps/ctrlProp25.xml"/><Relationship Id="rId3" Type="http://schemas.openxmlformats.org/officeDocument/2006/relationships/ctrlProp" Target="../ctrlProps/ctrlProp24.xml"/><Relationship Id="rId2" Type="http://schemas.openxmlformats.org/officeDocument/2006/relationships/vmlDrawing" Target="../drawings/vmlDrawing2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4" Type="http://schemas.openxmlformats.org/officeDocument/2006/relationships/vmlDrawing" Target="../drawings/vmlDrawing24.vml"/><Relationship Id="rId3" Type="http://schemas.openxmlformats.org/officeDocument/2006/relationships/ctrlProp" Target="../ctrlProps/ctrlProp26.xml"/><Relationship Id="rId2" Type="http://schemas.openxmlformats.org/officeDocument/2006/relationships/vmlDrawing" Target="../drawings/vmlDrawing23.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6" Type="http://schemas.openxmlformats.org/officeDocument/2006/relationships/vmlDrawing" Target="../drawings/vmlDrawing26.vml"/><Relationship Id="rId5" Type="http://schemas.openxmlformats.org/officeDocument/2006/relationships/ctrlProp" Target="../ctrlProps/ctrlProp29.xml"/><Relationship Id="rId4" Type="http://schemas.openxmlformats.org/officeDocument/2006/relationships/ctrlProp" Target="../ctrlProps/ctrlProp28.xml"/><Relationship Id="rId3" Type="http://schemas.openxmlformats.org/officeDocument/2006/relationships/ctrlProp" Target="../ctrlProps/ctrlProp27.xml"/><Relationship Id="rId2" Type="http://schemas.openxmlformats.org/officeDocument/2006/relationships/vmlDrawing" Target="../drawings/vmlDrawing25.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9" Type="http://schemas.openxmlformats.org/officeDocument/2006/relationships/ctrlProp" Target="../ctrlProps/ctrlProp36.xml"/><Relationship Id="rId8" Type="http://schemas.openxmlformats.org/officeDocument/2006/relationships/ctrlProp" Target="../ctrlProps/ctrlProp35.xml"/><Relationship Id="rId7" Type="http://schemas.openxmlformats.org/officeDocument/2006/relationships/ctrlProp" Target="../ctrlProps/ctrlProp34.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 Id="rId3" Type="http://schemas.openxmlformats.org/officeDocument/2006/relationships/ctrlProp" Target="../ctrlProps/ctrlProp30.xml"/><Relationship Id="rId2" Type="http://schemas.openxmlformats.org/officeDocument/2006/relationships/vmlDrawing" Target="../drawings/vmlDrawing27.vml"/><Relationship Id="rId13" Type="http://schemas.openxmlformats.org/officeDocument/2006/relationships/vmlDrawing" Target="../drawings/vmlDrawing28.vml"/><Relationship Id="rId12" Type="http://schemas.openxmlformats.org/officeDocument/2006/relationships/ctrlProp" Target="../ctrlProps/ctrlProp39.xml"/><Relationship Id="rId11" Type="http://schemas.openxmlformats.org/officeDocument/2006/relationships/ctrlProp" Target="../ctrlProps/ctrlProp38.xml"/><Relationship Id="rId10" Type="http://schemas.openxmlformats.org/officeDocument/2006/relationships/ctrlProp" Target="../ctrlProps/ctrlProp37.x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4" Type="http://schemas.openxmlformats.org/officeDocument/2006/relationships/vmlDrawing" Target="../drawings/vmlDrawing30.vml"/><Relationship Id="rId3" Type="http://schemas.openxmlformats.org/officeDocument/2006/relationships/ctrlProp" Target="../ctrlProps/ctrlProp40.xml"/><Relationship Id="rId2" Type="http://schemas.openxmlformats.org/officeDocument/2006/relationships/vmlDrawing" Target="../drawings/vmlDrawing29.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9" Type="http://schemas.openxmlformats.org/officeDocument/2006/relationships/ctrlProp" Target="../ctrlProps/ctrlProp47.xml"/><Relationship Id="rId8" Type="http://schemas.openxmlformats.org/officeDocument/2006/relationships/ctrlProp" Target="../ctrlProps/ctrlProp46.xml"/><Relationship Id="rId7" Type="http://schemas.openxmlformats.org/officeDocument/2006/relationships/ctrlProp" Target="../ctrlProps/ctrlProp45.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3" Type="http://schemas.openxmlformats.org/officeDocument/2006/relationships/ctrlProp" Target="../ctrlProps/ctrlProp41.xml"/><Relationship Id="rId2" Type="http://schemas.openxmlformats.org/officeDocument/2006/relationships/vmlDrawing" Target="../drawings/vmlDrawing31.vml"/><Relationship Id="rId15" Type="http://schemas.openxmlformats.org/officeDocument/2006/relationships/vmlDrawing" Target="../drawings/vmlDrawing32.vml"/><Relationship Id="rId14" Type="http://schemas.openxmlformats.org/officeDocument/2006/relationships/ctrlProp" Target="../ctrlProps/ctrlProp52.xml"/><Relationship Id="rId13" Type="http://schemas.openxmlformats.org/officeDocument/2006/relationships/ctrlProp" Target="../ctrlProps/ctrlProp51.xml"/><Relationship Id="rId12" Type="http://schemas.openxmlformats.org/officeDocument/2006/relationships/ctrlProp" Target="../ctrlProps/ctrlProp50.xml"/><Relationship Id="rId11" Type="http://schemas.openxmlformats.org/officeDocument/2006/relationships/ctrlProp" Target="../ctrlProps/ctrlProp49.xml"/><Relationship Id="rId10" Type="http://schemas.openxmlformats.org/officeDocument/2006/relationships/ctrlProp" Target="../ctrlProps/ctrlProp48.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U122"/>
  <sheetViews>
    <sheetView showGridLines="0" topLeftCell="C5" workbookViewId="0">
      <selection activeCell="D7" sqref="D7:L12"/>
    </sheetView>
  </sheetViews>
  <sheetFormatPr defaultColWidth="9" defaultRowHeight="14.25"/>
  <cols>
    <col min="1" max="2" width="9" style="738" hidden="1" customWidth="1"/>
    <col min="3" max="3" width="3.33333333333333" style="738" customWidth="1"/>
    <col min="4" max="4" width="8.88333333333333" style="738"/>
    <col min="5" max="5" width="9.44166666666667" style="738" customWidth="1"/>
    <col min="6" max="6" width="9.55833333333333" style="738" customWidth="1"/>
    <col min="7" max="11" width="8.88333333333333" style="738"/>
    <col min="12" max="12" width="8.88333333333333" style="738" customWidth="1"/>
    <col min="13" max="13" width="3.21666666666667" style="738" customWidth="1"/>
    <col min="14" max="14" width="9.775" style="738" customWidth="1"/>
    <col min="15" max="15" width="23.775" style="738" hidden="1" customWidth="1"/>
    <col min="16" max="16" width="18.1083333333333" style="738" hidden="1" customWidth="1"/>
    <col min="17" max="17" width="28.8833333333333" style="738" hidden="1" customWidth="1"/>
    <col min="18" max="18" width="8.88333333333333" style="738" hidden="1" customWidth="1"/>
    <col min="19" max="19" width="8.88333333333333" style="738"/>
    <col min="20" max="20" width="12.4416666666667" style="738" customWidth="1"/>
    <col min="21" max="16384" width="8.88333333333333" style="738"/>
  </cols>
  <sheetData>
    <row r="1" ht="15" spans="15:18">
      <c r="O1" s="762" t="s">
        <v>0</v>
      </c>
      <c r="P1" s="763"/>
      <c r="Q1" s="763"/>
      <c r="R1" s="763"/>
    </row>
    <row r="2" ht="15.75" spans="15:18">
      <c r="O2" s="764" t="s">
        <v>1</v>
      </c>
      <c r="P2" s="765"/>
      <c r="Q2" s="765"/>
      <c r="R2" s="765"/>
    </row>
    <row r="3" ht="15" spans="18:21">
      <c r="R3" s="783"/>
      <c r="S3" s="783"/>
      <c r="T3" s="783"/>
      <c r="U3" s="783"/>
    </row>
    <row r="4" spans="15:21">
      <c r="O4" s="766" t="s">
        <v>2</v>
      </c>
      <c r="P4">
        <v>1</v>
      </c>
      <c r="Q4" t="str">
        <f>INDEX(O4:O5,P4,0)</f>
        <v>英文 English</v>
      </c>
      <c r="R4" s="783"/>
      <c r="S4" s="783"/>
      <c r="T4" s="783"/>
      <c r="U4" s="783"/>
    </row>
    <row r="5" spans="15:21">
      <c r="O5" s="766" t="s">
        <v>1</v>
      </c>
      <c r="P5">
        <v>2</v>
      </c>
      <c r="Q5" t="str">
        <f>INDEX(O6:O7,P5,0)</f>
        <v>正式报告 Official Report</v>
      </c>
      <c r="R5" s="783"/>
      <c r="S5" s="783"/>
      <c r="T5" s="783"/>
      <c r="U5" s="783"/>
    </row>
    <row r="6" spans="15:21">
      <c r="O6" s="766" t="s">
        <v>3</v>
      </c>
      <c r="P6" s="738">
        <v>2</v>
      </c>
      <c r="Q6" t="str">
        <f>INDEX(Q40:Q44,P6,0)</f>
        <v>LOADING INSPECTION</v>
      </c>
      <c r="R6" s="783"/>
      <c r="S6" s="783"/>
      <c r="T6" s="783"/>
      <c r="U6" s="783"/>
    </row>
    <row r="7" ht="13.8" customHeight="1" spans="4:21">
      <c r="D7" s="739" t="str">
        <f>Q39</f>
        <v>INSPECTION REPORT</v>
      </c>
      <c r="E7" s="740"/>
      <c r="F7" s="740"/>
      <c r="G7" s="740"/>
      <c r="H7" s="740"/>
      <c r="I7" s="740"/>
      <c r="J7" s="740"/>
      <c r="K7" s="740"/>
      <c r="L7" s="767"/>
      <c r="O7" s="766" t="s">
        <v>4</v>
      </c>
      <c r="R7" s="783"/>
      <c r="S7" s="783"/>
      <c r="T7" s="783"/>
      <c r="U7" s="783"/>
    </row>
    <row r="8" ht="13.8" customHeight="1" spans="4:21">
      <c r="D8" s="741"/>
      <c r="E8" s="742"/>
      <c r="F8" s="742"/>
      <c r="G8" s="742"/>
      <c r="H8" s="742"/>
      <c r="I8" s="742"/>
      <c r="J8" s="742"/>
      <c r="K8" s="742"/>
      <c r="L8" s="768"/>
      <c r="R8" s="783"/>
      <c r="S8" s="783"/>
      <c r="T8" s="783"/>
      <c r="U8" s="783"/>
    </row>
    <row r="9" ht="13.8" customHeight="1" spans="4:21">
      <c r="D9" s="741"/>
      <c r="E9" s="742"/>
      <c r="F9" s="742"/>
      <c r="G9" s="742"/>
      <c r="H9" s="742"/>
      <c r="I9" s="742"/>
      <c r="J9" s="742"/>
      <c r="K9" s="742"/>
      <c r="L9" s="768"/>
      <c r="R9" s="784"/>
      <c r="S9" s="784"/>
      <c r="T9" s="784"/>
      <c r="U9" s="784"/>
    </row>
    <row r="10" ht="13.8" customHeight="1" spans="4:21">
      <c r="D10" s="741"/>
      <c r="E10" s="742"/>
      <c r="F10" s="742"/>
      <c r="G10" s="742"/>
      <c r="H10" s="742"/>
      <c r="I10" s="742"/>
      <c r="J10" s="742"/>
      <c r="K10" s="742"/>
      <c r="L10" s="768"/>
      <c r="O10" s="5" t="s">
        <v>5</v>
      </c>
      <c r="R10" s="784"/>
      <c r="S10" s="784"/>
      <c r="T10" s="784"/>
      <c r="U10" s="784"/>
    </row>
    <row r="11" ht="13.8" customHeight="1" spans="4:21">
      <c r="D11" s="741"/>
      <c r="E11" s="742"/>
      <c r="F11" s="742"/>
      <c r="G11" s="742"/>
      <c r="H11" s="742"/>
      <c r="I11" s="742"/>
      <c r="J11" s="742"/>
      <c r="K11" s="742"/>
      <c r="L11" s="768"/>
      <c r="O11" s="5" t="s">
        <v>6</v>
      </c>
      <c r="R11" s="783"/>
      <c r="S11" s="783"/>
      <c r="T11" s="783"/>
      <c r="U11" s="783"/>
    </row>
    <row r="12" ht="13.8" customHeight="1" spans="4:21">
      <c r="D12" s="741"/>
      <c r="E12" s="742"/>
      <c r="F12" s="742"/>
      <c r="G12" s="742"/>
      <c r="H12" s="742"/>
      <c r="I12" s="742"/>
      <c r="J12" s="742"/>
      <c r="K12" s="742"/>
      <c r="L12" s="768"/>
      <c r="O12" s="5" t="s">
        <v>7</v>
      </c>
      <c r="P12" s="751">
        <v>2</v>
      </c>
      <c r="Q12" t="str">
        <f>INDEX(O12:O15,P12,0)</f>
        <v>B--成品油 Refined Products</v>
      </c>
      <c r="R12" s="783"/>
      <c r="S12" s="783"/>
      <c r="T12" s="783"/>
      <c r="U12" s="783"/>
    </row>
    <row r="13" ht="13.8" customHeight="1" spans="4:21">
      <c r="D13" s="743"/>
      <c r="E13" s="744"/>
      <c r="F13" s="745" t="str">
        <f>Q6</f>
        <v>LOADING INSPECTION</v>
      </c>
      <c r="G13" s="745"/>
      <c r="H13" s="745"/>
      <c r="I13" s="745"/>
      <c r="J13" s="745"/>
      <c r="K13" s="744"/>
      <c r="L13" s="769"/>
      <c r="O13" s="5" t="s">
        <v>8</v>
      </c>
      <c r="P13" s="752" t="s">
        <v>9</v>
      </c>
      <c r="Q13" t="s">
        <v>10</v>
      </c>
      <c r="R13" s="783"/>
      <c r="S13" s="783"/>
      <c r="T13" s="783"/>
      <c r="U13" s="783"/>
    </row>
    <row r="14" ht="13.8" customHeight="1" spans="4:21">
      <c r="D14" s="743"/>
      <c r="E14" s="744"/>
      <c r="F14" s="745"/>
      <c r="G14" s="745"/>
      <c r="H14" s="745"/>
      <c r="I14" s="745"/>
      <c r="J14" s="745"/>
      <c r="K14" s="744"/>
      <c r="L14" s="769"/>
      <c r="O14" s="5" t="s">
        <v>11</v>
      </c>
      <c r="P14" s="738">
        <v>1</v>
      </c>
      <c r="Q14" t="str">
        <f>INDEX(O10:O11,WCF标准序号,0)</f>
        <v>ASTM D1250-1980</v>
      </c>
      <c r="R14" s="783"/>
      <c r="S14" s="783"/>
      <c r="T14" s="783"/>
      <c r="U14" s="783"/>
    </row>
    <row r="15" ht="13.8" customHeight="1" spans="4:21">
      <c r="D15" s="746"/>
      <c r="E15" s="747"/>
      <c r="F15" s="747"/>
      <c r="G15" s="747"/>
      <c r="H15" s="747"/>
      <c r="I15" s="747"/>
      <c r="J15" s="747"/>
      <c r="K15" s="747"/>
      <c r="L15" s="770"/>
      <c r="O15" s="5" t="s">
        <v>12</v>
      </c>
      <c r="R15" s="783"/>
      <c r="S15" s="783"/>
      <c r="T15" s="783"/>
      <c r="U15" s="783"/>
    </row>
    <row r="16" spans="18:21">
      <c r="R16" s="783"/>
      <c r="S16" s="783"/>
      <c r="T16" s="783"/>
      <c r="U16" s="783"/>
    </row>
    <row r="17" spans="15:21">
      <c r="O17" s="771" t="s">
        <v>13</v>
      </c>
      <c r="P17" s="771" t="s">
        <v>14</v>
      </c>
      <c r="R17" s="783"/>
      <c r="S17" s="783"/>
      <c r="T17" s="783"/>
      <c r="U17" s="783"/>
    </row>
    <row r="18" spans="4:17">
      <c r="D18" s="748" t="str">
        <f>Q18</f>
        <v>JOB NO.</v>
      </c>
      <c r="E18" s="748"/>
      <c r="F18" s="749" t="str">
        <f>单号</f>
        <v>这就是爱</v>
      </c>
      <c r="G18" s="749"/>
      <c r="H18" s="749"/>
      <c r="I18" s="749"/>
      <c r="J18" s="749"/>
      <c r="K18" s="749"/>
      <c r="L18" s="749"/>
      <c r="O18" s="772" t="s">
        <v>15</v>
      </c>
      <c r="P18" s="772" t="s">
        <v>16</v>
      </c>
      <c r="Q18" s="738" t="str">
        <f t="shared" ref="Q18:Q46" si="0">IF(Report_Language=$O$17,O18,P18)</f>
        <v>JOB NO.</v>
      </c>
    </row>
    <row r="19" spans="4:17">
      <c r="D19" s="748" t="str">
        <f t="shared" ref="D19:D26" si="1">Q19</f>
        <v>DATE OF REPORT</v>
      </c>
      <c r="E19" s="748"/>
      <c r="F19" s="750" t="str">
        <f>报告日期</f>
        <v>YYYY-MM-DD</v>
      </c>
      <c r="G19" s="750"/>
      <c r="H19" s="750"/>
      <c r="I19" s="750"/>
      <c r="J19" s="750"/>
      <c r="K19" s="750"/>
      <c r="L19" s="750"/>
      <c r="M19" s="755"/>
      <c r="O19" s="773" t="s">
        <v>17</v>
      </c>
      <c r="P19" s="773" t="s">
        <v>18</v>
      </c>
      <c r="Q19" s="738" t="str">
        <f t="shared" si="0"/>
        <v>DATE OF REPORT</v>
      </c>
    </row>
    <row r="20" spans="1:17">
      <c r="A20" s="751" t="s">
        <v>19</v>
      </c>
      <c r="B20" s="738" t="b">
        <v>0</v>
      </c>
      <c r="D20" s="748" t="str">
        <f t="shared" si="1"/>
        <v>APPLICANT</v>
      </c>
      <c r="E20" s="748"/>
      <c r="F20" s="749" t="str">
        <f>Client</f>
        <v>PETROCHINA </v>
      </c>
      <c r="G20" s="749"/>
      <c r="H20" s="749"/>
      <c r="I20" s="749"/>
      <c r="J20" s="749"/>
      <c r="K20" s="749"/>
      <c r="L20" s="749"/>
      <c r="O20" s="772" t="s">
        <v>20</v>
      </c>
      <c r="P20" s="772" t="s">
        <v>21</v>
      </c>
      <c r="Q20" s="738" t="str">
        <f t="shared" si="0"/>
        <v>APPLICANT</v>
      </c>
    </row>
    <row r="21" spans="1:17">
      <c r="A21" s="751" t="s">
        <v>22</v>
      </c>
      <c r="B21" s="738" t="b">
        <v>0</v>
      </c>
      <c r="D21" s="748" t="str">
        <f t="shared" si="1"/>
        <v>CLIENT'S REF. NO.</v>
      </c>
      <c r="E21" s="748"/>
      <c r="F21" s="749" t="str">
        <f>客户编号</f>
        <v>说也说不清楚</v>
      </c>
      <c r="G21" s="749"/>
      <c r="H21" s="749"/>
      <c r="I21" s="749"/>
      <c r="J21" s="749"/>
      <c r="K21" s="749"/>
      <c r="L21" s="749"/>
      <c r="O21" s="773" t="s">
        <v>23</v>
      </c>
      <c r="P21" s="773" t="s">
        <v>24</v>
      </c>
      <c r="Q21" s="738" t="str">
        <f t="shared" si="0"/>
        <v>CLIENT'S REF. NO.</v>
      </c>
    </row>
    <row r="22" spans="4:17">
      <c r="D22" s="748" t="str">
        <f t="shared" si="1"/>
        <v>COMMODITY</v>
      </c>
      <c r="E22" s="748"/>
      <c r="F22" s="749" t="str">
        <f>Q34</f>
        <v>Crude Oil6658</v>
      </c>
      <c r="G22" s="749"/>
      <c r="H22" s="749"/>
      <c r="I22" s="749"/>
      <c r="J22" s="749"/>
      <c r="K22" s="749"/>
      <c r="L22" s="749"/>
      <c r="O22" s="772" t="s">
        <v>25</v>
      </c>
      <c r="P22" s="772" t="s">
        <v>26</v>
      </c>
      <c r="Q22" s="738" t="str">
        <f t="shared" si="0"/>
        <v>COMMODITY</v>
      </c>
    </row>
    <row r="23" spans="1:18">
      <c r="A23" s="751" t="s">
        <v>27</v>
      </c>
      <c r="B23" s="738" t="b">
        <v>0</v>
      </c>
      <c r="D23" s="748" t="str">
        <f t="shared" si="1"/>
        <v>VESSEL</v>
      </c>
      <c r="E23" s="748"/>
      <c r="F23" s="749" t="str">
        <f>Q35</f>
        <v>MT ZhenYuanefdasdf</v>
      </c>
      <c r="G23" s="749"/>
      <c r="H23" s="749"/>
      <c r="I23" s="749"/>
      <c r="J23" s="749"/>
      <c r="K23" s="749"/>
      <c r="L23" s="749"/>
      <c r="O23" s="773" t="s">
        <v>28</v>
      </c>
      <c r="P23" s="773" t="s">
        <v>29</v>
      </c>
      <c r="Q23" s="738" t="str">
        <f t="shared" si="0"/>
        <v>VESSEL</v>
      </c>
      <c r="R23" s="738" t="str">
        <f>'Load Summary'!B93</f>
        <v>LOADING SUMMARY REPORT</v>
      </c>
    </row>
    <row r="24" spans="1:18">
      <c r="A24" s="752" t="s">
        <v>30</v>
      </c>
      <c r="B24" s="738" t="b">
        <v>0</v>
      </c>
      <c r="D24" s="748" t="str">
        <f t="shared" si="1"/>
        <v>PORT</v>
      </c>
      <c r="E24" s="748"/>
      <c r="F24" s="749" t="str">
        <f>Q36</f>
        <v>Dalian, Chinafsadfa</v>
      </c>
      <c r="G24" s="749"/>
      <c r="H24" s="749"/>
      <c r="I24" s="749"/>
      <c r="J24" s="749"/>
      <c r="K24" s="749"/>
      <c r="L24" s="749"/>
      <c r="O24" s="772" t="s">
        <v>31</v>
      </c>
      <c r="P24" s="772" t="s">
        <v>32</v>
      </c>
      <c r="Q24" s="738" t="str">
        <f t="shared" si="0"/>
        <v>PORT</v>
      </c>
      <c r="R24" s="738" t="str">
        <f>'Discharge Summary'!B93</f>
        <v>DISCHARGING SUMMARY REPORT</v>
      </c>
    </row>
    <row r="25" spans="1:18">
      <c r="A25" s="752" t="s">
        <v>33</v>
      </c>
      <c r="B25" s="738" t="b">
        <v>0</v>
      </c>
      <c r="D25" s="748" t="str">
        <f t="shared" si="1"/>
        <v>TERMINAL</v>
      </c>
      <c r="E25" s="748"/>
      <c r="F25" s="749" t="str">
        <f>Q37</f>
        <v>Dalian Chinaoil, China1325415</v>
      </c>
      <c r="G25" s="749"/>
      <c r="H25" s="749"/>
      <c r="I25" s="749"/>
      <c r="J25" s="749"/>
      <c r="K25" s="749"/>
      <c r="L25" s="749"/>
      <c r="O25" s="754" t="s">
        <v>34</v>
      </c>
      <c r="P25" s="773" t="s">
        <v>35</v>
      </c>
      <c r="Q25" s="738" t="str">
        <f t="shared" si="0"/>
        <v>TERMINAL</v>
      </c>
      <c r="R25" s="738" t="str">
        <f>Quantity!B93</f>
        <v>QUANTITY REPORT</v>
      </c>
    </row>
    <row r="26" spans="4:18">
      <c r="D26" s="748" t="str">
        <f t="shared" si="1"/>
        <v>DATE OF INSPECTION</v>
      </c>
      <c r="E26" s="748"/>
      <c r="F26" s="749" t="str">
        <f>Q38</f>
        <v>YYYY-MM-DD To YYYY-MM-DD</v>
      </c>
      <c r="G26" s="749"/>
      <c r="H26" s="749"/>
      <c r="I26" s="749"/>
      <c r="J26" s="749"/>
      <c r="K26" s="749"/>
      <c r="L26" s="749"/>
      <c r="O26" s="773" t="s">
        <v>36</v>
      </c>
      <c r="P26" s="773" t="s">
        <v>37</v>
      </c>
      <c r="Q26" s="738" t="str">
        <f t="shared" si="0"/>
        <v>DATE OF INSPECTION</v>
      </c>
      <c r="R26" s="738" t="str">
        <f>Ullage!I93&amp;"-"&amp;Ullage!I99</f>
        <v>ULLAGE REPORT-Before Discharging</v>
      </c>
    </row>
    <row r="27" spans="4:18">
      <c r="D27" s="753"/>
      <c r="O27" s="754" t="s">
        <v>38</v>
      </c>
      <c r="P27" s="773" t="s">
        <v>39</v>
      </c>
      <c r="Q27" s="738" t="str">
        <f t="shared" si="0"/>
        <v>CONTENTS</v>
      </c>
      <c r="R27" s="738" t="str">
        <f>'Shore Tk'!H93</f>
        <v>SHORE TANK MEASUREMENT REPORT</v>
      </c>
    </row>
    <row r="28" spans="4:18">
      <c r="D28" s="754" t="str">
        <f>Q27</f>
        <v>CONTENTS</v>
      </c>
      <c r="E28" s="755"/>
      <c r="F28" s="755"/>
      <c r="G28" s="755"/>
      <c r="H28" s="755"/>
      <c r="I28" s="756" t="str">
        <f>Q28</f>
        <v>SUPPORTING DOCUMENTS</v>
      </c>
      <c r="J28" s="756"/>
      <c r="K28" s="756"/>
      <c r="L28" s="756"/>
      <c r="O28" s="738" t="s">
        <v>40</v>
      </c>
      <c r="P28" s="773" t="s">
        <v>41</v>
      </c>
      <c r="Q28" s="738" t="str">
        <f t="shared" si="0"/>
        <v>SUPPORTING DOCUMENTS</v>
      </c>
      <c r="R28" s="738" t="str">
        <f>ROB!O106</f>
        <v>REMAINING ON BOARD REPORT </v>
      </c>
    </row>
    <row r="29" spans="4:18">
      <c r="D29" s="754"/>
      <c r="E29" s="755"/>
      <c r="F29" s="755"/>
      <c r="G29" s="755"/>
      <c r="H29" s="756" t="str">
        <f>Q29</f>
        <v>Pages</v>
      </c>
      <c r="I29" s="756"/>
      <c r="J29" s="756"/>
      <c r="K29" s="756"/>
      <c r="L29" s="756" t="str">
        <f>Q29</f>
        <v>Pages</v>
      </c>
      <c r="O29" s="738" t="s">
        <v>42</v>
      </c>
      <c r="P29" s="773" t="s">
        <v>43</v>
      </c>
      <c r="Q29" s="738" t="str">
        <f t="shared" si="0"/>
        <v>Pages</v>
      </c>
      <c r="R29" s="738" t="str">
        <f>OBQ!O106</f>
        <v>ONBOARD QUANTITY REPORT </v>
      </c>
    </row>
    <row r="30" spans="4:18">
      <c r="D30" s="757" t="str">
        <f>IF(检验种类序号=1,R24,IF(检验种类序号=2,R23))</f>
        <v>LOADING SUMMARY REPORT</v>
      </c>
      <c r="H30" s="758">
        <v>1</v>
      </c>
      <c r="I30" s="774"/>
      <c r="J30" s="774"/>
      <c r="K30" s="774"/>
      <c r="L30" s="775"/>
      <c r="O30" s="755" t="s">
        <v>44</v>
      </c>
      <c r="P30" s="738" t="str">
        <f>EN_Job_No.</f>
        <v>SG0020031202-I</v>
      </c>
      <c r="Q30" s="738" t="s">
        <v>45</v>
      </c>
      <c r="R30" s="738" t="str">
        <f>Wedge!I93</f>
        <v>WEDGE CALCULATION REPORT</v>
      </c>
    </row>
    <row r="31" spans="4:18">
      <c r="D31" s="757" t="str">
        <f>R25</f>
        <v>QUANTITY REPORT</v>
      </c>
      <c r="H31" s="758">
        <v>1</v>
      </c>
      <c r="I31" s="774"/>
      <c r="J31" s="774"/>
      <c r="K31" s="774"/>
      <c r="L31" s="775"/>
      <c r="O31" s="776" t="s">
        <v>46</v>
      </c>
      <c r="P31" s="738" t="str">
        <f>EN_Date_of_Report</f>
        <v>YYYY-MM-DD</v>
      </c>
      <c r="Q31" s="738" t="s">
        <v>46</v>
      </c>
      <c r="R31" s="738" t="str">
        <f>'Vsl FW'!I92</f>
        <v>FREE WATER MEASUREMENT REPORT</v>
      </c>
    </row>
    <row r="32" spans="4:18">
      <c r="D32" s="759" t="s">
        <v>47</v>
      </c>
      <c r="H32" s="758">
        <v>1</v>
      </c>
      <c r="I32" s="774"/>
      <c r="J32" s="774"/>
      <c r="K32" s="774"/>
      <c r="L32" s="775"/>
      <c r="O32" s="755" t="s">
        <v>48</v>
      </c>
      <c r="P32" s="752" t="s">
        <v>49</v>
      </c>
      <c r="Q32" s="738" t="str">
        <f t="shared" si="0"/>
        <v>PETROCHINA </v>
      </c>
      <c r="R32" s="738" t="str">
        <f>VEF!I92</f>
        <v>VESSEL EXPERIENCE FACTOR REPORT</v>
      </c>
    </row>
    <row r="33" spans="4:18">
      <c r="D33" s="757">
        <f>IF(检验种类序号=1,R26,IF(检验种类序号=2,R35))</f>
        <v>0</v>
      </c>
      <c r="H33" s="758">
        <v>1</v>
      </c>
      <c r="I33" s="774"/>
      <c r="J33" s="774"/>
      <c r="K33" s="774"/>
      <c r="L33" s="775"/>
      <c r="O33" s="755" t="s">
        <v>50</v>
      </c>
      <c r="P33" s="738" t="str">
        <f>EN_Client_No.</f>
        <v>DG3242342</v>
      </c>
      <c r="Q33" s="738" t="s">
        <v>51</v>
      </c>
      <c r="R33" s="738" t="str">
        <f>'Time Log'!I93</f>
        <v>TIME LOG</v>
      </c>
    </row>
    <row r="34" spans="4:18">
      <c r="D34" s="757" t="str">
        <f>IF(检验种类序号=1,R31,IF(检验种类序号=2,R26))</f>
        <v>ULLAGE REPORT-Before Discharging</v>
      </c>
      <c r="H34" s="758">
        <v>1</v>
      </c>
      <c r="I34" s="774"/>
      <c r="J34" s="774"/>
      <c r="K34" s="774"/>
      <c r="L34" s="775"/>
      <c r="O34" s="755" t="s">
        <v>52</v>
      </c>
      <c r="P34" s="752" t="s">
        <v>53</v>
      </c>
      <c r="Q34" s="738" t="str">
        <f t="shared" si="0"/>
        <v>Crude Oil6658</v>
      </c>
      <c r="R34" s="738" t="str">
        <f>Sample!B93</f>
        <v>SAMPLE REPORT</v>
      </c>
    </row>
    <row r="35" spans="4:17">
      <c r="D35" s="757" t="str">
        <f>IF(检验种类序号=1,R28,IF(检验种类序号=2,R26))</f>
        <v>ULLAGE REPORT-Before Discharging</v>
      </c>
      <c r="H35" s="758">
        <v>1</v>
      </c>
      <c r="I35" s="774"/>
      <c r="J35" s="774"/>
      <c r="K35" s="774"/>
      <c r="L35" s="775"/>
      <c r="O35" s="755" t="s">
        <v>54</v>
      </c>
      <c r="P35" s="738" t="s">
        <v>55</v>
      </c>
      <c r="Q35" s="738" t="str">
        <f t="shared" si="0"/>
        <v>MT ZhenYuanefdasdf</v>
      </c>
    </row>
    <row r="36" spans="4:17">
      <c r="D36" s="757" t="str">
        <f>IF(检验种类序号=1,R30,IF(检验种类序号=2,R27))</f>
        <v>SHORE TANK MEASUREMENT REPORT</v>
      </c>
      <c r="H36" s="758">
        <v>1</v>
      </c>
      <c r="I36" s="774"/>
      <c r="J36" s="774"/>
      <c r="K36" s="774"/>
      <c r="L36" s="775"/>
      <c r="O36" s="755" t="s">
        <v>56</v>
      </c>
      <c r="P36" s="752" t="s">
        <v>57</v>
      </c>
      <c r="Q36" s="738" t="str">
        <f t="shared" si="0"/>
        <v>Dalian, Chinafsadfa</v>
      </c>
    </row>
    <row r="37" spans="4:17">
      <c r="D37" s="757" t="str">
        <f>R27</f>
        <v>SHORE TANK MEASUREMENT REPORT</v>
      </c>
      <c r="H37" s="758">
        <v>1</v>
      </c>
      <c r="I37" s="774"/>
      <c r="J37" s="774"/>
      <c r="K37" s="774"/>
      <c r="L37" s="775"/>
      <c r="O37" s="755" t="s">
        <v>58</v>
      </c>
      <c r="P37" s="752" t="s">
        <v>59</v>
      </c>
      <c r="Q37" s="738" t="str">
        <f t="shared" si="0"/>
        <v>Dalian Chinaoil, China1325415</v>
      </c>
    </row>
    <row r="38" spans="4:17">
      <c r="D38" s="757" t="str">
        <f>R32</f>
        <v>VESSEL EXPERIENCE FACTOR REPORT</v>
      </c>
      <c r="H38" s="758">
        <v>1</v>
      </c>
      <c r="I38" s="774"/>
      <c r="J38" s="774"/>
      <c r="K38" s="774"/>
      <c r="L38" s="777"/>
      <c r="M38" s="752"/>
      <c r="O38" s="778" t="s">
        <v>46</v>
      </c>
      <c r="P38" s="779" t="s">
        <v>46</v>
      </c>
      <c r="Q38" s="738" t="s">
        <v>60</v>
      </c>
    </row>
    <row r="39" ht="15" customHeight="1" spans="4:17">
      <c r="D39" s="757" t="str">
        <f>R34</f>
        <v>SAMPLE REPORT</v>
      </c>
      <c r="H39" s="758">
        <v>1</v>
      </c>
      <c r="I39" s="774"/>
      <c r="J39" s="774"/>
      <c r="K39" s="774"/>
      <c r="L39" s="775"/>
      <c r="O39" s="780" t="s">
        <v>61</v>
      </c>
      <c r="P39" s="780" t="s">
        <v>62</v>
      </c>
      <c r="Q39" s="738" t="str">
        <f t="shared" si="0"/>
        <v>INSPECTION REPORT</v>
      </c>
    </row>
    <row r="40" ht="15" customHeight="1" spans="4:17">
      <c r="D40" s="757" t="str">
        <f>R34</f>
        <v>SAMPLE REPORT</v>
      </c>
      <c r="H40" s="758">
        <v>1</v>
      </c>
      <c r="I40" s="774"/>
      <c r="J40" s="774"/>
      <c r="K40" s="774"/>
      <c r="L40" s="775"/>
      <c r="O40" s="780" t="s">
        <v>63</v>
      </c>
      <c r="P40" s="752" t="s">
        <v>64</v>
      </c>
      <c r="Q40" s="738" t="str">
        <f t="shared" si="0"/>
        <v>DISCHARGING INSPECTION</v>
      </c>
    </row>
    <row r="41" ht="15" customHeight="1" spans="4:17">
      <c r="D41" s="757" t="s">
        <v>65</v>
      </c>
      <c r="H41" s="758">
        <v>2</v>
      </c>
      <c r="I41" s="774"/>
      <c r="J41" s="774"/>
      <c r="K41" s="774"/>
      <c r="L41" s="775"/>
      <c r="O41" s="780" t="s">
        <v>66</v>
      </c>
      <c r="P41" s="780" t="s">
        <v>67</v>
      </c>
      <c r="Q41" s="738" t="str">
        <f t="shared" si="0"/>
        <v>LOADING INSPECTION</v>
      </c>
    </row>
    <row r="42" ht="15" customHeight="1" spans="12:17">
      <c r="L42" s="781"/>
      <c r="O42" s="780" t="s">
        <v>68</v>
      </c>
      <c r="P42" s="780" t="s">
        <v>69</v>
      </c>
      <c r="Q42" s="738" t="str">
        <f t="shared" si="0"/>
        <v>ITT INSPECTION</v>
      </c>
    </row>
    <row r="43" ht="15" customHeight="1" spans="15:17">
      <c r="O43" s="738" t="s">
        <v>70</v>
      </c>
      <c r="P43" s="780" t="s">
        <v>71</v>
      </c>
      <c r="Q43" s="738" t="str">
        <f t="shared" si="0"/>
        <v>STS INSPECTION</v>
      </c>
    </row>
    <row r="44" ht="15" customHeight="1" spans="15:17">
      <c r="O44" s="738" t="s">
        <v>72</v>
      </c>
      <c r="P44" s="780" t="s">
        <v>73</v>
      </c>
      <c r="Q44" s="738" t="str">
        <f t="shared" si="0"/>
        <v>INVENTORY INSPECTION</v>
      </c>
    </row>
    <row r="45" ht="15.6" customHeight="1" spans="4:17">
      <c r="D45" s="752"/>
      <c r="O45" s="34" t="s">
        <v>74</v>
      </c>
      <c r="P45" s="34" t="s">
        <v>75</v>
      </c>
      <c r="Q45" s="738" t="str">
        <f t="shared" si="0"/>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46" ht="15.6" customHeight="1" spans="4:18">
      <c r="D46" s="752"/>
      <c r="M46" s="761"/>
      <c r="N46" s="761"/>
      <c r="O46" s="5" t="s">
        <v>76</v>
      </c>
      <c r="P46" s="780" t="s">
        <v>77</v>
      </c>
      <c r="Q46" s="738" t="str">
        <f t="shared" si="0"/>
        <v> To </v>
      </c>
      <c r="R46" s="761"/>
    </row>
    <row r="47" ht="15" customHeight="1" spans="13:18">
      <c r="M47" s="761"/>
      <c r="N47" s="761"/>
      <c r="O47" s="5"/>
      <c r="P47" s="780"/>
      <c r="Q47" s="780"/>
      <c r="R47" s="761"/>
    </row>
    <row r="48" ht="23.4" customHeight="1" spans="3:18">
      <c r="C48" s="760" t="str">
        <f>Q45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D48" s="760"/>
      <c r="E48" s="760"/>
      <c r="F48" s="760"/>
      <c r="G48" s="760"/>
      <c r="H48" s="760"/>
      <c r="I48" s="760"/>
      <c r="J48" s="760"/>
      <c r="K48" s="760"/>
      <c r="L48" s="760"/>
      <c r="M48" s="760"/>
      <c r="N48" s="761"/>
      <c r="O48" s="5"/>
      <c r="P48" s="780"/>
      <c r="Q48" s="780"/>
      <c r="R48" s="761"/>
    </row>
    <row r="49" ht="13.8" customHeight="1" spans="13:18">
      <c r="M49" s="761"/>
      <c r="N49" s="761"/>
      <c r="O49" s="5"/>
      <c r="P49" s="780"/>
      <c r="Q49" s="780"/>
      <c r="R49" s="761"/>
    </row>
    <row r="50" ht="13.8" customHeight="1" spans="9:18">
      <c r="I50" s="761"/>
      <c r="J50" s="761"/>
      <c r="K50" s="761"/>
      <c r="L50" s="761"/>
      <c r="O50" s="5"/>
      <c r="P50" s="780"/>
      <c r="Q50" s="780"/>
      <c r="R50" s="761"/>
    </row>
    <row r="51" ht="13.8" customHeight="1" spans="7:18">
      <c r="G51" s="761"/>
      <c r="H51" s="761"/>
      <c r="I51" s="761"/>
      <c r="J51" s="761"/>
      <c r="M51" s="761"/>
      <c r="N51" s="761"/>
      <c r="O51" s="5"/>
      <c r="P51" s="780"/>
      <c r="Q51" s="780"/>
      <c r="R51" s="761"/>
    </row>
    <row r="52" ht="13.8" customHeight="1" spans="13:18">
      <c r="M52" s="761"/>
      <c r="N52" s="761"/>
      <c r="O52" s="5"/>
      <c r="P52" s="780"/>
      <c r="Q52" s="780"/>
      <c r="R52" s="761"/>
    </row>
    <row r="53" ht="13.8" customHeight="1" spans="13:18">
      <c r="M53" s="761"/>
      <c r="N53" s="761"/>
      <c r="O53" s="5"/>
      <c r="P53" s="780"/>
      <c r="Q53" s="780"/>
      <c r="R53" s="761"/>
    </row>
    <row r="54" ht="13.8" customHeight="1" spans="14:18">
      <c r="N54" s="761"/>
      <c r="O54" s="5"/>
      <c r="P54" s="780"/>
      <c r="Q54" s="780"/>
      <c r="R54" s="761"/>
    </row>
    <row r="55" ht="13.8" customHeight="1" spans="14:18">
      <c r="N55" s="761"/>
      <c r="O55" s="5"/>
      <c r="P55" s="780"/>
      <c r="Q55" s="780"/>
      <c r="R55" s="761"/>
    </row>
    <row r="56" ht="15" customHeight="1" spans="14:18">
      <c r="N56" s="761"/>
      <c r="O56" s="5"/>
      <c r="P56" s="780"/>
      <c r="Q56" s="780"/>
      <c r="R56" s="761"/>
    </row>
    <row r="57" ht="15" customHeight="1" spans="14:18">
      <c r="N57" s="761"/>
      <c r="O57" s="5"/>
      <c r="P57" s="780"/>
      <c r="Q57" s="780"/>
      <c r="R57" s="761"/>
    </row>
    <row r="58" ht="13.8" customHeight="1" spans="12:18">
      <c r="L58" s="782"/>
      <c r="N58" s="761"/>
      <c r="O58" s="5"/>
      <c r="P58" s="780"/>
      <c r="Q58" s="780"/>
      <c r="R58" s="761"/>
    </row>
    <row r="59" ht="13.8" customHeight="1" spans="7:18">
      <c r="G59" s="761"/>
      <c r="H59" s="761"/>
      <c r="I59" s="761"/>
      <c r="J59" s="761"/>
      <c r="L59" s="782"/>
      <c r="N59" s="761"/>
      <c r="O59" s="5"/>
      <c r="P59" s="780"/>
      <c r="Q59" s="780"/>
      <c r="R59" s="761"/>
    </row>
    <row r="60" ht="13.8" customHeight="1" spans="12:18">
      <c r="L60" s="782"/>
      <c r="N60" s="761"/>
      <c r="O60" s="5"/>
      <c r="P60" s="780"/>
      <c r="Q60" s="780"/>
      <c r="R60" s="761"/>
    </row>
    <row r="61" ht="13.8" customHeight="1" spans="12:18">
      <c r="L61" s="757"/>
      <c r="N61" s="761"/>
      <c r="O61" s="5"/>
      <c r="P61" s="780"/>
      <c r="Q61" s="780"/>
      <c r="R61" s="761"/>
    </row>
    <row r="62" ht="13.8" customHeight="1" spans="12:18">
      <c r="L62" s="757"/>
      <c r="N62" s="761"/>
      <c r="O62" s="12"/>
      <c r="P62" s="780"/>
      <c r="Q62" s="780"/>
      <c r="R62" s="761"/>
    </row>
    <row r="63" ht="13.8" customHeight="1" spans="12:18">
      <c r="L63" s="757"/>
      <c r="N63" s="761"/>
      <c r="O63" s="5"/>
      <c r="P63" s="780"/>
      <c r="Q63" s="780"/>
      <c r="R63" s="761"/>
    </row>
    <row r="64" ht="13.8" customHeight="1" spans="14:18">
      <c r="N64" s="761"/>
      <c r="O64" s="780"/>
      <c r="P64" s="780"/>
      <c r="Q64" s="780"/>
      <c r="R64" s="761"/>
    </row>
    <row r="65" ht="13.8" customHeight="1" spans="12:18">
      <c r="L65" s="757"/>
      <c r="N65" s="761"/>
      <c r="O65" s="780"/>
      <c r="P65" s="780"/>
      <c r="Q65" s="780"/>
      <c r="R65" s="761"/>
    </row>
    <row r="66" ht="13.8" customHeight="1" spans="14:18">
      <c r="N66" s="761"/>
      <c r="O66" s="780"/>
      <c r="P66" s="780"/>
      <c r="Q66" s="780"/>
      <c r="R66" s="761"/>
    </row>
    <row r="67" ht="13.8" customHeight="1" spans="14:18">
      <c r="N67" s="761"/>
      <c r="O67" s="780"/>
      <c r="P67" s="780"/>
      <c r="Q67" s="780"/>
      <c r="R67" s="761"/>
    </row>
    <row r="68" ht="13.8" customHeight="1" spans="14:18">
      <c r="N68" s="761"/>
      <c r="O68" s="780"/>
      <c r="P68" s="780"/>
      <c r="Q68" s="780"/>
      <c r="R68" s="761"/>
    </row>
    <row r="69" ht="13.8" customHeight="1" spans="14:18">
      <c r="N69" s="761"/>
      <c r="O69" s="780"/>
      <c r="P69" s="780"/>
      <c r="Q69" s="780"/>
      <c r="R69" s="761"/>
    </row>
    <row r="70" ht="13.8" customHeight="1" spans="14:17">
      <c r="N70" s="761"/>
      <c r="O70" s="780"/>
      <c r="P70" s="780"/>
      <c r="Q70" s="780"/>
    </row>
    <row r="71" ht="13.8" customHeight="1" spans="14:18">
      <c r="N71" s="761"/>
      <c r="O71" s="780"/>
      <c r="P71" s="780"/>
      <c r="Q71" s="780"/>
      <c r="R71" s="761"/>
    </row>
    <row r="72" ht="13.8" customHeight="1" spans="13:18">
      <c r="M72" s="761"/>
      <c r="N72" s="761"/>
      <c r="O72" s="780"/>
      <c r="P72" s="780"/>
      <c r="Q72" s="780"/>
      <c r="R72" s="761"/>
    </row>
    <row r="73" ht="13.8" customHeight="1" spans="12:18">
      <c r="L73" s="785"/>
      <c r="M73" s="761"/>
      <c r="N73" s="761"/>
      <c r="O73" s="780"/>
      <c r="P73" s="780"/>
      <c r="Q73" s="780"/>
      <c r="R73" s="761"/>
    </row>
    <row r="74" ht="13.8" customHeight="1" spans="12:18">
      <c r="L74" s="786"/>
      <c r="M74" s="761"/>
      <c r="N74" s="5"/>
      <c r="O74" s="780"/>
      <c r="P74" s="780"/>
      <c r="Q74" s="780"/>
      <c r="R74" s="761"/>
    </row>
    <row r="75" ht="13.8" customHeight="1" spans="12:18">
      <c r="L75" s="786"/>
      <c r="M75" s="761"/>
      <c r="N75" s="5"/>
      <c r="O75" s="780"/>
      <c r="P75" s="780"/>
      <c r="Q75" s="780"/>
      <c r="R75" s="761"/>
    </row>
    <row r="76" ht="13.8" customHeight="1" spans="12:18">
      <c r="L76" s="786"/>
      <c r="M76" s="761"/>
      <c r="N76" s="5"/>
      <c r="O76" s="780"/>
      <c r="P76" s="780"/>
      <c r="Q76" s="780"/>
      <c r="R76" s="761"/>
    </row>
    <row r="77" ht="13.8" customHeight="1" spans="12:18">
      <c r="L77" s="787"/>
      <c r="M77" s="761"/>
      <c r="N77" s="761"/>
      <c r="O77" s="780"/>
      <c r="P77" s="780"/>
      <c r="Q77" s="780"/>
      <c r="R77" s="761"/>
    </row>
    <row r="78" ht="13.8" customHeight="1" spans="12:18">
      <c r="L78" s="788"/>
      <c r="M78" s="761"/>
      <c r="N78" s="761"/>
      <c r="O78" s="780"/>
      <c r="P78" s="780"/>
      <c r="Q78" s="780"/>
      <c r="R78" s="761"/>
    </row>
    <row r="79" ht="13.8" customHeight="1" spans="13:17">
      <c r="M79" s="761"/>
      <c r="N79" s="761"/>
      <c r="O79" s="780"/>
      <c r="P79" s="780"/>
      <c r="Q79" s="780"/>
    </row>
    <row r="80" ht="13.8" customHeight="1" spans="12:18">
      <c r="L80" s="782"/>
      <c r="M80" s="761"/>
      <c r="N80" s="761"/>
      <c r="O80" s="780"/>
      <c r="P80" s="780"/>
      <c r="Q80" s="780"/>
      <c r="R80" s="761"/>
    </row>
    <row r="81" ht="13.8" customHeight="1" spans="13:17">
      <c r="M81" s="761"/>
      <c r="N81" s="761"/>
      <c r="O81" s="780"/>
      <c r="P81" s="780"/>
      <c r="Q81" s="780"/>
    </row>
    <row r="82" ht="13.8" customHeight="1" spans="12:18">
      <c r="L82" s="782"/>
      <c r="M82" s="761"/>
      <c r="N82" s="761"/>
      <c r="O82" s="780"/>
      <c r="P82" s="780"/>
      <c r="Q82" s="780"/>
      <c r="R82" s="761"/>
    </row>
    <row r="83" ht="13.8" customHeight="1" spans="12:18">
      <c r="L83" s="782"/>
      <c r="M83" s="761"/>
      <c r="N83" s="761"/>
      <c r="O83" s="780"/>
      <c r="P83" s="780"/>
      <c r="Q83" s="780"/>
      <c r="R83" s="761"/>
    </row>
    <row r="84" ht="13.8" customHeight="1" spans="13:18">
      <c r="M84" s="761"/>
      <c r="N84" s="761"/>
      <c r="O84" s="780"/>
      <c r="P84" s="780"/>
      <c r="Q84" s="780"/>
      <c r="R84" s="761"/>
    </row>
    <row r="85" ht="13.8" customHeight="1" spans="13:17">
      <c r="M85" s="761"/>
      <c r="N85" s="761"/>
      <c r="O85" s="780"/>
      <c r="P85" s="780"/>
      <c r="Q85" s="780"/>
    </row>
    <row r="86" ht="13.8" customHeight="1" spans="13:18">
      <c r="M86" s="761"/>
      <c r="N86" s="761"/>
      <c r="O86" s="780"/>
      <c r="P86" s="780"/>
      <c r="Q86" s="780"/>
      <c r="R86" s="761"/>
    </row>
    <row r="87" ht="13.8" customHeight="1" spans="13:18">
      <c r="M87" s="761"/>
      <c r="N87" s="761"/>
      <c r="O87" s="780"/>
      <c r="P87" s="780"/>
      <c r="Q87" s="780"/>
      <c r="R87" s="761"/>
    </row>
    <row r="88" ht="13.8" customHeight="1" spans="13:18">
      <c r="M88" s="761"/>
      <c r="N88" s="761"/>
      <c r="O88" s="780"/>
      <c r="P88" s="780"/>
      <c r="Q88" s="780"/>
      <c r="R88" s="761"/>
    </row>
    <row r="89" ht="13.8" customHeight="1" spans="13:18">
      <c r="M89" s="761"/>
      <c r="N89" s="761"/>
      <c r="O89" s="780"/>
      <c r="P89" s="780"/>
      <c r="Q89" s="780"/>
      <c r="R89" s="761"/>
    </row>
    <row r="90" ht="13.8" customHeight="1" spans="13:18">
      <c r="M90" s="761"/>
      <c r="N90" s="761"/>
      <c r="O90" s="780"/>
      <c r="P90" s="780"/>
      <c r="Q90" s="780"/>
      <c r="R90" s="761"/>
    </row>
    <row r="91" ht="13.8" customHeight="1" spans="13:17">
      <c r="M91" s="761"/>
      <c r="N91" s="761"/>
      <c r="O91" s="780"/>
      <c r="P91" s="780"/>
      <c r="Q91" s="780"/>
    </row>
    <row r="92" ht="13.8" hidden="1" customHeight="1" spans="13:17">
      <c r="M92" s="761"/>
      <c r="N92" s="761"/>
      <c r="O92" s="780"/>
      <c r="P92" s="780"/>
      <c r="Q92" s="780"/>
    </row>
    <row r="93" ht="13.8" customHeight="1" spans="13:17">
      <c r="M93" s="761"/>
      <c r="N93" s="761"/>
      <c r="O93" s="780"/>
      <c r="P93" s="780"/>
      <c r="Q93" s="780"/>
    </row>
    <row r="94" spans="13:14">
      <c r="M94" s="761"/>
      <c r="N94" s="761"/>
    </row>
    <row r="95" spans="13:14">
      <c r="M95" s="761"/>
      <c r="N95" s="761"/>
    </row>
    <row r="96" spans="13:14">
      <c r="M96" s="761"/>
      <c r="N96" s="761"/>
    </row>
    <row r="97" spans="13:14">
      <c r="M97" s="761"/>
      <c r="N97" s="761"/>
    </row>
    <row r="98" spans="13:14">
      <c r="M98" s="761"/>
      <c r="N98" s="761"/>
    </row>
    <row r="99" spans="13:14">
      <c r="M99" s="761"/>
      <c r="N99" s="761"/>
    </row>
    <row r="100" spans="13:14">
      <c r="M100" s="761"/>
      <c r="N100" s="761"/>
    </row>
    <row r="101" spans="13:14">
      <c r="M101" s="761"/>
      <c r="N101" s="761"/>
    </row>
    <row r="102" spans="13:14">
      <c r="M102" s="761"/>
      <c r="N102" s="761"/>
    </row>
    <row r="103" spans="13:14">
      <c r="M103" s="761"/>
      <c r="N103" s="761"/>
    </row>
    <row r="104" spans="13:14">
      <c r="M104" s="761"/>
      <c r="N104" s="761"/>
    </row>
    <row r="105" spans="13:14">
      <c r="M105" s="761"/>
      <c r="N105" s="761"/>
    </row>
    <row r="106" spans="13:14">
      <c r="M106" s="761"/>
      <c r="N106" s="761"/>
    </row>
    <row r="107" spans="13:14">
      <c r="M107" s="761"/>
      <c r="N107" s="761"/>
    </row>
    <row r="108" spans="13:14">
      <c r="M108" s="761"/>
      <c r="N108" s="761"/>
    </row>
    <row r="109" spans="13:14">
      <c r="M109" s="761"/>
      <c r="N109" s="761"/>
    </row>
    <row r="110" spans="13:14">
      <c r="M110" s="761"/>
      <c r="N110" s="761"/>
    </row>
    <row r="111" spans="13:14">
      <c r="M111" s="761"/>
      <c r="N111" s="761"/>
    </row>
    <row r="112" spans="13:14">
      <c r="M112" s="761"/>
      <c r="N112" s="761"/>
    </row>
    <row r="113" spans="13:14">
      <c r="M113" s="761"/>
      <c r="N113" s="761"/>
    </row>
    <row r="114" spans="13:14">
      <c r="M114" s="761"/>
      <c r="N114" s="761"/>
    </row>
    <row r="115" spans="13:14">
      <c r="M115" s="761"/>
      <c r="N115" s="761"/>
    </row>
    <row r="116" spans="13:14">
      <c r="M116" s="761"/>
      <c r="N116" s="761"/>
    </row>
    <row r="117" spans="13:14">
      <c r="M117" s="761"/>
      <c r="N117" s="761"/>
    </row>
    <row r="118" spans="13:14">
      <c r="M118" s="761"/>
      <c r="N118" s="761"/>
    </row>
    <row r="119" spans="13:14">
      <c r="M119" s="761"/>
      <c r="N119" s="761"/>
    </row>
    <row r="120" spans="13:14">
      <c r="M120" s="761"/>
      <c r="N120" s="761"/>
    </row>
    <row r="121" spans="13:14">
      <c r="M121" s="761"/>
      <c r="N121" s="761"/>
    </row>
    <row r="122" spans="13:14">
      <c r="M122" s="761"/>
      <c r="N122" s="761"/>
    </row>
  </sheetData>
  <mergeCells count="35">
    <mergeCell ref="D18:E18"/>
    <mergeCell ref="F18:L18"/>
    <mergeCell ref="D19:E19"/>
    <mergeCell ref="F19:L19"/>
    <mergeCell ref="D20:E20"/>
    <mergeCell ref="F20:L20"/>
    <mergeCell ref="D21:E21"/>
    <mergeCell ref="F21:L21"/>
    <mergeCell ref="D22:E22"/>
    <mergeCell ref="F22:L22"/>
    <mergeCell ref="D23:E23"/>
    <mergeCell ref="F23:L23"/>
    <mergeCell ref="D24:E24"/>
    <mergeCell ref="F24:L24"/>
    <mergeCell ref="D25:E25"/>
    <mergeCell ref="F25:L25"/>
    <mergeCell ref="D26:E26"/>
    <mergeCell ref="F26:L26"/>
    <mergeCell ref="I28:L28"/>
    <mergeCell ref="I29:K29"/>
    <mergeCell ref="I30:K30"/>
    <mergeCell ref="I31:K31"/>
    <mergeCell ref="I32:K32"/>
    <mergeCell ref="I33:K33"/>
    <mergeCell ref="I34:K34"/>
    <mergeCell ref="I35:K35"/>
    <mergeCell ref="I36:K36"/>
    <mergeCell ref="I37:K37"/>
    <mergeCell ref="I38:K38"/>
    <mergeCell ref="I39:K39"/>
    <mergeCell ref="I40:K40"/>
    <mergeCell ref="I41:K41"/>
    <mergeCell ref="C48:M48"/>
    <mergeCell ref="D7:L12"/>
    <mergeCell ref="F13:J14"/>
  </mergeCells>
  <dataValidations count="1">
    <dataValidation type="list" allowBlank="1" showInputMessage="1" showErrorMessage="1" sqref="O2">
      <formula1>$O$17:$P$17</formula1>
    </dataValidation>
  </dataValidations>
  <pageMargins left="0.590551181102362" right="0.47244094488189" top="0.826771653543307" bottom="0.748031496062992" header="0.433070866141732" footer="0.31496062992126"/>
  <pageSetup paperSize="9" orientation="portrait"/>
  <headerFooter>
    <oddHeader>&amp;L&amp;G</oddHeader>
  </headerFooter>
  <drawing r:id="rId1"/>
  <legacyDrawing r:id="rId2"/>
  <legacyDrawingHF r:id="rId4"/>
  <mc:AlternateContent xmlns:mc="http://schemas.openxmlformats.org/markup-compatibility/2006">
    <mc:Choice Requires="x14">
      <controls>
        <mc:AlternateContent xmlns:mc="http://schemas.openxmlformats.org/markup-compatibility/2006">
          <mc:Choice Requires="x14">
            <control shapeId="12323" name="Button 35" r:id="rId3">
              <controlPr print="0" defaultSize="0">
                <anchor moveWithCells="1" sizeWithCells="1">
                  <from>
                    <xdr:col>18</xdr:col>
                    <xdr:colOff>198120</xdr:colOff>
                    <xdr:row>8</xdr:row>
                    <xdr:rowOff>60960</xdr:rowOff>
                  </from>
                  <to>
                    <xdr:col>20</xdr:col>
                    <xdr:colOff>502920</xdr:colOff>
                    <xdr:row>9</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Y161"/>
  <sheetViews>
    <sheetView showGridLines="0" topLeftCell="B89" workbookViewId="0">
      <selection activeCell="H116" sqref="H116:K117"/>
    </sheetView>
  </sheetViews>
  <sheetFormatPr defaultColWidth="9" defaultRowHeight="14.25"/>
  <cols>
    <col min="1" max="1" width="9" hidden="1" customWidth="1"/>
    <col min="2" max="2" width="2.10833333333333" customWidth="1"/>
    <col min="3" max="4" width="8.88333333333333" customWidth="1"/>
    <col min="5" max="5" width="7.88333333333333" customWidth="1"/>
    <col min="6" max="6" width="7.775" customWidth="1"/>
    <col min="7" max="7" width="10.2166666666667" customWidth="1"/>
    <col min="8" max="11" width="10" customWidth="1"/>
    <col min="12" max="12" width="7.33333333333333" customWidth="1"/>
    <col min="13" max="13" width="4.10833333333333" customWidth="1"/>
    <col min="14" max="14" width="6.775" hidden="1" customWidth="1"/>
    <col min="15" max="15" width="9" hidden="1" customWidth="1"/>
    <col min="16" max="16" width="9.88333333333333" hidden="1" customWidth="1"/>
    <col min="17" max="19" width="9" hidden="1" customWidth="1"/>
    <col min="20" max="20" width="4.21666666666667" customWidth="1"/>
    <col min="21" max="16384" width="8.88333333333333"/>
  </cols>
  <sheetData>
    <row r="1" ht="15" customHeight="1" spans="2:16">
      <c r="B1" s="1" t="s">
        <v>13</v>
      </c>
      <c r="C1" s="1" t="s">
        <v>14</v>
      </c>
      <c r="D1" s="2"/>
      <c r="E1" s="47" t="s">
        <v>78</v>
      </c>
      <c r="F1" s="52" t="s">
        <v>79</v>
      </c>
      <c r="G1" s="2" t="str">
        <f t="shared" ref="G1:G32" si="0">IF(Report_Language=$B$1,E1,F1)</f>
        <v>Obtaining shore tank(s) open sample</v>
      </c>
      <c r="H1" s="53" t="s">
        <v>2</v>
      </c>
      <c r="I1" s="53">
        <v>1</v>
      </c>
      <c r="J1" s="53" t="str">
        <f>INDEX(H1:H2,I1,0)</f>
        <v>英文 English</v>
      </c>
      <c r="M1" s="25"/>
      <c r="N1" s="26"/>
      <c r="O1" s="26"/>
      <c r="P1" s="27"/>
    </row>
    <row r="2" spans="2:16">
      <c r="B2" s="3" t="s">
        <v>80</v>
      </c>
      <c r="C2" s="3" t="s">
        <v>81</v>
      </c>
      <c r="D2" s="2" t="str">
        <f t="shared" ref="D2:D33" si="1">IF(Report_Language=$B$1,B2,C2)</f>
        <v>JOB NO.:</v>
      </c>
      <c r="E2" s="47" t="s">
        <v>82</v>
      </c>
      <c r="F2" s="52" t="s">
        <v>83</v>
      </c>
      <c r="G2" s="2" t="str">
        <f t="shared" si="0"/>
        <v>Perform shore tank(s) open measurent</v>
      </c>
      <c r="H2" s="53" t="s">
        <v>1</v>
      </c>
      <c r="I2" s="53">
        <v>2</v>
      </c>
      <c r="J2" s="53" t="str">
        <f>INDEX(H26:H27,I2,0)</f>
        <v>正式报告 Official Report</v>
      </c>
      <c r="M2" s="25"/>
      <c r="N2" s="28"/>
      <c r="O2" s="28"/>
      <c r="P2" s="29"/>
    </row>
    <row r="3" spans="2:16">
      <c r="B3" s="4" t="s">
        <v>84</v>
      </c>
      <c r="C3" s="4" t="s">
        <v>85</v>
      </c>
      <c r="D3" s="2" t="str">
        <f t="shared" si="1"/>
        <v>DATE OF REPORT:</v>
      </c>
      <c r="E3" s="47" t="s">
        <v>86</v>
      </c>
      <c r="F3" s="52" t="s">
        <v>87</v>
      </c>
      <c r="G3" s="2" t="str">
        <f t="shared" si="0"/>
        <v>Obtaining shore tank(s) close sample</v>
      </c>
      <c r="H3" s="54" t="s">
        <v>88</v>
      </c>
      <c r="I3" s="53">
        <v>2</v>
      </c>
      <c r="J3" s="53" t="str">
        <f>INDEX(H28:H31,I3,0)</f>
        <v>B--成品油 Refined Products</v>
      </c>
      <c r="M3" s="25"/>
      <c r="N3" s="28"/>
      <c r="O3" s="28"/>
      <c r="P3" s="29"/>
    </row>
    <row r="4" spans="2:16">
      <c r="B4" s="3" t="s">
        <v>20</v>
      </c>
      <c r="C4" s="3" t="s">
        <v>21</v>
      </c>
      <c r="D4" s="2" t="str">
        <f t="shared" si="1"/>
        <v>APPLICANT</v>
      </c>
      <c r="E4" s="47" t="s">
        <v>89</v>
      </c>
      <c r="F4" s="52" t="s">
        <v>90</v>
      </c>
      <c r="G4" s="2" t="str">
        <f t="shared" si="0"/>
        <v>Perform shore tank(s) close measurent</v>
      </c>
      <c r="H4" s="54" t="s">
        <v>91</v>
      </c>
      <c r="I4" s="53">
        <v>14</v>
      </c>
      <c r="J4" s="53" t="str">
        <f>INDEX(H3:H20,I4,0)</f>
        <v>T-60B</v>
      </c>
      <c r="K4" t="str">
        <f>LEFT(J3,1)</f>
        <v>B</v>
      </c>
      <c r="M4" s="25"/>
      <c r="N4" s="28"/>
      <c r="O4" s="28"/>
      <c r="P4" s="29"/>
    </row>
    <row r="5" spans="2:16">
      <c r="B5" s="4" t="s">
        <v>23</v>
      </c>
      <c r="C5" s="4" t="s">
        <v>24</v>
      </c>
      <c r="D5" s="2" t="str">
        <f t="shared" si="1"/>
        <v>CLIENT'S REF. NO.</v>
      </c>
      <c r="E5" s="47"/>
      <c r="F5" s="47"/>
      <c r="G5" s="2">
        <f t="shared" si="0"/>
        <v>0</v>
      </c>
      <c r="H5" s="54" t="s">
        <v>92</v>
      </c>
      <c r="I5" s="53">
        <v>3</v>
      </c>
      <c r="J5" s="53">
        <f>INDEX(H23:H25,I5,0)</f>
        <v>2004</v>
      </c>
      <c r="M5" s="25"/>
      <c r="N5" s="28"/>
      <c r="O5" s="28"/>
      <c r="P5" s="29"/>
    </row>
    <row r="6" spans="2:16">
      <c r="B6" s="3" t="s">
        <v>25</v>
      </c>
      <c r="C6" s="3" t="s">
        <v>26</v>
      </c>
      <c r="D6" s="2" t="str">
        <f t="shared" si="1"/>
        <v>COMMODITY</v>
      </c>
      <c r="E6" s="55" t="s">
        <v>93</v>
      </c>
      <c r="F6" s="56" t="s">
        <v>94</v>
      </c>
      <c r="G6" s="2" t="str">
        <f t="shared" si="0"/>
        <v>End of sea passage</v>
      </c>
      <c r="H6" s="54" t="s">
        <v>95</v>
      </c>
      <c r="I6" s="53">
        <v>1</v>
      </c>
      <c r="J6" s="53" t="str">
        <f>INDEX(H21:H22,I6,0)</f>
        <v>ASTM D1250-1980</v>
      </c>
      <c r="M6" s="25"/>
      <c r="N6" s="28"/>
      <c r="O6" s="28"/>
      <c r="P6" s="29"/>
    </row>
    <row r="7" spans="2:16">
      <c r="B7" s="4" t="s">
        <v>28</v>
      </c>
      <c r="C7" s="4" t="s">
        <v>29</v>
      </c>
      <c r="D7" s="2" t="str">
        <f t="shared" si="1"/>
        <v>VESSEL</v>
      </c>
      <c r="E7" s="55" t="s">
        <v>96</v>
      </c>
      <c r="F7" s="55" t="s">
        <v>97</v>
      </c>
      <c r="G7" s="2" t="str">
        <f t="shared" si="0"/>
        <v>Notice of readiness tendered</v>
      </c>
      <c r="H7" s="54" t="s">
        <v>98</v>
      </c>
      <c r="I7" s="53">
        <v>4</v>
      </c>
      <c r="J7" s="53" t="str">
        <f>IF(I7=1,"Den15",IF(I7=2,"Den20",IF(I7=3,"API","SG")))</f>
        <v>SG</v>
      </c>
      <c r="M7" s="25"/>
      <c r="N7" s="28"/>
      <c r="O7" s="28"/>
      <c r="P7" s="29"/>
    </row>
    <row r="8" spans="2:16">
      <c r="B8" s="3" t="s">
        <v>31</v>
      </c>
      <c r="C8" s="3" t="s">
        <v>32</v>
      </c>
      <c r="D8" s="2" t="str">
        <f t="shared" si="1"/>
        <v>PORT</v>
      </c>
      <c r="E8" s="55" t="s">
        <v>99</v>
      </c>
      <c r="F8" s="55" t="s">
        <v>100</v>
      </c>
      <c r="G8" s="2" t="str">
        <f t="shared" si="0"/>
        <v>Notice of readiness accepted</v>
      </c>
      <c r="H8" s="54" t="s">
        <v>101</v>
      </c>
      <c r="I8" s="53"/>
      <c r="J8" s="53"/>
      <c r="M8" s="25"/>
      <c r="N8" s="28"/>
      <c r="O8" s="28"/>
      <c r="P8" s="29"/>
    </row>
    <row r="9" spans="2:16">
      <c r="B9" s="6" t="s">
        <v>34</v>
      </c>
      <c r="C9" s="4" t="s">
        <v>35</v>
      </c>
      <c r="D9" s="2" t="str">
        <f t="shared" si="1"/>
        <v>TERMINAL</v>
      </c>
      <c r="E9" s="55" t="s">
        <v>102</v>
      </c>
      <c r="F9" s="55" t="s">
        <v>103</v>
      </c>
      <c r="G9" s="2" t="str">
        <f t="shared" si="0"/>
        <v>Pilot on board</v>
      </c>
      <c r="H9" s="54" t="s">
        <v>104</v>
      </c>
      <c r="I9" s="53"/>
      <c r="J9" s="53"/>
      <c r="M9" s="25"/>
      <c r="N9" s="28"/>
      <c r="O9" s="28"/>
      <c r="P9" s="29"/>
    </row>
    <row r="10" ht="15" customHeight="1" spans="2:16">
      <c r="B10" s="4" t="s">
        <v>36</v>
      </c>
      <c r="C10" s="4" t="s">
        <v>37</v>
      </c>
      <c r="D10" s="2" t="str">
        <f t="shared" si="1"/>
        <v>DATE OF INSPECTION</v>
      </c>
      <c r="E10" s="55" t="s">
        <v>105</v>
      </c>
      <c r="F10" s="57" t="s">
        <v>106</v>
      </c>
      <c r="G10" s="2" t="str">
        <f t="shared" si="0"/>
        <v>First line ashore</v>
      </c>
      <c r="H10" s="54" t="s">
        <v>107</v>
      </c>
      <c r="I10" s="53"/>
      <c r="J10" s="53"/>
      <c r="M10" s="25"/>
      <c r="N10" s="28"/>
      <c r="O10" s="28"/>
      <c r="P10" s="29"/>
    </row>
    <row r="11" spans="2:16">
      <c r="B11" s="7" t="s">
        <v>44</v>
      </c>
      <c r="C11" s="2" t="str">
        <f>B11</f>
        <v>SG0020031202-I</v>
      </c>
      <c r="D11" s="2" t="s">
        <v>45</v>
      </c>
      <c r="E11" s="47" t="s">
        <v>108</v>
      </c>
      <c r="F11" s="58" t="s">
        <v>109</v>
      </c>
      <c r="G11" s="2" t="str">
        <f t="shared" si="0"/>
        <v>Docked (Gangway in place)</v>
      </c>
      <c r="H11" s="54" t="s">
        <v>110</v>
      </c>
      <c r="I11" s="53"/>
      <c r="J11" s="53"/>
      <c r="M11" s="25"/>
      <c r="N11" s="28"/>
      <c r="O11" s="28"/>
      <c r="P11" s="29"/>
    </row>
    <row r="12" spans="2:16">
      <c r="B12" s="8" t="s">
        <v>46</v>
      </c>
      <c r="C12" s="2" t="str">
        <f>B12</f>
        <v>YYYY-MM-DD</v>
      </c>
      <c r="D12" s="2" t="s">
        <v>46</v>
      </c>
      <c r="E12" s="47" t="s">
        <v>111</v>
      </c>
      <c r="F12" s="47" t="s">
        <v>112</v>
      </c>
      <c r="G12" s="2" t="str">
        <f t="shared" si="0"/>
        <v>All fast</v>
      </c>
      <c r="H12" s="54" t="s">
        <v>113</v>
      </c>
      <c r="I12" s="53"/>
      <c r="J12" s="53"/>
      <c r="M12" s="25"/>
      <c r="N12" s="28"/>
      <c r="O12" s="28"/>
      <c r="P12" s="29"/>
    </row>
    <row r="13" spans="2:16">
      <c r="B13" s="7" t="s">
        <v>48</v>
      </c>
      <c r="C13" s="9" t="s">
        <v>49</v>
      </c>
      <c r="D13" s="2" t="str">
        <f t="shared" si="1"/>
        <v>PETROCHINA </v>
      </c>
      <c r="E13" s="55" t="s">
        <v>114</v>
      </c>
      <c r="F13" s="58" t="s">
        <v>115</v>
      </c>
      <c r="G13" s="2" t="str">
        <f t="shared" si="0"/>
        <v>Vessel cleared by governmental official</v>
      </c>
      <c r="H13" s="54" t="s">
        <v>116</v>
      </c>
      <c r="I13" s="53"/>
      <c r="J13" s="53"/>
      <c r="M13" s="25"/>
      <c r="N13" s="28"/>
      <c r="O13" s="28"/>
      <c r="P13" s="29"/>
    </row>
    <row r="14" spans="2:16">
      <c r="B14" s="7" t="s">
        <v>50</v>
      </c>
      <c r="C14" s="7" t="s">
        <v>117</v>
      </c>
      <c r="D14" s="2" t="s">
        <v>51</v>
      </c>
      <c r="E14" s="47" t="s">
        <v>118</v>
      </c>
      <c r="F14" s="52" t="s">
        <v>119</v>
      </c>
      <c r="G14" s="2" t="str">
        <f t="shared" si="0"/>
        <v>Surveyor on board</v>
      </c>
      <c r="H14" s="54" t="s">
        <v>120</v>
      </c>
      <c r="I14" s="53"/>
      <c r="J14" s="53"/>
      <c r="M14" s="25"/>
      <c r="N14" s="28"/>
      <c r="O14" s="28"/>
      <c r="P14" s="29"/>
    </row>
    <row r="15" spans="2:16">
      <c r="B15" s="7" t="s">
        <v>52</v>
      </c>
      <c r="C15" s="9" t="s">
        <v>53</v>
      </c>
      <c r="D15" s="2" t="str">
        <f t="shared" si="1"/>
        <v>Crude Oil6658</v>
      </c>
      <c r="E15" s="47" t="s">
        <v>121</v>
      </c>
      <c r="F15" s="52" t="s">
        <v>122</v>
      </c>
      <c r="G15" s="2" t="str">
        <f t="shared" si="0"/>
        <v>Key meeting held</v>
      </c>
      <c r="H15" s="54" t="s">
        <v>123</v>
      </c>
      <c r="I15" s="53"/>
      <c r="J15" s="53"/>
      <c r="M15" s="25"/>
      <c r="N15" s="28"/>
      <c r="O15" s="28"/>
      <c r="P15" s="29"/>
    </row>
    <row r="16" spans="2:16">
      <c r="B16" s="7" t="s">
        <v>54</v>
      </c>
      <c r="C16" s="2" t="s">
        <v>55</v>
      </c>
      <c r="D16" s="2" t="str">
        <f t="shared" si="1"/>
        <v>MT ZhenYuanefdasdf</v>
      </c>
      <c r="E16" s="47" t="s">
        <v>124</v>
      </c>
      <c r="F16" s="52" t="s">
        <v>125</v>
      </c>
      <c r="G16" s="2" t="str">
        <f t="shared" si="0"/>
        <v>Vessel tanks sampling</v>
      </c>
      <c r="H16" s="54" t="s">
        <v>126</v>
      </c>
      <c r="I16" s="53"/>
      <c r="J16" s="53"/>
      <c r="M16" s="25"/>
      <c r="N16" s="28"/>
      <c r="O16" s="28"/>
      <c r="P16" s="29"/>
    </row>
    <row r="17" ht="15.6" customHeight="1" spans="2:16">
      <c r="B17" s="7" t="s">
        <v>56</v>
      </c>
      <c r="C17" s="9" t="s">
        <v>57</v>
      </c>
      <c r="D17" s="2" t="str">
        <f t="shared" si="1"/>
        <v>Dalian, Chinafsadfa</v>
      </c>
      <c r="E17" s="47" t="s">
        <v>127</v>
      </c>
      <c r="F17" s="52" t="s">
        <v>128</v>
      </c>
      <c r="G17" s="2" t="str">
        <f t="shared" si="0"/>
        <v>Vessel tanks measurement</v>
      </c>
      <c r="H17" s="54" t="s">
        <v>129</v>
      </c>
      <c r="I17" s="53"/>
      <c r="J17" s="53"/>
      <c r="M17" s="25"/>
      <c r="N17" s="28"/>
      <c r="O17" s="28"/>
      <c r="P17" s="29"/>
    </row>
    <row r="18" spans="2:16">
      <c r="B18" s="7" t="s">
        <v>58</v>
      </c>
      <c r="C18" s="9" t="s">
        <v>59</v>
      </c>
      <c r="D18" s="2" t="str">
        <f t="shared" si="1"/>
        <v>Dalian Chinaoil, China1325415</v>
      </c>
      <c r="E18" s="47" t="s">
        <v>130</v>
      </c>
      <c r="F18" s="52" t="s">
        <v>131</v>
      </c>
      <c r="G18" s="2" t="str">
        <f t="shared" si="0"/>
        <v>Calculation and figures agreed</v>
      </c>
      <c r="H18" s="54" t="s">
        <v>132</v>
      </c>
      <c r="I18" s="53"/>
      <c r="J18" s="53"/>
      <c r="M18" s="25"/>
      <c r="N18" s="28"/>
      <c r="O18" s="28"/>
      <c r="P18" s="29"/>
    </row>
    <row r="19" spans="2:16">
      <c r="B19" s="10" t="s">
        <v>133</v>
      </c>
      <c r="C19" s="11" t="str">
        <f>B19</f>
        <v>YYYY-MM-DD -- YYYY-MM-DD</v>
      </c>
      <c r="D19" s="2" t="s">
        <v>60</v>
      </c>
      <c r="E19" s="47" t="s">
        <v>134</v>
      </c>
      <c r="F19" s="47" t="s">
        <v>135</v>
      </c>
      <c r="G19" s="2" t="str">
        <f t="shared" si="0"/>
        <v>       Arms/          Hoses connected</v>
      </c>
      <c r="H19" s="59" t="s">
        <v>136</v>
      </c>
      <c r="I19" s="53"/>
      <c r="J19" s="53"/>
      <c r="M19" s="25"/>
      <c r="N19" s="28"/>
      <c r="O19" s="28"/>
      <c r="P19" s="29"/>
    </row>
    <row r="20" spans="2:16">
      <c r="B20" s="13" t="s">
        <v>137</v>
      </c>
      <c r="C20" s="13" t="s">
        <v>138</v>
      </c>
      <c r="D20" s="2" t="str">
        <f t="shared" si="1"/>
        <v>Density@15℃ (g/cm³)</v>
      </c>
      <c r="E20" s="47" t="s">
        <v>139</v>
      </c>
      <c r="F20" s="52" t="s">
        <v>140</v>
      </c>
      <c r="G20" s="2" t="str">
        <f t="shared" si="0"/>
        <v>Samples analysis passed</v>
      </c>
      <c r="H20" s="54" t="s">
        <v>141</v>
      </c>
      <c r="I20" s="53"/>
      <c r="J20" s="53"/>
      <c r="M20" s="25"/>
      <c r="N20" s="28"/>
      <c r="O20" s="28"/>
      <c r="P20" s="29"/>
    </row>
    <row r="21" spans="2:16">
      <c r="B21" s="14" t="s">
        <v>142</v>
      </c>
      <c r="C21" s="14" t="s">
        <v>143</v>
      </c>
      <c r="D21" s="2" t="str">
        <f t="shared" si="1"/>
        <v>Density@20℃ (g/cm³)</v>
      </c>
      <c r="E21" s="47" t="s">
        <v>144</v>
      </c>
      <c r="F21" s="52" t="s">
        <v>145</v>
      </c>
      <c r="G21" s="2" t="str">
        <f t="shared" si="0"/>
        <v>Commenced discharge</v>
      </c>
      <c r="H21" s="54" t="s">
        <v>5</v>
      </c>
      <c r="I21" s="53"/>
      <c r="J21" s="53"/>
      <c r="M21" s="25"/>
      <c r="N21" s="28"/>
      <c r="O21" s="28"/>
      <c r="P21" s="29"/>
    </row>
    <row r="22" ht="15" customHeight="1" spans="2:16">
      <c r="B22" s="13" t="s">
        <v>146</v>
      </c>
      <c r="C22" s="13" t="s">
        <v>146</v>
      </c>
      <c r="D22" s="2" t="str">
        <f t="shared" si="1"/>
        <v>API@60℉</v>
      </c>
      <c r="E22" s="47" t="s">
        <v>147</v>
      </c>
      <c r="F22" s="52" t="s">
        <v>148</v>
      </c>
      <c r="G22" s="2" t="str">
        <f t="shared" si="0"/>
        <v>Suspended discharge for line displacement verification</v>
      </c>
      <c r="H22" s="54" t="s">
        <v>6</v>
      </c>
      <c r="I22" s="53"/>
      <c r="J22" s="53"/>
      <c r="M22" s="25"/>
      <c r="N22" s="28"/>
      <c r="O22" s="28"/>
      <c r="P22" s="29"/>
    </row>
    <row r="23" spans="2:16">
      <c r="B23" s="14" t="s">
        <v>149</v>
      </c>
      <c r="C23" s="14" t="s">
        <v>150</v>
      </c>
      <c r="D23" s="2" t="str">
        <f t="shared" si="1"/>
        <v>S.G.@60℉/60℉</v>
      </c>
      <c r="E23" s="47" t="s">
        <v>151</v>
      </c>
      <c r="F23" s="52" t="s">
        <v>152</v>
      </c>
      <c r="G23" s="2" t="str">
        <f t="shared" si="0"/>
        <v>Resumed discharge</v>
      </c>
      <c r="H23" s="59">
        <v>1952</v>
      </c>
      <c r="I23" s="53"/>
      <c r="J23" s="53"/>
      <c r="M23" s="25"/>
      <c r="N23" s="28"/>
      <c r="O23" s="28"/>
      <c r="P23" s="29"/>
    </row>
    <row r="24" spans="2:16">
      <c r="B24" s="15" t="s">
        <v>153</v>
      </c>
      <c r="C24" s="15" t="s">
        <v>154</v>
      </c>
      <c r="D24" s="2" t="str">
        <f t="shared" si="1"/>
        <v>α60℉ (1/℉)</v>
      </c>
      <c r="E24" s="47" t="s">
        <v>155</v>
      </c>
      <c r="F24" s="52" t="s">
        <v>156</v>
      </c>
      <c r="G24" s="2" t="str">
        <f t="shared" si="0"/>
        <v>Completed discharge</v>
      </c>
      <c r="H24" s="59">
        <v>1980</v>
      </c>
      <c r="I24" s="53"/>
      <c r="J24" s="53"/>
      <c r="M24" s="25"/>
      <c r="N24" s="28"/>
      <c r="O24" s="28"/>
      <c r="P24" s="29"/>
    </row>
    <row r="25" spans="2:16">
      <c r="B25" s="15" t="s">
        <v>157</v>
      </c>
      <c r="C25" s="15" t="s">
        <v>158</v>
      </c>
      <c r="D25" s="2" t="str">
        <f t="shared" si="1"/>
        <v>α60℉ (1/℃)</v>
      </c>
      <c r="E25" s="47" t="s">
        <v>159</v>
      </c>
      <c r="F25" s="52" t="s">
        <v>160</v>
      </c>
      <c r="G25" s="2" t="str">
        <f t="shared" si="0"/>
        <v>Vessel tanks inspection</v>
      </c>
      <c r="H25" s="59">
        <v>2004</v>
      </c>
      <c r="I25" s="53"/>
      <c r="J25" s="53"/>
      <c r="M25" s="25"/>
      <c r="N25" s="28"/>
      <c r="O25" s="28"/>
      <c r="P25" s="29"/>
    </row>
    <row r="26" spans="2:16">
      <c r="B26" s="14" t="s">
        <v>161</v>
      </c>
      <c r="C26" s="14" t="s">
        <v>162</v>
      </c>
      <c r="D26" s="2" t="str">
        <f t="shared" si="1"/>
        <v>Density@15℃ (kg/m³)</v>
      </c>
      <c r="E26" s="47" t="s">
        <v>163</v>
      </c>
      <c r="F26" s="47" t="s">
        <v>164</v>
      </c>
      <c r="G26" s="2" t="str">
        <f t="shared" si="0"/>
        <v>       Arms/          Hoses disconnected</v>
      </c>
      <c r="H26" s="60" t="s">
        <v>165</v>
      </c>
      <c r="I26" s="53"/>
      <c r="J26" s="53"/>
      <c r="M26" s="25"/>
      <c r="N26" s="28"/>
      <c r="P26" s="29" t="s">
        <v>166</v>
      </c>
    </row>
    <row r="27" spans="2:16">
      <c r="B27" s="13" t="s">
        <v>167</v>
      </c>
      <c r="C27" s="13" t="s">
        <v>168</v>
      </c>
      <c r="D27" s="2" t="str">
        <f t="shared" si="1"/>
        <v>Density@20℃ (kg/m³)</v>
      </c>
      <c r="E27" s="55" t="s">
        <v>169</v>
      </c>
      <c r="F27" s="58" t="s">
        <v>170</v>
      </c>
      <c r="G27" s="2" t="str">
        <f t="shared" si="0"/>
        <v>Filling out documents and sign</v>
      </c>
      <c r="H27" s="60" t="s">
        <v>171</v>
      </c>
      <c r="I27" s="53"/>
      <c r="J27" s="53"/>
      <c r="M27" s="30"/>
      <c r="N27" s="28"/>
      <c r="P27" s="29" t="s">
        <v>172</v>
      </c>
    </row>
    <row r="28" spans="2:16">
      <c r="B28" s="14" t="s">
        <v>146</v>
      </c>
      <c r="C28" s="14" t="s">
        <v>173</v>
      </c>
      <c r="D28" s="2" t="str">
        <f t="shared" si="1"/>
        <v>API@60℉</v>
      </c>
      <c r="E28" s="47" t="s">
        <v>174</v>
      </c>
      <c r="F28" s="52" t="s">
        <v>175</v>
      </c>
      <c r="G28" s="2" t="str">
        <f t="shared" si="0"/>
        <v>Commenced load</v>
      </c>
      <c r="H28" s="54" t="s">
        <v>7</v>
      </c>
      <c r="I28" s="53"/>
      <c r="J28" s="53"/>
      <c r="M28" s="30"/>
      <c r="N28" s="28"/>
      <c r="P28" s="29" t="s">
        <v>176</v>
      </c>
    </row>
    <row r="29" ht="15" customHeight="1" spans="2:16">
      <c r="B29" s="13" t="s">
        <v>149</v>
      </c>
      <c r="C29" s="13" t="s">
        <v>177</v>
      </c>
      <c r="D29" s="2" t="str">
        <f t="shared" si="1"/>
        <v>S.G.@60℉/60℉</v>
      </c>
      <c r="E29" s="47" t="s">
        <v>178</v>
      </c>
      <c r="F29" s="52" t="s">
        <v>179</v>
      </c>
      <c r="G29" s="2" t="str">
        <f t="shared" si="0"/>
        <v>1st foot sampling</v>
      </c>
      <c r="H29" s="54" t="s">
        <v>8</v>
      </c>
      <c r="I29" s="53"/>
      <c r="J29" s="53"/>
      <c r="M29" s="25"/>
      <c r="N29" s="28"/>
      <c r="P29" s="29" t="s">
        <v>180</v>
      </c>
    </row>
    <row r="30" spans="2:16">
      <c r="B30" s="17" t="s">
        <v>181</v>
      </c>
      <c r="C30" s="18" t="s">
        <v>182</v>
      </c>
      <c r="D30" s="2" t="str">
        <f t="shared" si="1"/>
        <v>WCF MT(in air)/m³@15℃ [T-56]</v>
      </c>
      <c r="E30" s="47" t="s">
        <v>183</v>
      </c>
      <c r="F30" s="52" t="s">
        <v>184</v>
      </c>
      <c r="G30" s="2" t="str">
        <f t="shared" si="0"/>
        <v>1st foot samples analysis passed</v>
      </c>
      <c r="H30" s="54" t="s">
        <v>11</v>
      </c>
      <c r="I30" s="53"/>
      <c r="J30" s="53"/>
      <c r="M30" s="25"/>
      <c r="N30" s="28"/>
      <c r="P30" s="29" t="s">
        <v>185</v>
      </c>
    </row>
    <row r="31" spans="2:16">
      <c r="B31" s="17" t="s">
        <v>186</v>
      </c>
      <c r="C31" s="18" t="s">
        <v>187</v>
      </c>
      <c r="D31" s="2" t="str">
        <f t="shared" si="1"/>
        <v>WCF MT(in air)/m³@15℃</v>
      </c>
      <c r="E31" s="47" t="s">
        <v>188</v>
      </c>
      <c r="F31" s="52" t="s">
        <v>189</v>
      </c>
      <c r="G31" s="2" t="str">
        <f t="shared" si="0"/>
        <v>Suspended load for line displacement verification</v>
      </c>
      <c r="H31" s="54" t="s">
        <v>12</v>
      </c>
      <c r="I31" s="53"/>
      <c r="J31" s="53"/>
      <c r="M31" s="25"/>
      <c r="N31" s="28"/>
      <c r="P31" s="29" t="s">
        <v>190</v>
      </c>
    </row>
    <row r="32" spans="2:16">
      <c r="B32" s="17" t="s">
        <v>191</v>
      </c>
      <c r="C32" s="18" t="s">
        <v>192</v>
      </c>
      <c r="D32" s="2" t="str">
        <f t="shared" si="1"/>
        <v>WCF MT(in air)/m³@20℃</v>
      </c>
      <c r="E32" s="47" t="s">
        <v>193</v>
      </c>
      <c r="F32" s="52" t="s">
        <v>194</v>
      </c>
      <c r="G32" s="2" t="str">
        <f t="shared" si="0"/>
        <v>Resumed load</v>
      </c>
      <c r="M32" s="25"/>
      <c r="N32" s="28"/>
      <c r="P32" s="29" t="s">
        <v>195</v>
      </c>
    </row>
    <row r="33" spans="2:16">
      <c r="B33" s="19" t="s">
        <v>196</v>
      </c>
      <c r="C33" s="20" t="s">
        <v>197</v>
      </c>
      <c r="D33" s="2" t="str">
        <f t="shared" si="1"/>
        <v>MT/LT [T-1] </v>
      </c>
      <c r="E33" s="47" t="s">
        <v>198</v>
      </c>
      <c r="F33" s="52" t="s">
        <v>199</v>
      </c>
      <c r="G33" s="2" t="str">
        <f t="shared" ref="G33:G75" si="2">IF(Report_Language=$B$1,E33,F33)</f>
        <v>Completed load</v>
      </c>
      <c r="M33" s="25"/>
      <c r="N33" s="28"/>
      <c r="P33" s="29" t="s">
        <v>200</v>
      </c>
    </row>
    <row r="34" spans="2:16">
      <c r="B34" s="19" t="s">
        <v>201</v>
      </c>
      <c r="C34" s="21" t="s">
        <v>202</v>
      </c>
      <c r="D34" s="2" t="str">
        <f t="shared" ref="D34:D65" si="3">IF(Report_Language=$B$1,B34,C34)</f>
        <v>MT/LT</v>
      </c>
      <c r="E34" s="47" t="s">
        <v>203</v>
      </c>
      <c r="F34" s="52" t="s">
        <v>204</v>
      </c>
      <c r="G34" s="2" t="str">
        <f t="shared" si="2"/>
        <v>Estimated sailing time</v>
      </c>
      <c r="M34" s="25"/>
      <c r="N34" s="28"/>
      <c r="P34" s="29" t="s">
        <v>205</v>
      </c>
    </row>
    <row r="35" spans="2:16">
      <c r="B35" s="17" t="s">
        <v>206</v>
      </c>
      <c r="C35" s="18" t="s">
        <v>207</v>
      </c>
      <c r="D35" s="2" t="str">
        <f t="shared" si="3"/>
        <v>WCF MT(in air)/bbls@60℉ [T-13]</v>
      </c>
      <c r="E35" s="47" t="s">
        <v>208</v>
      </c>
      <c r="F35" s="52" t="s">
        <v>209</v>
      </c>
      <c r="G35" s="2" t="str">
        <f t="shared" si="2"/>
        <v>Date</v>
      </c>
      <c r="M35" s="25"/>
      <c r="N35" s="28"/>
      <c r="P35" s="29"/>
    </row>
    <row r="36" spans="2:16">
      <c r="B36" s="17" t="s">
        <v>210</v>
      </c>
      <c r="C36" s="18" t="s">
        <v>211</v>
      </c>
      <c r="D36" s="2" t="str">
        <f t="shared" si="3"/>
        <v>WCF MT(in air)/bbls@60℉</v>
      </c>
      <c r="E36" s="47" t="s">
        <v>212</v>
      </c>
      <c r="F36" s="52" t="s">
        <v>213</v>
      </c>
      <c r="G36" s="2" t="str">
        <f t="shared" si="2"/>
        <v>Time</v>
      </c>
      <c r="M36" s="25"/>
      <c r="N36" s="28"/>
      <c r="O36" s="28">
        <v>6</v>
      </c>
      <c r="P36" s="29" t="str">
        <f>INDEX(G49:G59,O36,0)</f>
        <v>*Vessel Discharged Quantity Applied VEF</v>
      </c>
    </row>
    <row r="37" spans="2:16">
      <c r="B37" s="14" t="s">
        <v>214</v>
      </c>
      <c r="C37" s="14" t="s">
        <v>215</v>
      </c>
      <c r="D37" s="2" t="str">
        <f t="shared" si="3"/>
        <v>Density@15℃ MT(Vacuo)/m³</v>
      </c>
      <c r="E37" s="47" t="s">
        <v>216</v>
      </c>
      <c r="F37" s="52" t="s">
        <v>217</v>
      </c>
      <c r="G37" s="2" t="str">
        <f t="shared" si="2"/>
        <v>FROM</v>
      </c>
      <c r="M37" s="25"/>
      <c r="N37" s="28"/>
      <c r="O37" s="28"/>
      <c r="P37" s="29"/>
    </row>
    <row r="38" spans="2:16">
      <c r="B38" s="14" t="s">
        <v>218</v>
      </c>
      <c r="C38" s="14" t="s">
        <v>219</v>
      </c>
      <c r="D38" s="2" t="str">
        <f t="shared" si="3"/>
        <v>Density@20℃ MT(Vacuo)/m³</v>
      </c>
      <c r="E38" s="47" t="s">
        <v>220</v>
      </c>
      <c r="F38" s="52" t="s">
        <v>221</v>
      </c>
      <c r="G38" s="2" t="str">
        <f t="shared" si="2"/>
        <v>TO</v>
      </c>
      <c r="M38" s="25"/>
      <c r="N38" s="28"/>
      <c r="O38" s="28"/>
      <c r="P38" s="29"/>
    </row>
    <row r="39" ht="15" customHeight="1" spans="2:16">
      <c r="B39" s="17" t="s">
        <v>222</v>
      </c>
      <c r="C39" s="18" t="s">
        <v>223</v>
      </c>
      <c r="D39" s="2" t="str">
        <f t="shared" si="3"/>
        <v>WCF MT(in vacuo)/bbls@60℉ [T-13]</v>
      </c>
      <c r="E39" s="47" t="s">
        <v>224</v>
      </c>
      <c r="F39" s="52" t="s">
        <v>225</v>
      </c>
      <c r="G39" s="2" t="str">
        <f t="shared" si="2"/>
        <v>EVENTS</v>
      </c>
      <c r="M39" s="25"/>
      <c r="N39" s="28"/>
      <c r="O39" s="28"/>
      <c r="P39" s="29"/>
    </row>
    <row r="40" spans="2:16">
      <c r="B40" s="17" t="s">
        <v>226</v>
      </c>
      <c r="C40" s="18" t="s">
        <v>227</v>
      </c>
      <c r="D40" s="2" t="str">
        <f t="shared" si="3"/>
        <v>WCF MT(in vacuo)/bbls@60℉</v>
      </c>
      <c r="E40" s="47" t="s">
        <v>228</v>
      </c>
      <c r="F40" s="52" t="s">
        <v>229</v>
      </c>
      <c r="G40" s="2" t="str">
        <f t="shared" si="2"/>
        <v>TIME LOG</v>
      </c>
      <c r="M40" s="25"/>
      <c r="N40" s="28"/>
      <c r="O40" s="28"/>
      <c r="P40" s="29"/>
    </row>
    <row r="41" spans="2:16">
      <c r="B41" s="19" t="s">
        <v>196</v>
      </c>
      <c r="C41" s="20" t="s">
        <v>197</v>
      </c>
      <c r="D41" s="2" t="str">
        <f t="shared" si="3"/>
        <v>MT/LT [T-1] </v>
      </c>
      <c r="E41" s="47" t="s">
        <v>230</v>
      </c>
      <c r="F41" s="52" t="s">
        <v>231</v>
      </c>
      <c r="G41" s="2" t="str">
        <f t="shared" si="2"/>
        <v>REMARKS</v>
      </c>
      <c r="M41" s="25"/>
      <c r="N41" s="28"/>
      <c r="O41" s="28"/>
      <c r="P41" s="29"/>
    </row>
    <row r="42" spans="2:16">
      <c r="B42" s="19" t="s">
        <v>201</v>
      </c>
      <c r="C42" s="21" t="s">
        <v>202</v>
      </c>
      <c r="D42" s="2" t="str">
        <f t="shared" si="3"/>
        <v>MT/LT</v>
      </c>
      <c r="E42" s="47" t="s">
        <v>34</v>
      </c>
      <c r="F42" s="52" t="s">
        <v>232</v>
      </c>
      <c r="G42" s="2" t="str">
        <f t="shared" si="2"/>
        <v>TERMINAL</v>
      </c>
      <c r="M42" s="25"/>
      <c r="N42" s="28"/>
      <c r="O42" s="28"/>
      <c r="P42" s="29"/>
    </row>
    <row r="43" spans="2:16">
      <c r="B43" s="17" t="s">
        <v>233</v>
      </c>
      <c r="C43" s="18" t="s">
        <v>234</v>
      </c>
      <c r="D43" s="2" t="str">
        <f t="shared" si="3"/>
        <v>WCF LT(in air)/m³@15℃ [T-57]</v>
      </c>
      <c r="E43" s="47" t="s">
        <v>28</v>
      </c>
      <c r="F43" s="52" t="s">
        <v>235</v>
      </c>
      <c r="G43" s="2" t="str">
        <f t="shared" si="2"/>
        <v>VESSEL</v>
      </c>
      <c r="M43" s="25"/>
      <c r="N43" s="28"/>
      <c r="O43" s="28"/>
      <c r="P43" s="29"/>
    </row>
    <row r="44" ht="15" customHeight="1" spans="2:16">
      <c r="B44" s="17" t="s">
        <v>236</v>
      </c>
      <c r="C44" s="18" t="s">
        <v>237</v>
      </c>
      <c r="D44" s="2" t="str">
        <f t="shared" si="3"/>
        <v>WCF LT(in air)/m³@15℃</v>
      </c>
      <c r="E44" s="47" t="s">
        <v>238</v>
      </c>
      <c r="F44" s="52" t="s">
        <v>239</v>
      </c>
      <c r="G44" s="2" t="str">
        <f t="shared" si="2"/>
        <v>Arm(s) connected</v>
      </c>
      <c r="M44" s="25"/>
      <c r="N44" s="28"/>
      <c r="O44" s="28"/>
      <c r="P44" s="29"/>
    </row>
    <row r="45" spans="2:16">
      <c r="B45" s="19" t="s">
        <v>240</v>
      </c>
      <c r="C45" s="20" t="s">
        <v>241</v>
      </c>
      <c r="D45" s="2" t="str">
        <f t="shared" si="3"/>
        <v>LT/MT [T-1] </v>
      </c>
      <c r="E45" s="47" t="s">
        <v>242</v>
      </c>
      <c r="F45" s="52" t="s">
        <v>243</v>
      </c>
      <c r="G45" s="2" t="str">
        <f t="shared" si="2"/>
        <v>Hose(s) connected</v>
      </c>
      <c r="M45" s="25"/>
      <c r="N45" s="28"/>
      <c r="O45" s="28"/>
      <c r="P45" s="29"/>
    </row>
    <row r="46" spans="2:16">
      <c r="B46" s="19" t="s">
        <v>244</v>
      </c>
      <c r="C46" s="20" t="s">
        <v>245</v>
      </c>
      <c r="D46" s="2" t="str">
        <f t="shared" si="3"/>
        <v>LT/MT</v>
      </c>
      <c r="E46" s="47" t="s">
        <v>246</v>
      </c>
      <c r="F46" s="52" t="s">
        <v>247</v>
      </c>
      <c r="G46" s="2" t="str">
        <f t="shared" si="2"/>
        <v>Arm(s) disconnected</v>
      </c>
      <c r="M46" s="25"/>
      <c r="N46" s="28"/>
      <c r="O46" s="28"/>
      <c r="P46" s="29"/>
    </row>
    <row r="47" spans="2:19">
      <c r="B47" s="17" t="s">
        <v>248</v>
      </c>
      <c r="C47" s="18" t="s">
        <v>249</v>
      </c>
      <c r="D47" s="2" t="str">
        <f t="shared" si="3"/>
        <v>WCF LT(in air)/bbls@60℉ [T-29] </v>
      </c>
      <c r="E47" s="47" t="s">
        <v>250</v>
      </c>
      <c r="F47" s="52" t="s">
        <v>251</v>
      </c>
      <c r="G47" s="2" t="str">
        <f t="shared" si="2"/>
        <v>Hose(s) disconnected</v>
      </c>
      <c r="M47" s="25"/>
      <c r="N47" s="28"/>
      <c r="O47" s="65" t="s">
        <v>252</v>
      </c>
      <c r="P47" s="65"/>
      <c r="Q47" s="65"/>
      <c r="R47" s="65"/>
      <c r="S47" s="65"/>
    </row>
    <row r="48" spans="2:19">
      <c r="B48" s="17" t="s">
        <v>253</v>
      </c>
      <c r="C48" s="18" t="s">
        <v>254</v>
      </c>
      <c r="D48" s="2" t="str">
        <f t="shared" si="3"/>
        <v>WCF LT(in air)/bbls@60℉</v>
      </c>
      <c r="E48" s="47" t="s">
        <v>255</v>
      </c>
      <c r="F48" s="52" t="s">
        <v>256</v>
      </c>
      <c r="G48" s="2" t="str">
        <f t="shared" si="2"/>
        <v>QUANTITIES</v>
      </c>
      <c r="H48" s="61" t="s">
        <v>257</v>
      </c>
      <c r="I48" s="61" t="s">
        <v>258</v>
      </c>
      <c r="J48" s="61" t="str">
        <f>G66</f>
        <v>Bbls (60℉)</v>
      </c>
      <c r="K48" s="61" t="str">
        <f>G67</f>
        <v>m³ (15℃)</v>
      </c>
      <c r="L48" s="61" t="str">
        <f>G68</f>
        <v>m³ (20℃)</v>
      </c>
      <c r="M48" s="61" t="str">
        <f>G69</f>
        <v>MT (air)</v>
      </c>
      <c r="N48" s="61" t="str">
        <f>G70</f>
        <v>LT (air)</v>
      </c>
      <c r="O48" s="61" t="str">
        <f>J48</f>
        <v>Bbls (60℉)</v>
      </c>
      <c r="P48" s="61" t="str">
        <f t="shared" ref="P48:S48" si="4">K48</f>
        <v>m³ (15℃)</v>
      </c>
      <c r="Q48" s="61" t="str">
        <f t="shared" si="4"/>
        <v>m³ (20℃)</v>
      </c>
      <c r="R48" s="61" t="str">
        <f t="shared" si="4"/>
        <v>MT (air)</v>
      </c>
      <c r="S48" s="61" t="str">
        <f t="shared" si="4"/>
        <v>LT (air)</v>
      </c>
    </row>
    <row r="49" spans="2:19">
      <c r="B49" s="17" t="s">
        <v>259</v>
      </c>
      <c r="C49" s="18" t="s">
        <v>260</v>
      </c>
      <c r="D49" s="2" t="str">
        <f t="shared" si="3"/>
        <v>WCF LT(in air)/bbls@60℉ [T-11] </v>
      </c>
      <c r="E49" s="28" t="s">
        <v>261</v>
      </c>
      <c r="F49" s="52" t="s">
        <v>262</v>
      </c>
      <c r="G49" s="61" t="str">
        <f t="shared" ref="G49" si="5">IF(Report_Language=$B$1,E49,F49)</f>
        <v>Bill of Lading</v>
      </c>
      <c r="H49" s="53"/>
      <c r="I49" s="53"/>
      <c r="J49" s="53"/>
      <c r="K49" s="53"/>
      <c r="L49" s="53"/>
      <c r="M49" s="53"/>
      <c r="N49" s="53"/>
      <c r="O49" s="53"/>
      <c r="P49" s="53"/>
      <c r="Q49" s="53"/>
      <c r="R49" s="53"/>
      <c r="S49" s="53"/>
    </row>
    <row r="50" ht="17.4" customHeight="1" spans="2:19">
      <c r="B50" s="17" t="s">
        <v>253</v>
      </c>
      <c r="C50" s="18" t="s">
        <v>254</v>
      </c>
      <c r="D50" s="2" t="str">
        <f t="shared" si="3"/>
        <v>WCF LT(in air)/bbls@60℉</v>
      </c>
      <c r="E50" s="47" t="s">
        <v>263</v>
      </c>
      <c r="F50" s="52" t="s">
        <v>264</v>
      </c>
      <c r="G50" s="61" t="str">
        <f t="shared" si="2"/>
        <v>Vessel Tank Quantity After Load</v>
      </c>
      <c r="H50" s="53"/>
      <c r="I50" s="53"/>
      <c r="J50" s="53"/>
      <c r="K50" s="53"/>
      <c r="L50" s="53"/>
      <c r="M50" s="53"/>
      <c r="N50" s="53"/>
      <c r="O50" s="53"/>
      <c r="P50" s="53"/>
      <c r="Q50" s="53"/>
      <c r="R50" s="53"/>
      <c r="S50" s="53"/>
    </row>
    <row r="51" ht="13.2" customHeight="1" spans="2:19">
      <c r="B51" s="17" t="s">
        <v>265</v>
      </c>
      <c r="C51" s="18" t="s">
        <v>266</v>
      </c>
      <c r="D51" s="2" t="str">
        <f t="shared" si="3"/>
        <v>WCF LT(in vacuo)/m³@15℃ [T-57]</v>
      </c>
      <c r="E51" s="28" t="s">
        <v>190</v>
      </c>
      <c r="F51" s="52" t="s">
        <v>267</v>
      </c>
      <c r="G51" s="61" t="str">
        <f t="shared" si="2"/>
        <v>Vessel Tanks Quantity Upon Arrival</v>
      </c>
      <c r="H51" s="730">
        <f>IF(Ullage!V131="","",Ullage!V131)</f>
        <v>48120.731</v>
      </c>
      <c r="I51" s="730">
        <f>IF(Ullage!V135="","",Ullage!V135)</f>
        <v>39386.818</v>
      </c>
      <c r="J51" s="67">
        <f>IF(Ullage!Gross_bbls_60F="","",Ullage!Gross_bbls_60F)</f>
        <v>301466.7</v>
      </c>
      <c r="K51" s="68" t="str">
        <f>IF(Ullage!Gross_CBM_15C="","",Ullage!Gross_CBM_15C)</f>
        <v/>
      </c>
      <c r="L51" s="68">
        <f>IF(Ullage!Gross_CBM_20C="","",Ullage!Gross_CBM_20C)</f>
        <v>48120.731</v>
      </c>
      <c r="M51" s="68">
        <f>IF(Ullage!Gross_MT_air="","",Ullage!Gross_MT_air)</f>
        <v>39386.818</v>
      </c>
      <c r="N51" s="68">
        <f>IF(Ullage!Gross_LT_air="","",Ullage!Gross_LT_air)</f>
        <v>38764.743</v>
      </c>
      <c r="O51" s="67">
        <f>IF(Ullage!Net_bbls_60F="","",Ullage!Net_bbls_60F)</f>
        <v>300492.96</v>
      </c>
      <c r="P51" s="68" t="str">
        <f>IF(Ullage!Net_CBM_15C="","",Ullage!Net_CBM_15C)</f>
        <v/>
      </c>
      <c r="Q51" s="68">
        <f>IF(Ullage!Net_CBM_20C="","",Ullage!Net_CBM_20C)</f>
        <v>47965.301</v>
      </c>
      <c r="R51" s="68">
        <f>IF(Ullage!Net_MT_air="","",Ullage!Net_MT_air)</f>
        <v>39259.599</v>
      </c>
      <c r="S51" s="68">
        <f>IF(Ullage!Net_LT_air="","",Ullage!Net_LT_air)</f>
        <v>38639.533</v>
      </c>
    </row>
    <row r="52" spans="2:19">
      <c r="B52" s="17" t="s">
        <v>268</v>
      </c>
      <c r="C52" s="18" t="s">
        <v>269</v>
      </c>
      <c r="D52" s="2" t="str">
        <f t="shared" si="3"/>
        <v>WCF LT(in vacuo)/m³@15℃</v>
      </c>
      <c r="E52" s="28" t="s">
        <v>195</v>
      </c>
      <c r="F52" s="52" t="s">
        <v>270</v>
      </c>
      <c r="G52" s="61" t="str">
        <f t="shared" si="2"/>
        <v>*Vessel Tanks Quantity Upon Arrival Applied VEF</v>
      </c>
      <c r="H52" s="730">
        <f>IF(H51="","",IF(OR(LEFT(vcfTab,4)="T-54",LEFT(vcfTab,4)="T-60"),ROUND(H51/$H$114,3),ROUND(H51/$H$114,2)))</f>
        <v>48188.194</v>
      </c>
      <c r="I52" s="730">
        <f>IF(I51="","",IF(OR(LEFT(vcfTab,4)="T-54",LEFT(vcfTab,4)="T-60"),ROUND(I51/$H$114,3),ROUND(I51/$H$114,2)))</f>
        <v>39442.037</v>
      </c>
      <c r="J52" s="67">
        <f>IF(J51="","",ROUND(J51/$H$114,2))</f>
        <v>301889.35</v>
      </c>
      <c r="K52" s="68" t="str">
        <f>IF(K51="","",ROUND(K51/$H$114,3))</f>
        <v/>
      </c>
      <c r="L52" s="68">
        <f>IF(L51="","",ROUND(L51/$H$114,3))</f>
        <v>48188.194</v>
      </c>
      <c r="M52" s="68">
        <f>IF(M51="","",ROUND(M51/$H$114,3))</f>
        <v>39442.037</v>
      </c>
      <c r="N52" s="68">
        <f>IF(N51="","",ROUND(N51/$H$114,3))</f>
        <v>38819.09</v>
      </c>
      <c r="O52" s="67">
        <f>IF(O51="","",ROUND(O51/$H$114,2))</f>
        <v>300914.24</v>
      </c>
      <c r="P52" s="68" t="str">
        <f>IF(P51="","",ROUND(P51/$H$114,3))</f>
        <v/>
      </c>
      <c r="Q52" s="68">
        <f>IF(Q51="","",ROUND(Q51/$H$114,3))</f>
        <v>48032.547</v>
      </c>
      <c r="R52" s="68">
        <f>IF(R51="","",ROUND(R51/$H$114,3))</f>
        <v>39314.639</v>
      </c>
      <c r="S52" s="68">
        <f>IF(S51="","",ROUND(S51/$H$114,3))</f>
        <v>38693.704</v>
      </c>
    </row>
    <row r="53" spans="2:19">
      <c r="B53" s="19" t="s">
        <v>240</v>
      </c>
      <c r="C53" s="20" t="s">
        <v>241</v>
      </c>
      <c r="D53" s="2" t="str">
        <f t="shared" si="3"/>
        <v>LT/MT [T-1] </v>
      </c>
      <c r="E53" s="63" t="s">
        <v>200</v>
      </c>
      <c r="F53" s="64" t="s">
        <v>271</v>
      </c>
      <c r="G53" s="61" t="str">
        <f t="shared" si="2"/>
        <v>Vessel Discharged Quantity</v>
      </c>
      <c r="H53" s="731">
        <f>IF(H51="","",H51-H61)</f>
        <v>48097.731</v>
      </c>
      <c r="I53" s="730">
        <f>IF(I51="","",ROUND(H53*Ullage!V134,3))</f>
        <v>39367.993</v>
      </c>
      <c r="J53" s="67">
        <f>IF(J51="","",ToBbls60F(vcfTab,WCF_Standard,Cargo_type,H53,I53,Ullage!N133,Ullage!U106))</f>
        <v>301322.62</v>
      </c>
      <c r="K53" s="68" t="str">
        <f>IF(K51="","",ToCbm15C(vcfTab,WCF_Standard,Cargo_type,H53,Ullage!N133,Ullage!U106))</f>
        <v/>
      </c>
      <c r="L53" s="68">
        <f>IF(L51="","",ToCbm20C(vcfTab,WCF_Standard,Cargo_type,H53,Ullage!N133,Ullage!U106))</f>
        <v>48097.731</v>
      </c>
      <c r="M53" s="68">
        <f>IF(M51="","",ToMTair(vcfTab,WCF_Standard,H53,Ullage!N133))</f>
        <v>39367.993</v>
      </c>
      <c r="N53" s="68">
        <f>IF(N51="","",ToLTair(vcfTab,WCF_Standard,H53,Ullage!N133))</f>
        <v>38746.215</v>
      </c>
      <c r="O53" s="67">
        <f>IF(O51="","",ROUND(J53*(1-Ullage!$N$134%),2))</f>
        <v>300349.35</v>
      </c>
      <c r="P53" s="68" t="str">
        <f>IF(P51="","",ROUND(K53*(1-Ullage!$N$134%),3))</f>
        <v/>
      </c>
      <c r="Q53" s="68">
        <f>IF(Q51="","",ROUND(L53*(1-Ullage!$N$134%),3))</f>
        <v>47942.375</v>
      </c>
      <c r="R53" s="68">
        <f>IF(R51="","",ROUND(M53*(1-Ullage!$N$134%),3))</f>
        <v>39240.834</v>
      </c>
      <c r="S53" s="68">
        <f>IF(S51="","",ROUND(N53*(1-Ullage!$N$134%),3))</f>
        <v>38621.065</v>
      </c>
    </row>
    <row r="54" spans="2:19">
      <c r="B54" s="19" t="s">
        <v>244</v>
      </c>
      <c r="C54" s="20" t="s">
        <v>245</v>
      </c>
      <c r="D54" s="2" t="str">
        <f t="shared" si="3"/>
        <v>LT/MT</v>
      </c>
      <c r="E54" s="28" t="s">
        <v>205</v>
      </c>
      <c r="F54" s="52" t="s">
        <v>272</v>
      </c>
      <c r="G54" s="61" t="str">
        <f t="shared" si="2"/>
        <v>*Vessel Discharged Quantity Applied VEF</v>
      </c>
      <c r="H54" s="730">
        <f>IF(H53="","",IF(OR(LEFT(vcfTab,4)="T-54",LEFT(vcfTab,4)="T-60"),ROUND(H53/$H$114,3),ROUND(H53/$H$114,2)))</f>
        <v>48165.162</v>
      </c>
      <c r="I54" s="730">
        <f>IF(I53="","",IF(OR(LEFT(vcfTab,4)="T-54",LEFT(vcfTab,4)="T-60"),ROUND(I53/$H$114,3),ROUND(I53/$H$114,2)))</f>
        <v>39423.185</v>
      </c>
      <c r="J54" s="67">
        <f>IF(J53="","",ROUND(J53/$H$114,2))</f>
        <v>301745.06</v>
      </c>
      <c r="K54" s="68" t="str">
        <f>IF(K53="","",ROUND(K53/$H$114,3))</f>
        <v/>
      </c>
      <c r="L54" s="68">
        <f>IF(L53="","",ROUND(L53/$H$114,3))</f>
        <v>48165.162</v>
      </c>
      <c r="M54" s="68">
        <f>IF(M53="","",ROUND(M53/$H$114,3))</f>
        <v>39423.185</v>
      </c>
      <c r="N54" s="68">
        <f>IF(N53="","",ROUND(N53/$H$114,3))</f>
        <v>38800.536</v>
      </c>
      <c r="O54" s="67">
        <f>IF(O53="","",ROUND(O53/$H$114,2))</f>
        <v>300770.43</v>
      </c>
      <c r="P54" s="68" t="str">
        <f>IF(P53="","",ROUND(P53/$H$114,3))</f>
        <v/>
      </c>
      <c r="Q54" s="68">
        <f>IF(Q53="","",ROUND(Q53/$H$114,3))</f>
        <v>48009.588</v>
      </c>
      <c r="R54" s="68">
        <f>IF(R53="","",ROUND(R53/$H$114,3))</f>
        <v>39295.848</v>
      </c>
      <c r="S54" s="68">
        <f>IF(S53="","",ROUND(S53/$H$114,3))</f>
        <v>38675.21</v>
      </c>
    </row>
    <row r="55" spans="2:19">
      <c r="B55" s="17" t="s">
        <v>273</v>
      </c>
      <c r="C55" s="18" t="s">
        <v>274</v>
      </c>
      <c r="D55" s="2" t="str">
        <f t="shared" si="3"/>
        <v>WCF LT(in vacuo)/bbls@60℉ [T-29]</v>
      </c>
      <c r="E55" s="28" t="s">
        <v>166</v>
      </c>
      <c r="F55" s="52" t="s">
        <v>275</v>
      </c>
      <c r="G55" s="61" t="str">
        <f t="shared" si="2"/>
        <v>Shore Received Quantity (Flow Meter)</v>
      </c>
      <c r="H55" s="730"/>
      <c r="I55" s="730"/>
      <c r="J55" s="67"/>
      <c r="K55" s="68"/>
      <c r="L55" s="68"/>
      <c r="M55" s="68"/>
      <c r="N55" s="68"/>
      <c r="O55" s="67"/>
      <c r="P55" s="68"/>
      <c r="Q55" s="68"/>
      <c r="R55" s="68"/>
      <c r="S55" s="68"/>
    </row>
    <row r="56" spans="2:19">
      <c r="B56" s="17" t="s">
        <v>276</v>
      </c>
      <c r="C56" s="18" t="s">
        <v>277</v>
      </c>
      <c r="D56" s="2" t="str">
        <f t="shared" si="3"/>
        <v>WCF LT(in vacuo)/bbls@60℉</v>
      </c>
      <c r="E56" s="28" t="s">
        <v>172</v>
      </c>
      <c r="F56" s="52" t="s">
        <v>278</v>
      </c>
      <c r="G56" s="61" t="str">
        <f t="shared" si="2"/>
        <v>Shore Tanks Received Quantity</v>
      </c>
      <c r="H56" s="730">
        <f>'Shore Tk'!G151</f>
        <v>1609.83</v>
      </c>
      <c r="I56" s="730">
        <f>'Shore Tk'!G157</f>
        <v>1579.939</v>
      </c>
      <c r="J56" s="67" t="e">
        <f>'Shore Tk'!L199+'Shore Tk (2)'!L199</f>
        <v>#NAME?</v>
      </c>
      <c r="K56" s="68">
        <f>'Shore Tk'!L201+'Shore Tk (2)'!L201</f>
        <v>0</v>
      </c>
      <c r="L56" s="68" t="e">
        <f>'Shore Tk'!L202+'Shore Tk (2)'!L202</f>
        <v>#NAME?</v>
      </c>
      <c r="M56" s="68" t="e">
        <f>'Shore Tk'!L205+'Shore Tk (2)'!L205</f>
        <v>#NAME?</v>
      </c>
      <c r="N56" s="68" t="e">
        <f>'Shore Tk'!L207+'Shore Tk (2)'!L207</f>
        <v>#NAME?</v>
      </c>
      <c r="O56" s="67" t="e">
        <f>'Shore Tk'!M199+'Shore Tk (2)'!M199</f>
        <v>#VALUE!</v>
      </c>
      <c r="P56" s="68" t="e">
        <f>'Shore Tk'!M201+'Shore Tk (2)'!M201</f>
        <v>#VALUE!</v>
      </c>
      <c r="Q56" s="68" t="e">
        <f>'Shore Tk'!M202+'Shore Tk (2)'!M202</f>
        <v>#VALUE!</v>
      </c>
      <c r="R56" s="68" t="e">
        <f>'Shore Tk'!M205+'Shore Tk (2)'!M205</f>
        <v>#VALUE!</v>
      </c>
      <c r="S56" s="68" t="e">
        <f>'Shore Tk'!M207+'Shore Tk (2)'!M207</f>
        <v>#VALUE!</v>
      </c>
    </row>
    <row r="57" spans="2:19">
      <c r="B57" s="17" t="s">
        <v>279</v>
      </c>
      <c r="C57" s="18" t="s">
        <v>280</v>
      </c>
      <c r="D57" s="2" t="str">
        <f t="shared" si="3"/>
        <v>WCF LT(in vacuo)/bbls@60℉ [T-11]</v>
      </c>
      <c r="E57" s="28" t="s">
        <v>176</v>
      </c>
      <c r="F57" s="52" t="s">
        <v>281</v>
      </c>
      <c r="G57" s="61" t="str">
        <f t="shared" si="2"/>
        <v>Total Lighter Received Quantity</v>
      </c>
      <c r="H57" s="730"/>
      <c r="I57" s="730"/>
      <c r="J57" s="67"/>
      <c r="K57" s="68"/>
      <c r="L57" s="68"/>
      <c r="M57" s="68"/>
      <c r="N57" s="68"/>
      <c r="O57" s="67"/>
      <c r="P57" s="68"/>
      <c r="Q57" s="68"/>
      <c r="R57" s="68"/>
      <c r="S57" s="68"/>
    </row>
    <row r="58" spans="2:19">
      <c r="B58" s="17" t="s">
        <v>276</v>
      </c>
      <c r="C58" s="18" t="s">
        <v>277</v>
      </c>
      <c r="D58" s="2" t="str">
        <f t="shared" si="3"/>
        <v>WCF LT(in vacuo)/bbls@60℉</v>
      </c>
      <c r="E58" s="28" t="s">
        <v>180</v>
      </c>
      <c r="F58" s="52" t="s">
        <v>282</v>
      </c>
      <c r="G58" s="61" t="str">
        <f t="shared" si="2"/>
        <v>Total Tank Cars received Quantity</v>
      </c>
      <c r="H58" s="730"/>
      <c r="I58" s="730"/>
      <c r="J58" s="67"/>
      <c r="K58" s="68"/>
      <c r="L58" s="68"/>
      <c r="M58" s="68"/>
      <c r="N58" s="68"/>
      <c r="O58" s="67"/>
      <c r="P58" s="68"/>
      <c r="Q58" s="68"/>
      <c r="R58" s="68"/>
      <c r="S58" s="68"/>
    </row>
    <row r="59" spans="2:19">
      <c r="B59" s="22" t="s">
        <v>283</v>
      </c>
      <c r="C59" s="21" t="s">
        <v>284</v>
      </c>
      <c r="D59" s="2" t="str">
        <f t="shared" si="3"/>
        <v>bbls@60℉/m³@15℃ [T-52]</v>
      </c>
      <c r="E59" s="28" t="s">
        <v>185</v>
      </c>
      <c r="F59" s="52" t="s">
        <v>285</v>
      </c>
      <c r="G59" s="61" t="str">
        <f t="shared" si="2"/>
        <v>Total Received Quantity</v>
      </c>
      <c r="H59" s="730"/>
      <c r="I59" s="730"/>
      <c r="J59" s="67"/>
      <c r="K59" s="68"/>
      <c r="L59" s="68"/>
      <c r="M59" s="68"/>
      <c r="N59" s="68"/>
      <c r="O59" s="67"/>
      <c r="P59" s="68"/>
      <c r="Q59" s="68"/>
      <c r="R59" s="68"/>
      <c r="S59" s="68"/>
    </row>
    <row r="60" spans="2:19">
      <c r="B60" s="22" t="s">
        <v>286</v>
      </c>
      <c r="C60" s="21" t="s">
        <v>287</v>
      </c>
      <c r="D60" s="2" t="str">
        <f t="shared" si="3"/>
        <v>bbls@60℉/m³@15℃</v>
      </c>
      <c r="E60" s="28" t="s">
        <v>288</v>
      </c>
      <c r="F60" s="52" t="s">
        <v>289</v>
      </c>
      <c r="G60" s="61" t="str">
        <f t="shared" si="2"/>
        <v>O.B.Q. Quantity</v>
      </c>
      <c r="H60" s="730"/>
      <c r="I60" s="730"/>
      <c r="J60" s="67"/>
      <c r="K60" s="68"/>
      <c r="L60" s="68"/>
      <c r="M60" s="68"/>
      <c r="N60" s="68"/>
      <c r="O60" s="67"/>
      <c r="P60" s="68"/>
      <c r="Q60" s="68"/>
      <c r="R60" s="68"/>
      <c r="S60" s="68"/>
    </row>
    <row r="61" spans="2:19">
      <c r="B61" s="23" t="s">
        <v>290</v>
      </c>
      <c r="C61" s="24" t="s">
        <v>291</v>
      </c>
      <c r="D61" s="2" t="str">
        <f t="shared" si="3"/>
        <v>bbls@60℉/MT(in air)</v>
      </c>
      <c r="E61" s="28" t="s">
        <v>292</v>
      </c>
      <c r="F61" s="52" t="s">
        <v>293</v>
      </c>
      <c r="G61" s="61" t="str">
        <f t="shared" si="2"/>
        <v>R.O.B. Quantity</v>
      </c>
      <c r="H61" s="730">
        <f>IF(ROB!R144="","",ROB!R144)</f>
        <v>23</v>
      </c>
      <c r="I61" s="730"/>
      <c r="J61" s="67"/>
      <c r="K61" s="68"/>
      <c r="L61" s="68"/>
      <c r="M61" s="68"/>
      <c r="N61" s="68"/>
      <c r="O61" s="67"/>
      <c r="P61" s="68"/>
      <c r="Q61" s="68"/>
      <c r="R61" s="68"/>
      <c r="S61" s="68"/>
    </row>
    <row r="62" spans="2:16">
      <c r="B62" s="2" t="s">
        <v>294</v>
      </c>
      <c r="C62" s="9" t="s">
        <v>295</v>
      </c>
      <c r="D62" s="2" t="str">
        <f t="shared" si="3"/>
        <v>Standard Volume</v>
      </c>
      <c r="E62" t="s">
        <v>296</v>
      </c>
      <c r="F62" s="52" t="s">
        <v>297</v>
      </c>
      <c r="G62" s="2" t="str">
        <f t="shared" si="2"/>
        <v>In-transit Difference</v>
      </c>
      <c r="M62" s="25"/>
      <c r="N62" s="28"/>
      <c r="O62" s="28"/>
      <c r="P62" s="29"/>
    </row>
    <row r="63" ht="16.5" spans="2:16">
      <c r="B63" s="2" t="s">
        <v>298</v>
      </c>
      <c r="C63" s="2" t="s">
        <v>299</v>
      </c>
      <c r="D63" s="2" t="str">
        <f t="shared" si="3"/>
        <v>m³@15℃/m³@20℃ [1/VCF(15℃)]</v>
      </c>
      <c r="E63" t="s">
        <v>300</v>
      </c>
      <c r="F63" s="52" t="s">
        <v>301</v>
      </c>
      <c r="G63" s="2" t="str">
        <f t="shared" si="2"/>
        <v>Difference Percentage</v>
      </c>
      <c r="M63" s="25"/>
      <c r="N63" s="28"/>
      <c r="O63" s="28"/>
      <c r="P63" s="29"/>
    </row>
    <row r="64" spans="2:16">
      <c r="B64" s="22" t="s">
        <v>302</v>
      </c>
      <c r="C64" s="21" t="s">
        <v>303</v>
      </c>
      <c r="D64" s="2" t="str">
        <f t="shared" si="3"/>
        <v>m³@15℃/bbls@60℉ [T-22]</v>
      </c>
      <c r="E64" s="28" t="s">
        <v>304</v>
      </c>
      <c r="F64" s="52" t="s">
        <v>305</v>
      </c>
      <c r="G64" s="2" t="str">
        <f t="shared" si="2"/>
        <v>Outturn :</v>
      </c>
      <c r="K64" s="732">
        <f>H51-H61</f>
        <v>48097.731</v>
      </c>
      <c r="M64" s="25"/>
      <c r="N64" s="28"/>
      <c r="O64" s="28"/>
      <c r="P64" s="29"/>
    </row>
    <row r="65" ht="15" customHeight="1" spans="2:16">
      <c r="B65" s="22" t="s">
        <v>306</v>
      </c>
      <c r="C65" s="19" t="s">
        <v>307</v>
      </c>
      <c r="D65" s="2" t="str">
        <f t="shared" si="3"/>
        <v>m³@15℃/bbls@60℉</v>
      </c>
      <c r="E65" s="28" t="s">
        <v>308</v>
      </c>
      <c r="F65" s="52" t="s">
        <v>309</v>
      </c>
      <c r="G65" s="2" t="str">
        <f t="shared" si="2"/>
        <v>Shore/Vessel Difference at Discharge Port</v>
      </c>
      <c r="M65" s="25"/>
      <c r="N65" s="28"/>
      <c r="O65" s="28"/>
      <c r="P65" s="29"/>
    </row>
    <row r="66" spans="2:16">
      <c r="B66" s="22" t="s">
        <v>310</v>
      </c>
      <c r="C66" s="21" t="s">
        <v>311</v>
      </c>
      <c r="D66" s="2" t="str">
        <f t="shared" ref="D66:D85" si="6">IF(Report_Language=$B$1,B66,C66)</f>
        <v>m³@15℃/bbls@60℉ [T-4] </v>
      </c>
      <c r="E66" s="28" t="s">
        <v>312</v>
      </c>
      <c r="F66" s="52" t="s">
        <v>313</v>
      </c>
      <c r="G66" s="2" t="str">
        <f t="shared" si="2"/>
        <v>Bbls (60℉)</v>
      </c>
      <c r="M66" s="25"/>
      <c r="N66" s="28"/>
      <c r="O66" s="28"/>
      <c r="P66" s="29"/>
    </row>
    <row r="67" spans="2:16">
      <c r="B67" s="22" t="s">
        <v>306</v>
      </c>
      <c r="C67" s="21" t="s">
        <v>314</v>
      </c>
      <c r="D67" s="2" t="str">
        <f t="shared" si="6"/>
        <v>m³@15℃/bbls@60℉</v>
      </c>
      <c r="E67" s="28" t="s">
        <v>315</v>
      </c>
      <c r="F67" s="52" t="s">
        <v>316</v>
      </c>
      <c r="G67" s="2" t="str">
        <f t="shared" si="2"/>
        <v>m³ (15℃)</v>
      </c>
      <c r="M67" s="25"/>
      <c r="N67" s="28"/>
      <c r="O67" s="28"/>
      <c r="P67" s="29"/>
    </row>
    <row r="68" spans="2:16">
      <c r="B68" s="19" t="s">
        <v>317</v>
      </c>
      <c r="C68" s="19" t="s">
        <v>318</v>
      </c>
      <c r="D68" s="2" t="str">
        <f t="shared" si="6"/>
        <v>m³@20℃/m³@15℃ [1/VCF(20℃)]</v>
      </c>
      <c r="E68" s="28" t="s">
        <v>319</v>
      </c>
      <c r="F68" s="52" t="s">
        <v>320</v>
      </c>
      <c r="G68" s="2" t="str">
        <f t="shared" si="2"/>
        <v>m³ (20℃)</v>
      </c>
      <c r="M68" s="25"/>
      <c r="N68" s="28"/>
      <c r="O68" s="28"/>
      <c r="P68" s="29"/>
    </row>
    <row r="69" spans="2:16">
      <c r="B69" s="17" t="s">
        <v>321</v>
      </c>
      <c r="C69" s="17" t="s">
        <v>322</v>
      </c>
      <c r="D69" s="2" t="str">
        <f t="shared" si="6"/>
        <v>m³@20℃/bbls@60℉ [T-4] x VCF(59℉)/VCF(68℉)</v>
      </c>
      <c r="E69" s="28" t="s">
        <v>323</v>
      </c>
      <c r="F69" s="52" t="s">
        <v>324</v>
      </c>
      <c r="G69" s="2" t="str">
        <f t="shared" si="2"/>
        <v>MT (air)</v>
      </c>
      <c r="M69" s="25"/>
      <c r="N69" s="28"/>
      <c r="O69" s="28"/>
      <c r="P69" s="29"/>
    </row>
    <row r="70" spans="2:16">
      <c r="B70" s="17" t="s">
        <v>325</v>
      </c>
      <c r="C70" s="17" t="s">
        <v>326</v>
      </c>
      <c r="D70" s="2" t="str">
        <f t="shared" si="6"/>
        <v>m³@20℃/bbls@60℉</v>
      </c>
      <c r="E70" s="28" t="s">
        <v>327</v>
      </c>
      <c r="F70" s="52" t="s">
        <v>328</v>
      </c>
      <c r="G70" s="2" t="str">
        <f t="shared" si="2"/>
        <v>LT (air)</v>
      </c>
      <c r="M70" s="25"/>
      <c r="N70" s="28"/>
      <c r="O70" s="28"/>
      <c r="P70" s="29"/>
    </row>
    <row r="71" spans="2:16">
      <c r="B71" s="17" t="s">
        <v>329</v>
      </c>
      <c r="C71" s="17" t="s">
        <v>330</v>
      </c>
      <c r="D71" s="2" t="str">
        <f t="shared" si="6"/>
        <v>m³@20℃/bbls@60℉ [T-22] x VCF(59℉)/VCF(68℉)</v>
      </c>
      <c r="E71" s="69" t="s">
        <v>331</v>
      </c>
      <c r="F71" s="789" t="s">
        <v>332</v>
      </c>
      <c r="G71" s="2" t="str">
        <f t="shared" si="2"/>
        <v>- Gross Quantity</v>
      </c>
      <c r="M71" s="25"/>
      <c r="N71" s="28"/>
      <c r="O71" s="28"/>
      <c r="P71" s="29"/>
    </row>
    <row r="72" spans="2:16">
      <c r="B72" s="17" t="s">
        <v>325</v>
      </c>
      <c r="C72" s="17" t="s">
        <v>333</v>
      </c>
      <c r="D72" s="2" t="str">
        <f t="shared" si="6"/>
        <v>m³@20℃/bbls@60℉</v>
      </c>
      <c r="E72" s="69" t="s">
        <v>334</v>
      </c>
      <c r="F72" s="789" t="s">
        <v>335</v>
      </c>
      <c r="G72" s="2" t="str">
        <f t="shared" si="2"/>
        <v>- Net Quantity</v>
      </c>
      <c r="M72" s="25"/>
      <c r="N72" s="28"/>
      <c r="O72" s="28"/>
      <c r="P72" s="29"/>
    </row>
    <row r="73" spans="2:16">
      <c r="B73" s="19" t="s">
        <v>336</v>
      </c>
      <c r="C73" s="21" t="s">
        <v>337</v>
      </c>
      <c r="D73" s="2" t="str">
        <f t="shared" si="6"/>
        <v>m³@30℃/m³@15℃ [1/VCF(30℃)]</v>
      </c>
      <c r="E73" s="70" t="s">
        <v>338</v>
      </c>
      <c r="F73" s="52" t="s">
        <v>339</v>
      </c>
      <c r="G73" s="2" t="str">
        <f t="shared" si="2"/>
        <v>VCF table used at discharge port</v>
      </c>
      <c r="M73" s="25"/>
      <c r="N73" s="28"/>
      <c r="O73" s="28"/>
      <c r="P73" s="29"/>
    </row>
    <row r="74" spans="2:16">
      <c r="B74" s="19" t="s">
        <v>340</v>
      </c>
      <c r="C74" s="21" t="s">
        <v>341</v>
      </c>
      <c r="D74" s="2" t="str">
        <f t="shared" si="6"/>
        <v>m³@30℃/m³@20℃ [1/VCF(30℃)]</v>
      </c>
      <c r="E74" t="s">
        <v>342</v>
      </c>
      <c r="F74" s="52" t="s">
        <v>343</v>
      </c>
      <c r="G74" s="2" t="str">
        <f t="shared" si="2"/>
        <v>VEF</v>
      </c>
      <c r="M74" s="25"/>
      <c r="N74" s="28"/>
      <c r="O74" s="28"/>
      <c r="P74" s="29"/>
    </row>
    <row r="75" spans="2:16">
      <c r="B75" s="17" t="s">
        <v>344</v>
      </c>
      <c r="C75" s="17" t="s">
        <v>345</v>
      </c>
      <c r="D75" s="2" t="str">
        <f t="shared" si="6"/>
        <v>m³@30℃/bbls@60℉ [T-4] x VCF(59℉)/VCF(86℉)</v>
      </c>
      <c r="E75" t="s">
        <v>346</v>
      </c>
      <c r="F75" s="52" t="s">
        <v>347</v>
      </c>
      <c r="G75" s="2" t="str">
        <f t="shared" si="2"/>
        <v>DISCHARGING SUMMARY REPORT</v>
      </c>
      <c r="M75" s="25"/>
      <c r="N75" s="28"/>
      <c r="O75" s="28"/>
      <c r="P75" s="29"/>
    </row>
    <row r="76" spans="2:16">
      <c r="B76" s="17" t="s">
        <v>348</v>
      </c>
      <c r="C76" s="17" t="s">
        <v>349</v>
      </c>
      <c r="D76" s="2" t="str">
        <f t="shared" si="6"/>
        <v>m³@30℃/bbls@60℉</v>
      </c>
      <c r="M76" s="25"/>
      <c r="N76" s="28"/>
      <c r="O76" s="28"/>
      <c r="P76" s="29"/>
    </row>
    <row r="77" ht="15" customHeight="1" spans="2:4">
      <c r="B77" s="17" t="s">
        <v>350</v>
      </c>
      <c r="C77" s="17" t="s">
        <v>351</v>
      </c>
      <c r="D77" s="2" t="str">
        <f t="shared" si="6"/>
        <v>m³@30℃/bbls@60℉ [T-22] x VCF(59℉)/VCF(86℉)</v>
      </c>
    </row>
    <row r="78" spans="2:4">
      <c r="B78" s="17" t="s">
        <v>348</v>
      </c>
      <c r="C78" s="17" t="s">
        <v>352</v>
      </c>
      <c r="D78" s="2" t="str">
        <f t="shared" si="6"/>
        <v>m³@30℃/bbls@60℉</v>
      </c>
    </row>
    <row r="79" spans="2:4">
      <c r="B79" s="5" t="s">
        <v>353</v>
      </c>
      <c r="C79" s="32" t="s">
        <v>354</v>
      </c>
      <c r="D79" s="2" t="str">
        <f t="shared" si="6"/>
        <v>US Gallon/US Barrels [T-1]</v>
      </c>
    </row>
    <row r="80" spans="2:4">
      <c r="B80" s="33" t="s">
        <v>355</v>
      </c>
      <c r="C80" s="33" t="s">
        <v>356</v>
      </c>
      <c r="D80" s="2" t="str">
        <f t="shared" si="6"/>
        <v>Master/Chief Officer</v>
      </c>
    </row>
    <row r="81" spans="2:4">
      <c r="B81" s="34" t="s">
        <v>357</v>
      </c>
      <c r="C81" s="34" t="s">
        <v>358</v>
      </c>
      <c r="D81" s="2" t="str">
        <f t="shared" si="6"/>
        <v>CCIC Surveyor</v>
      </c>
    </row>
    <row r="82" spans="2:4">
      <c r="B82" s="33" t="s">
        <v>359</v>
      </c>
      <c r="C82" s="33" t="s">
        <v>360</v>
      </c>
      <c r="D82" s="2" t="str">
        <f t="shared" si="6"/>
        <v>Name</v>
      </c>
    </row>
    <row r="83" spans="2:4">
      <c r="B83" s="34" t="s">
        <v>361</v>
      </c>
      <c r="C83" s="34" t="s">
        <v>362</v>
      </c>
      <c r="D83" s="2" t="str">
        <f t="shared" si="6"/>
        <v>Signature</v>
      </c>
    </row>
    <row r="84" spans="2:4">
      <c r="B84" s="33" t="s">
        <v>363</v>
      </c>
      <c r="C84" s="33" t="s">
        <v>364</v>
      </c>
      <c r="D84" s="2" t="str">
        <f t="shared" si="6"/>
        <v>Authorized Signature (S)</v>
      </c>
    </row>
    <row r="85" spans="2:4">
      <c r="B85" s="34" t="s">
        <v>74</v>
      </c>
      <c r="C85" s="34" t="s">
        <v>75</v>
      </c>
      <c r="D85" s="2" t="str">
        <f t="shared" si="6"/>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spans="1:3">
      <c r="A86" s="27"/>
      <c r="B86" s="28"/>
      <c r="C86" s="29"/>
    </row>
    <row r="87" spans="1:3">
      <c r="A87" s="27"/>
      <c r="B87" s="28"/>
      <c r="C87" s="29"/>
    </row>
    <row r="89" spans="2:13">
      <c r="B89" s="47"/>
      <c r="C89" s="47"/>
      <c r="D89" s="47"/>
      <c r="E89" s="47"/>
      <c r="F89" s="47"/>
      <c r="G89" s="47"/>
      <c r="H89" s="47"/>
      <c r="I89" s="47"/>
      <c r="J89" s="47"/>
      <c r="K89" s="46" t="str">
        <f>D2</f>
        <v>JOB NO.:</v>
      </c>
      <c r="L89" s="47" t="str">
        <f>单号</f>
        <v>这就是爱</v>
      </c>
      <c r="M89" s="47"/>
    </row>
    <row r="90" spans="2:13">
      <c r="B90" s="47"/>
      <c r="C90" s="47"/>
      <c r="D90" s="47"/>
      <c r="E90" s="47"/>
      <c r="F90" s="47"/>
      <c r="G90" s="47"/>
      <c r="H90" s="47"/>
      <c r="I90" s="47"/>
      <c r="J90" s="47"/>
      <c r="K90" s="46" t="str">
        <f>D3</f>
        <v>DATE OF REPORT:</v>
      </c>
      <c r="L90" s="47" t="str">
        <f>报告日期</f>
        <v>YYYY-MM-DD</v>
      </c>
      <c r="M90" s="47"/>
    </row>
    <row r="91" ht="6" customHeight="1" spans="2:13">
      <c r="B91" s="47"/>
      <c r="C91" s="47"/>
      <c r="D91" s="47"/>
      <c r="E91" s="47"/>
      <c r="F91" s="47"/>
      <c r="G91" s="47"/>
      <c r="H91" s="47"/>
      <c r="I91" s="47"/>
      <c r="J91" s="47"/>
      <c r="K91" s="47"/>
      <c r="L91" s="47"/>
      <c r="M91" s="47"/>
    </row>
    <row r="92" ht="6" customHeight="1" spans="2:13">
      <c r="B92" s="47"/>
      <c r="C92" s="47"/>
      <c r="D92" s="47"/>
      <c r="E92" s="47"/>
      <c r="F92" s="47"/>
      <c r="G92" s="47"/>
      <c r="H92" s="47"/>
      <c r="I92" s="47"/>
      <c r="J92" s="47"/>
      <c r="K92" s="47"/>
      <c r="L92" s="47"/>
      <c r="M92" s="47"/>
    </row>
    <row r="93" spans="1:13">
      <c r="A93" t="b">
        <v>0</v>
      </c>
      <c r="B93" s="73" t="str">
        <f>G75</f>
        <v>DISCHARGING SUMMARY REPORT</v>
      </c>
      <c r="C93" s="73"/>
      <c r="D93" s="73"/>
      <c r="E93" s="73"/>
      <c r="F93" s="74"/>
      <c r="G93" s="75" t="str">
        <f t="shared" ref="G93:G99" si="7">D4</f>
        <v>APPLICANT</v>
      </c>
      <c r="H93" s="76"/>
      <c r="I93" s="88" t="str">
        <f>客户名</f>
        <v>PETROCHINA </v>
      </c>
      <c r="J93" s="89"/>
      <c r="K93" s="89"/>
      <c r="L93" s="89"/>
      <c r="M93" s="90"/>
    </row>
    <row r="94" ht="15" customHeight="1" spans="1:14">
      <c r="A94" t="b">
        <v>0</v>
      </c>
      <c r="B94" s="73"/>
      <c r="C94" s="73"/>
      <c r="D94" s="73"/>
      <c r="E94" s="73"/>
      <c r="F94" s="74"/>
      <c r="G94" s="75" t="str">
        <f t="shared" si="7"/>
        <v>CLIENT'S REF. NO.</v>
      </c>
      <c r="H94" s="76"/>
      <c r="I94" s="91" t="str">
        <f>客户编号</f>
        <v>说也说不清楚</v>
      </c>
      <c r="J94" s="92"/>
      <c r="K94" s="92"/>
      <c r="L94" s="92"/>
      <c r="M94" s="93"/>
      <c r="N94" t="s">
        <v>365</v>
      </c>
    </row>
    <row r="95" spans="2:13">
      <c r="B95" s="73"/>
      <c r="C95" s="73"/>
      <c r="D95" s="73"/>
      <c r="E95" s="73"/>
      <c r="F95" s="74"/>
      <c r="G95" s="75" t="str">
        <f t="shared" si="7"/>
        <v>COMMODITY</v>
      </c>
      <c r="H95" s="76"/>
      <c r="I95" s="91" t="str">
        <f>品名</f>
        <v>Crude Oil6658</v>
      </c>
      <c r="J95" s="92"/>
      <c r="K95" s="92"/>
      <c r="L95" s="92"/>
      <c r="M95" s="93"/>
    </row>
    <row r="96" spans="1:13">
      <c r="A96" t="b">
        <v>0</v>
      </c>
      <c r="B96" s="73"/>
      <c r="C96" s="73"/>
      <c r="D96" s="73"/>
      <c r="E96" s="73"/>
      <c r="F96" s="74"/>
      <c r="G96" s="75" t="str">
        <f t="shared" si="7"/>
        <v>VESSEL</v>
      </c>
      <c r="H96" s="76"/>
      <c r="I96" s="91" t="str">
        <f>船名</f>
        <v>MT ZhenYuanefdasdf</v>
      </c>
      <c r="J96" s="92"/>
      <c r="K96" s="92"/>
      <c r="L96" s="92"/>
      <c r="M96" s="93"/>
    </row>
    <row r="97" spans="1:13">
      <c r="A97" t="b">
        <v>0</v>
      </c>
      <c r="B97" s="73"/>
      <c r="C97" s="73"/>
      <c r="D97" s="73"/>
      <c r="E97" s="73"/>
      <c r="F97" s="74"/>
      <c r="G97" s="75" t="str">
        <f t="shared" si="7"/>
        <v>PORT</v>
      </c>
      <c r="H97" s="76"/>
      <c r="I97" s="91" t="str">
        <f>港口名</f>
        <v>Dalian, Chinafsadfa</v>
      </c>
      <c r="J97" s="92"/>
      <c r="K97" s="92"/>
      <c r="L97" s="92"/>
      <c r="M97" s="93"/>
    </row>
    <row r="98" spans="1:13">
      <c r="A98" t="b">
        <v>0</v>
      </c>
      <c r="B98" s="73"/>
      <c r="C98" s="73"/>
      <c r="D98" s="73"/>
      <c r="E98" s="73"/>
      <c r="F98" s="74"/>
      <c r="G98" s="75" t="str">
        <f t="shared" si="7"/>
        <v>TERMINAL</v>
      </c>
      <c r="H98" s="76"/>
      <c r="I98" s="91" t="str">
        <f>油库名</f>
        <v>Dalian Chinaoil, China1325415</v>
      </c>
      <c r="J98" s="92"/>
      <c r="K98" s="92"/>
      <c r="L98" s="92"/>
      <c r="M98" s="93"/>
    </row>
    <row r="99" spans="2:13">
      <c r="B99" s="73"/>
      <c r="C99" s="73"/>
      <c r="D99" s="73"/>
      <c r="E99" s="73"/>
      <c r="F99" s="74"/>
      <c r="G99" s="75" t="str">
        <f t="shared" si="7"/>
        <v>DATE OF INSPECTION</v>
      </c>
      <c r="H99" s="76"/>
      <c r="I99" s="91" t="str">
        <f>检验日期</f>
        <v>YYYY-MM-DD To YYYY-MM-DD</v>
      </c>
      <c r="J99" s="92"/>
      <c r="K99" s="92"/>
      <c r="L99" s="92"/>
      <c r="M99" s="93"/>
    </row>
    <row r="100" ht="6" customHeight="1" spans="2:13">
      <c r="B100" s="47"/>
      <c r="C100" s="47"/>
      <c r="D100" s="47"/>
      <c r="E100" s="47"/>
      <c r="F100" s="47"/>
      <c r="G100" s="47"/>
      <c r="H100" s="47"/>
      <c r="I100" s="47"/>
      <c r="J100" s="47"/>
      <c r="K100" s="47"/>
      <c r="L100" s="47"/>
      <c r="M100" s="47"/>
    </row>
    <row r="101" spans="2:13">
      <c r="B101" s="47"/>
      <c r="C101" s="47"/>
      <c r="D101" s="47"/>
      <c r="E101" s="47"/>
      <c r="F101" s="47"/>
      <c r="G101" s="47"/>
      <c r="H101" s="77" t="str">
        <f>G37</f>
        <v>FROM</v>
      </c>
      <c r="I101" s="77"/>
      <c r="J101" s="77" t="str">
        <f>G38</f>
        <v>TO</v>
      </c>
      <c r="K101" s="77"/>
      <c r="L101" s="47"/>
      <c r="M101" s="47"/>
    </row>
    <row r="102" s="39" customFormat="1" ht="11.25" spans="3:19">
      <c r="C102" s="78" t="str">
        <f>G40</f>
        <v>TIME LOG</v>
      </c>
      <c r="D102" s="47"/>
      <c r="E102" s="47"/>
      <c r="F102" s="47"/>
      <c r="G102" s="47"/>
      <c r="H102" s="79" t="str">
        <f>G35</f>
        <v>Date</v>
      </c>
      <c r="I102" s="79" t="str">
        <f>G36</f>
        <v>Time</v>
      </c>
      <c r="J102" s="79" t="str">
        <f>H102</f>
        <v>Date</v>
      </c>
      <c r="K102" s="79" t="str">
        <f>I102</f>
        <v>Time</v>
      </c>
      <c r="L102" s="47"/>
      <c r="M102" s="47"/>
      <c r="S102" s="102"/>
    </row>
    <row r="103" ht="12.45" customHeight="1" spans="3:25">
      <c r="C103" s="80" t="str">
        <f>G6</f>
        <v>End of sea passage</v>
      </c>
      <c r="D103" s="47"/>
      <c r="E103" s="47"/>
      <c r="F103" s="47"/>
      <c r="G103" s="47"/>
      <c r="H103" s="81" t="str">
        <f>IF('Time Log'!P108="","",'Time Log'!P108)</f>
        <v>--</v>
      </c>
      <c r="I103" s="81" t="str">
        <f>IF('Time Log'!Q108="","",'Time Log'!Q108)</f>
        <v>--</v>
      </c>
      <c r="J103" s="81" t="str">
        <f>IF('Time Log'!R108="","",'Time Log'!R108)</f>
        <v/>
      </c>
      <c r="K103" s="81" t="str">
        <f>IF('Time Log'!S108="","",'Time Log'!S108)</f>
        <v/>
      </c>
      <c r="L103" s="47"/>
      <c r="M103" s="47"/>
      <c r="U103" s="737" t="str">
        <f>G64</f>
        <v>Outturn :</v>
      </c>
      <c r="V103" s="737"/>
      <c r="W103" s="737"/>
      <c r="X103" s="737"/>
      <c r="Y103" s="737"/>
    </row>
    <row r="104" ht="12.45" customHeight="1" spans="3:13">
      <c r="C104" s="80" t="str">
        <f>G7</f>
        <v>Notice of readiness tendered</v>
      </c>
      <c r="D104" s="47"/>
      <c r="E104" s="47"/>
      <c r="F104" s="47"/>
      <c r="G104" s="47"/>
      <c r="H104" s="81" t="str">
        <f>IF('Time Log'!P109="","",'Time Log'!P109)</f>
        <v>--</v>
      </c>
      <c r="I104" s="81" t="str">
        <f>IF('Time Log'!Q109="","",'Time Log'!Q109)</f>
        <v>--</v>
      </c>
      <c r="J104" s="81" t="str">
        <f>IF('Time Log'!R109="","",'Time Log'!R109)</f>
        <v/>
      </c>
      <c r="K104" s="81" t="str">
        <f>IF('Time Log'!S109="","",'Time Log'!S109)</f>
        <v/>
      </c>
      <c r="L104" s="47"/>
      <c r="M104" s="47"/>
    </row>
    <row r="105" ht="12.45" customHeight="1" spans="3:19">
      <c r="C105" s="80" t="str">
        <f>G8</f>
        <v>Notice of readiness accepted</v>
      </c>
      <c r="D105" s="47"/>
      <c r="E105" s="47"/>
      <c r="F105" s="47"/>
      <c r="G105" s="47"/>
      <c r="H105" s="81" t="str">
        <f>IF('Time Log'!P110="","",'Time Log'!P110)</f>
        <v>--</v>
      </c>
      <c r="I105" s="81" t="str">
        <f>IF('Time Log'!Q110="","",'Time Log'!Q110)</f>
        <v>--</v>
      </c>
      <c r="J105" s="81" t="str">
        <f>IF('Time Log'!R110="","",'Time Log'!R110)</f>
        <v/>
      </c>
      <c r="K105" s="81" t="str">
        <f>IF('Time Log'!S110="","",'Time Log'!S110)</f>
        <v/>
      </c>
      <c r="L105" s="47"/>
      <c r="M105" s="47"/>
      <c r="S105" s="50"/>
    </row>
    <row r="106" ht="12.45" customHeight="1" spans="3:13">
      <c r="C106" s="80" t="str">
        <f>G9</f>
        <v>Pilot on board</v>
      </c>
      <c r="D106" s="47"/>
      <c r="E106" s="47"/>
      <c r="F106" s="47"/>
      <c r="G106" s="47"/>
      <c r="H106" s="81" t="str">
        <f>IF('Time Log'!P111="","",'Time Log'!P111)</f>
        <v>--</v>
      </c>
      <c r="I106" s="81" t="str">
        <f>IF('Time Log'!Q111="","",'Time Log'!Q111)</f>
        <v>--</v>
      </c>
      <c r="J106" s="81" t="str">
        <f>IF('Time Log'!R111="","",'Time Log'!R111)</f>
        <v/>
      </c>
      <c r="K106" s="81" t="str">
        <f>IF('Time Log'!S111="","",'Time Log'!S111)</f>
        <v/>
      </c>
      <c r="L106" s="47"/>
      <c r="M106" s="47"/>
    </row>
    <row r="107" ht="12.45" customHeight="1" spans="3:13">
      <c r="C107" s="80" t="str">
        <f>G12</f>
        <v>All fast</v>
      </c>
      <c r="D107" s="47"/>
      <c r="E107" s="47"/>
      <c r="F107" s="47"/>
      <c r="G107" s="47"/>
      <c r="H107" s="81" t="str">
        <f>IF('Time Log'!P114="","",'Time Log'!P114)</f>
        <v>--</v>
      </c>
      <c r="I107" s="81" t="str">
        <f>IF('Time Log'!Q114="","",'Time Log'!Q114)</f>
        <v>--</v>
      </c>
      <c r="J107" s="81" t="str">
        <f>IF('Time Log'!R114="","",'Time Log'!R114)</f>
        <v/>
      </c>
      <c r="K107" s="81" t="str">
        <f>IF('Time Log'!S114="","",'Time Log'!S114)</f>
        <v/>
      </c>
      <c r="L107" s="47"/>
      <c r="M107" s="47"/>
    </row>
    <row r="108" ht="12.45" customHeight="1" spans="3:13">
      <c r="C108" s="80" t="str">
        <f>IF('Time Log'!arm=TRUE,G44,G45)</f>
        <v>Arm(s) connected</v>
      </c>
      <c r="D108" s="47"/>
      <c r="E108" s="47"/>
      <c r="F108" s="47"/>
      <c r="G108" s="47"/>
      <c r="H108" s="81" t="str">
        <f>IF('Time Log'!P121="","",'Time Log'!P121)</f>
        <v/>
      </c>
      <c r="I108" s="81" t="str">
        <f>IF('Time Log'!Q121="","",'Time Log'!Q121)</f>
        <v/>
      </c>
      <c r="J108" s="81" t="str">
        <f>IF('Time Log'!R121="","",'Time Log'!R121)</f>
        <v/>
      </c>
      <c r="K108" s="81" t="str">
        <f>IF('Time Log'!S121="","",'Time Log'!S121)</f>
        <v/>
      </c>
      <c r="L108" s="47"/>
      <c r="M108" s="47"/>
    </row>
    <row r="109" ht="12.45" customHeight="1" spans="3:13">
      <c r="C109" s="80" t="str">
        <f>G21</f>
        <v>Commenced discharge</v>
      </c>
      <c r="D109" s="47"/>
      <c r="E109" s="47"/>
      <c r="F109" s="47"/>
      <c r="G109" s="47"/>
      <c r="H109" s="81" t="str">
        <f>IF('Time Log'!P123="","",'Time Log'!P123)</f>
        <v/>
      </c>
      <c r="I109" s="81" t="str">
        <f>IF('Time Log'!Q123="","",'Time Log'!Q123)</f>
        <v/>
      </c>
      <c r="J109" s="81" t="str">
        <f>IF('Time Log'!R123="","",'Time Log'!R123)</f>
        <v>--</v>
      </c>
      <c r="K109" s="81" t="str">
        <f>IF('Time Log'!S123="","",'Time Log'!S123)</f>
        <v>--</v>
      </c>
      <c r="L109" s="47"/>
      <c r="M109" s="47"/>
    </row>
    <row r="110" ht="12.45" customHeight="1" spans="3:13">
      <c r="C110" s="80" t="str">
        <f>G24</f>
        <v>Completed discharge</v>
      </c>
      <c r="D110" s="47"/>
      <c r="E110" s="47"/>
      <c r="F110" s="47"/>
      <c r="G110" s="47"/>
      <c r="H110" s="81" t="str">
        <f>IF('Time Log'!P126="","",'Time Log'!P126)</f>
        <v>--</v>
      </c>
      <c r="I110" s="81" t="str">
        <f>IF('Time Log'!Q126="","",'Time Log'!Q126)</f>
        <v>--</v>
      </c>
      <c r="J110" s="81" t="str">
        <f>IF('Time Log'!R126="","",'Time Log'!R126)</f>
        <v/>
      </c>
      <c r="K110" s="81" t="str">
        <f>IF('Time Log'!S126="","",'Time Log'!S126)</f>
        <v/>
      </c>
      <c r="L110" s="47"/>
      <c r="M110" s="47"/>
    </row>
    <row r="111" ht="12.45" customHeight="1" spans="3:13">
      <c r="C111" s="80" t="str">
        <f>IF('Time Log'!arm=TRUE,G46,G47)</f>
        <v>Arm(s) disconnected</v>
      </c>
      <c r="D111" s="47"/>
      <c r="E111" s="47"/>
      <c r="F111" s="47"/>
      <c r="G111" s="47"/>
      <c r="H111" s="81" t="str">
        <f>IF('Time Log'!P128="","",'Time Log'!P128)</f>
        <v/>
      </c>
      <c r="I111" s="81" t="str">
        <f>IF('Time Log'!Q128="","",'Time Log'!Q128)</f>
        <v/>
      </c>
      <c r="J111" s="81" t="str">
        <f>IF('Time Log'!R128="","",'Time Log'!R128)</f>
        <v/>
      </c>
      <c r="K111" s="81" t="str">
        <f>IF('Time Log'!S128="","",'Time Log'!S128)</f>
        <v/>
      </c>
      <c r="L111" s="47"/>
      <c r="M111" s="47"/>
    </row>
    <row r="112" ht="12.45" customHeight="1" spans="3:13">
      <c r="C112" s="80" t="str">
        <f>G34</f>
        <v>Estimated sailing time</v>
      </c>
      <c r="D112" s="47"/>
      <c r="E112" s="47"/>
      <c r="F112" s="47"/>
      <c r="H112" s="81" t="str">
        <f>IF('Time Log'!P142="","",'Time Log'!P142)</f>
        <v>--</v>
      </c>
      <c r="I112" s="81" t="str">
        <f>IF('Time Log'!Q142="","",'Time Log'!Q142)</f>
        <v>--</v>
      </c>
      <c r="J112" s="81" t="str">
        <f>IF('Time Log'!R142="","",'Time Log'!R142)</f>
        <v/>
      </c>
      <c r="K112" s="81" t="str">
        <f>IF('Time Log'!S142="","",'Time Log'!S142)</f>
        <v/>
      </c>
      <c r="L112" s="47"/>
      <c r="M112" s="47"/>
    </row>
    <row r="113" ht="10.8" customHeight="1" spans="3:13">
      <c r="C113" s="70" t="str">
        <f>G48</f>
        <v>QUANTITIES</v>
      </c>
      <c r="D113" s="47"/>
      <c r="E113" s="47"/>
      <c r="F113" s="47"/>
      <c r="G113" s="47"/>
      <c r="I113" s="94"/>
      <c r="K113" s="47"/>
      <c r="L113" s="47"/>
      <c r="M113" s="47"/>
    </row>
    <row r="114" ht="10.8" customHeight="1" spans="3:13">
      <c r="C114" s="80" t="str">
        <f>G73</f>
        <v>VCF table used at discharge port</v>
      </c>
      <c r="D114" s="47"/>
      <c r="E114" s="47"/>
      <c r="F114" s="82" t="str">
        <f>vcfTab</f>
        <v>T-60B</v>
      </c>
      <c r="G114" s="83" t="str">
        <f>G74</f>
        <v>VEF</v>
      </c>
      <c r="H114" s="82">
        <f>VEF!R127</f>
        <v>0.9986</v>
      </c>
      <c r="I114" s="95" t="str">
        <f>VEF!N128</f>
        <v/>
      </c>
      <c r="J114" s="95"/>
      <c r="K114" s="47"/>
      <c r="L114" s="47"/>
      <c r="M114" s="47"/>
    </row>
    <row r="115" ht="11.4" customHeight="1" spans="3:13">
      <c r="C115" s="70" t="str">
        <f>G71</f>
        <v>- Gross Quantity</v>
      </c>
      <c r="D115" s="47"/>
      <c r="E115" s="47"/>
      <c r="F115" s="47"/>
      <c r="G115" s="47"/>
      <c r="H115" s="84" t="str">
        <f>IF(LEFT(vcfTab,4)="T-54",G67,IF(LEFT(vcfTab,4)="T-60",G68,G66))</f>
        <v>m³ (20℃)</v>
      </c>
      <c r="I115" s="84" t="str">
        <f>IF(LEFT(vcfTab,4)="T-54",G69,IF(LEFT(vcfTab,4)="T-60",G69,G70))</f>
        <v>MT (air)</v>
      </c>
      <c r="J115" s="84" t="str">
        <f>IF(LEFT(vcfTab,4)="T-54",G66,IF(LEFT(vcfTab,4)="T-60",G66,G67))</f>
        <v>Bbls (60℉)</v>
      </c>
      <c r="K115" s="84" t="str">
        <f>IF(LEFT(vcfTab,4)="T-54",G70,IF(LEFT(vcfTab,4)="T-60",G70,G69))</f>
        <v>LT (air)</v>
      </c>
      <c r="L115" s="47"/>
      <c r="M115" s="47"/>
    </row>
    <row r="116" ht="12" customHeight="1" spans="3:13">
      <c r="C116" s="80" t="str">
        <f>$G$49</f>
        <v>Bill of Lading</v>
      </c>
      <c r="D116" s="47"/>
      <c r="E116" s="47"/>
      <c r="F116" s="47"/>
      <c r="G116" s="47"/>
      <c r="H116" s="85">
        <v>2098908</v>
      </c>
      <c r="I116" s="85">
        <v>269416</v>
      </c>
      <c r="J116" s="85" t="s">
        <v>366</v>
      </c>
      <c r="K116" s="85">
        <v>273740</v>
      </c>
      <c r="L116" s="47"/>
      <c r="M116" s="47"/>
    </row>
    <row r="117" ht="12" customHeight="1" spans="3:13">
      <c r="C117" s="80" t="str">
        <f>$G$50</f>
        <v>Vessel Tank Quantity After Load</v>
      </c>
      <c r="D117" s="47"/>
      <c r="E117" s="47"/>
      <c r="F117" s="47"/>
      <c r="G117" s="47"/>
      <c r="H117" s="85">
        <v>2093000</v>
      </c>
      <c r="I117" s="85">
        <v>269502</v>
      </c>
      <c r="J117" s="85" t="s">
        <v>366</v>
      </c>
      <c r="K117" s="85">
        <v>273838</v>
      </c>
      <c r="L117" s="47"/>
      <c r="M117" s="47"/>
    </row>
    <row r="118" ht="12" customHeight="1" spans="3:13">
      <c r="C118" s="80" t="str">
        <f>$G$51</f>
        <v>Vessel Tanks Quantity Upon Arrival</v>
      </c>
      <c r="D118" s="47"/>
      <c r="E118" s="47"/>
      <c r="F118" s="47"/>
      <c r="G118" s="47"/>
      <c r="H118" s="82">
        <f>H51</f>
        <v>48120.731</v>
      </c>
      <c r="I118" s="82">
        <f>I51</f>
        <v>39386.818</v>
      </c>
      <c r="J118" s="82">
        <f>INDEX($G$48:$N$61,MATCH(C118,$G$48:$G$61,0),MATCH(J115,$G$48:$N$48,0))</f>
        <v>301466.7</v>
      </c>
      <c r="K118" s="82">
        <f>INDEX($G$48:$N$61,MATCH(C118,$G$48:$G$61,0),MATCH(K115,$G$48:$N$48,0))</f>
        <v>38764.743</v>
      </c>
      <c r="L118" s="47"/>
      <c r="M118" s="47"/>
    </row>
    <row r="119" ht="12" customHeight="1" spans="3:13">
      <c r="C119" s="80" t="str">
        <f>$G$62</f>
        <v>In-transit Difference</v>
      </c>
      <c r="D119" s="47"/>
      <c r="E119" s="47"/>
      <c r="F119" s="47"/>
      <c r="G119" s="47"/>
      <c r="H119" s="82">
        <f>IF(H117="","",IF(ISNUMBER(H117)=FALSE,"N/A",H118-H117))</f>
        <v>-2044879.269</v>
      </c>
      <c r="I119" s="82">
        <f t="shared" ref="I119:K119" si="8">IF(I117="","",IF(ISNUMBER(I117)=FALSE,"N/A",I118-I117))</f>
        <v>-230115.182</v>
      </c>
      <c r="J119" s="82" t="str">
        <f t="shared" si="8"/>
        <v>N/A</v>
      </c>
      <c r="K119" s="82">
        <f t="shared" si="8"/>
        <v>-235073.257</v>
      </c>
      <c r="L119" s="47"/>
      <c r="M119" s="47"/>
    </row>
    <row r="120" ht="12" customHeight="1" spans="3:13">
      <c r="C120" s="80" t="str">
        <f>$G$63</f>
        <v>Difference Percentage</v>
      </c>
      <c r="D120" s="47"/>
      <c r="E120" s="47"/>
      <c r="F120" s="47"/>
      <c r="G120" s="47"/>
      <c r="H120" s="87">
        <f>IF(H117="","",IF(ISNUMBER(H117)=FALSE,"N/A",H119/H117))</f>
        <v>-0.977008728619207</v>
      </c>
      <c r="I120" s="87">
        <f t="shared" ref="I120:K120" si="9">IF(I117="","",IF(ISNUMBER(I117)=FALSE,"N/A",I119/I117))</f>
        <v>-0.853853336895459</v>
      </c>
      <c r="J120" s="734" t="str">
        <f t="shared" si="9"/>
        <v>N/A</v>
      </c>
      <c r="K120" s="87">
        <f t="shared" si="9"/>
        <v>-0.858439139199088</v>
      </c>
      <c r="L120" s="47"/>
      <c r="M120" s="47"/>
    </row>
    <row r="121" ht="12" customHeight="1" spans="3:13">
      <c r="C121" s="80" t="str">
        <f>$G$61</f>
        <v>R.O.B. Quantity</v>
      </c>
      <c r="D121" s="47"/>
      <c r="E121" s="47"/>
      <c r="F121" s="47"/>
      <c r="G121" s="47"/>
      <c r="H121" s="82">
        <f>IF(H61="","",H61)</f>
        <v>23</v>
      </c>
      <c r="I121" s="735"/>
      <c r="J121" s="736"/>
      <c r="K121" s="736"/>
      <c r="L121" s="47"/>
      <c r="M121" s="47"/>
    </row>
    <row r="122" ht="12" customHeight="1" spans="3:13">
      <c r="C122" s="80" t="str">
        <f>$G$53</f>
        <v>Vessel Discharged Quantity</v>
      </c>
      <c r="D122" s="47"/>
      <c r="E122" s="47"/>
      <c r="F122" s="47"/>
      <c r="G122" s="47"/>
      <c r="H122" s="82">
        <f>INDEX($G$48:$N$61,MATCH(C122,$G$48:$G$61,0),MATCH(H115,$G$48:$N$48,0))</f>
        <v>48097.731</v>
      </c>
      <c r="I122" s="82">
        <f>INDEX($G$48:$N$61,MATCH(C122,$G$48:$G$61,0),MATCH(I115,$G$48:$N$48,0))</f>
        <v>39367.993</v>
      </c>
      <c r="J122" s="82">
        <f>INDEX($G$48:$N$61,MATCH(C122,$G$48:$G$61,0),MATCH(J115,$G$48:$N$48,0))</f>
        <v>301322.62</v>
      </c>
      <c r="K122" s="82">
        <f>INDEX($G$48:$N$61,MATCH(C122,$G$48:$G$61,0),MATCH(K115,$G$48:$N$48))</f>
        <v>301322.62</v>
      </c>
      <c r="L122" s="47"/>
      <c r="M122" s="47"/>
    </row>
    <row r="123" ht="12" customHeight="1" spans="3:13">
      <c r="C123" s="80" t="str">
        <f>$G$54</f>
        <v>*Vessel Discharged Quantity Applied VEF</v>
      </c>
      <c r="D123" s="47"/>
      <c r="E123" s="47"/>
      <c r="F123" s="47"/>
      <c r="G123" s="47"/>
      <c r="H123" s="82">
        <f>INDEX($G$48:$N$61,MATCH(C123,$G$48:$G$61,0),MATCH(H115,$G$48:$N$48,0))</f>
        <v>48165.162</v>
      </c>
      <c r="I123" s="82">
        <f>INDEX($G$48:$N$61,MATCH(C123,$G$48:$G$61,0),MATCH(I115,$G$48:$N$48,0))</f>
        <v>39423.185</v>
      </c>
      <c r="J123" s="82">
        <f>INDEX($G$48:$N$61,MATCH(C123,$G$48:$G$61,0),MATCH(J115,$G$48:$N$48,0))</f>
        <v>301745.06</v>
      </c>
      <c r="K123" s="82">
        <f>INDEX($G$48:$N$61,MATCH(C123,$G$48:$G$61,0),MATCH(K115,$G$48:$N$48,0))</f>
        <v>38800.536</v>
      </c>
      <c r="L123" s="47"/>
      <c r="M123" s="47"/>
    </row>
    <row r="124" ht="12" customHeight="1" spans="3:13">
      <c r="C124" s="80" t="str">
        <f>$G$56</f>
        <v>Shore Tanks Received Quantity</v>
      </c>
      <c r="D124" s="47"/>
      <c r="E124" s="47"/>
      <c r="F124" s="47"/>
      <c r="G124" s="47"/>
      <c r="H124" s="82" t="e">
        <f>INDEX($G$48:$N$61,MATCH(C124,$G$48:$G$61,0),MATCH(H115,$G$48:$N$48,0))</f>
        <v>#NAME?</v>
      </c>
      <c r="I124" s="82" t="e">
        <f>INDEX($G$48:$N$61,MATCH(C124,$G$48:$G$61,0),MATCH(I115,$G$48:$N$48,0))</f>
        <v>#NAME?</v>
      </c>
      <c r="J124" s="82" t="e">
        <f>INDEX($G$48:$N$61,MATCH(C124,$G$48:$G$61,0),MATCH(J115,$G$48:$N$48,0))</f>
        <v>#NAME?</v>
      </c>
      <c r="K124" s="82" t="e">
        <f>INDEX($G$48:$N$61,MATCH(C124,$G$48:$G$61,0),MATCH(K115,$G$48:$N$48,0))</f>
        <v>#NAME?</v>
      </c>
      <c r="L124" s="47"/>
      <c r="M124" s="47"/>
    </row>
    <row r="125" ht="12" customHeight="1" spans="3:13">
      <c r="C125" s="80" t="str">
        <f>$G$65</f>
        <v>Shore/Vessel Difference at Discharge Port</v>
      </c>
      <c r="D125" s="47"/>
      <c r="E125" s="47"/>
      <c r="F125" s="47"/>
      <c r="G125" s="47"/>
      <c r="H125" s="82" t="e">
        <f>IF(H124="","",H124-H122)</f>
        <v>#NAME?</v>
      </c>
      <c r="I125" s="82" t="e">
        <f t="shared" ref="I125:K125" si="10">IF(I124="","",I124-I122)</f>
        <v>#NAME?</v>
      </c>
      <c r="J125" s="82" t="e">
        <f t="shared" si="10"/>
        <v>#NAME?</v>
      </c>
      <c r="K125" s="82" t="e">
        <f t="shared" si="10"/>
        <v>#NAME?</v>
      </c>
      <c r="L125" s="47"/>
      <c r="M125" s="47"/>
    </row>
    <row r="126" ht="12" customHeight="1" spans="3:13">
      <c r="C126" s="80" t="str">
        <f>$G$63</f>
        <v>Difference Percentage</v>
      </c>
      <c r="D126" s="47"/>
      <c r="E126" s="47"/>
      <c r="F126" s="47"/>
      <c r="G126" s="47"/>
      <c r="H126" s="733" t="e">
        <f>IF(H122="","",H125/H122)</f>
        <v>#NAME?</v>
      </c>
      <c r="I126" s="733" t="e">
        <f t="shared" ref="I126:K126" si="11">IF(I122="","",I125/I122)</f>
        <v>#NAME?</v>
      </c>
      <c r="J126" s="733" t="e">
        <f t="shared" si="11"/>
        <v>#NAME?</v>
      </c>
      <c r="K126" s="733" t="e">
        <f t="shared" si="11"/>
        <v>#NAME?</v>
      </c>
      <c r="L126" s="47"/>
      <c r="M126" s="47"/>
    </row>
    <row r="127" ht="12" customHeight="1" spans="3:13">
      <c r="C127" s="86" t="str">
        <f>$G$64</f>
        <v>Outturn :</v>
      </c>
      <c r="D127" s="70" t="str">
        <f>$P$36</f>
        <v>*Vessel Discharged Quantity Applied VEF</v>
      </c>
      <c r="E127" s="70"/>
      <c r="F127" s="70"/>
      <c r="G127" s="309"/>
      <c r="H127" s="82">
        <f>INDEX($G$48:$N$61,MATCH(D127,$G$48:$G$61,0),MATCH(H115,$G$48:$N$48,0))</f>
        <v>48165.162</v>
      </c>
      <c r="I127" s="82">
        <f>INDEX($G$48:$N$61,MATCH(D127,$G$48:$G$61,0),MATCH(I115,$G$48:$N$48,0))</f>
        <v>39423.185</v>
      </c>
      <c r="J127" s="82">
        <f>INDEX($G$48:$N$61,MATCH(D127,$G$48:$G$61,0),MATCH(J115,$G$48:$N$48,0))</f>
        <v>301745.06</v>
      </c>
      <c r="K127" s="82">
        <f>INDEX($G$48:$N$61,MATCH(D127,$G$48:$G$61,0),MATCH(K115,$G$48:$N$48,0))</f>
        <v>38800.536</v>
      </c>
      <c r="L127" s="47"/>
      <c r="M127" s="47"/>
    </row>
    <row r="128" ht="12" customHeight="1" spans="3:13">
      <c r="C128" s="80" t="str">
        <f>IF(语言序号=1,"Diff. with "&amp;$G$49,"与"&amp;$G$49&amp;"数量差异")</f>
        <v>Diff. with Bill of Lading</v>
      </c>
      <c r="D128" s="47"/>
      <c r="E128" s="47"/>
      <c r="F128" s="47"/>
      <c r="G128" s="47"/>
      <c r="H128" s="82">
        <f>IF(H127="","",IF(ISNUMBER(H116)=FALSE,"N/A",H127-H116))</f>
        <v>-2050742.838</v>
      </c>
      <c r="I128" s="82">
        <f>IF(I127="","",IF(ISNUMBER(I116)=FALSE,"N/A",I127-I116))</f>
        <v>-229992.815</v>
      </c>
      <c r="J128" s="82" t="str">
        <f>IF(J127="","",IF(ISNUMBER(J116)=FALSE,"N/A",J127-J116))</f>
        <v>N/A</v>
      </c>
      <c r="K128" s="82">
        <f>IF(K127="","",IF(ISNUMBER(K116)=FALSE,"N/A",K127-K116))</f>
        <v>-234939.464</v>
      </c>
      <c r="L128" s="47"/>
      <c r="M128" s="47"/>
    </row>
    <row r="129" ht="12" customHeight="1" spans="3:13">
      <c r="C129" s="80" t="str">
        <f>$G$63</f>
        <v>Difference Percentage</v>
      </c>
      <c r="D129" s="47"/>
      <c r="E129" s="47"/>
      <c r="F129" s="47"/>
      <c r="G129" s="47"/>
      <c r="H129" s="87">
        <f>IF(H116="","",IF(ISNUMBER(H116)=FALSE,"N/A",H128/H116))</f>
        <v>-0.977052275754821</v>
      </c>
      <c r="I129" s="87">
        <f t="shared" ref="I129:K129" si="12">IF(I116="","",IF(ISNUMBER(I116)=FALSE,"N/A",I128/I116))</f>
        <v>-0.853671701012561</v>
      </c>
      <c r="J129" s="87" t="str">
        <f t="shared" si="12"/>
        <v>N/A</v>
      </c>
      <c r="K129" s="87">
        <f t="shared" si="12"/>
        <v>-0.858257704391028</v>
      </c>
      <c r="L129" s="47"/>
      <c r="M129" s="47"/>
    </row>
    <row r="130" ht="12" customHeight="1" spans="3:13">
      <c r="C130" s="80" t="str">
        <f>IF(语言序号=1,"Diff. with "&amp;$G$56,"与"&amp;$G$56&amp;"数量差异")</f>
        <v>Diff. with Shore Tanks Received Quantity</v>
      </c>
      <c r="D130" s="47"/>
      <c r="E130" s="47"/>
      <c r="F130" s="47"/>
      <c r="G130" s="47"/>
      <c r="H130" s="82" t="str">
        <f>IF(H127="","",IF(ISNUMBER(H124)=FALSE,"N/A",H127-H124))</f>
        <v>N/A</v>
      </c>
      <c r="I130" s="82" t="str">
        <f>IF(I127="","",IF(ISNUMBER(I124)=FALSE,"N/A",I127-I124))</f>
        <v>N/A</v>
      </c>
      <c r="J130" s="82" t="str">
        <f>IF(J127="","",IF(ISNUMBER(J124)=FALSE,"N/A",J127-J124))</f>
        <v>N/A</v>
      </c>
      <c r="K130" s="82" t="str">
        <f>IF(K127="","",IF(ISNUMBER(K124)=FALSE,"N/A",K127-K124))</f>
        <v>N/A</v>
      </c>
      <c r="L130" s="47"/>
      <c r="M130" s="47"/>
    </row>
    <row r="131" ht="12" customHeight="1" spans="3:13">
      <c r="C131" s="80" t="str">
        <f>$G$63</f>
        <v>Difference Percentage</v>
      </c>
      <c r="D131" s="47"/>
      <c r="E131" s="47"/>
      <c r="F131" s="47"/>
      <c r="G131" s="47"/>
      <c r="H131" s="87" t="e">
        <f>IF(H124="","",IF(ISNUMBER(H124)=FALSE,"N/A",H130/H124))</f>
        <v>#NAME?</v>
      </c>
      <c r="I131" s="87" t="e">
        <f t="shared" ref="I131:K131" si="13">IF(I124="","",IF(ISNUMBER(I124)=FALSE,"N/A",I130/I124))</f>
        <v>#NAME?</v>
      </c>
      <c r="J131" s="87" t="e">
        <f t="shared" si="13"/>
        <v>#NAME?</v>
      </c>
      <c r="K131" s="87" t="e">
        <f t="shared" si="13"/>
        <v>#NAME?</v>
      </c>
      <c r="L131" s="47"/>
      <c r="M131" s="47"/>
    </row>
    <row r="132" spans="2:13">
      <c r="B132" s="47"/>
      <c r="C132" s="70" t="str">
        <f>G72</f>
        <v>- Net Quantity</v>
      </c>
      <c r="D132" s="47"/>
      <c r="E132" s="47"/>
      <c r="F132" s="47"/>
      <c r="G132" s="47"/>
      <c r="H132" s="84" t="str">
        <f>H115</f>
        <v>m³ (20℃)</v>
      </c>
      <c r="I132" s="84" t="str">
        <f t="shared" ref="I132:K132" si="14">I115</f>
        <v>MT (air)</v>
      </c>
      <c r="J132" s="84" t="str">
        <f t="shared" si="14"/>
        <v>Bbls (60℉)</v>
      </c>
      <c r="K132" s="84" t="str">
        <f t="shared" si="14"/>
        <v>LT (air)</v>
      </c>
      <c r="L132" s="47"/>
      <c r="M132" s="47"/>
    </row>
    <row r="133" ht="12" customHeight="1" spans="2:13">
      <c r="B133" s="47"/>
      <c r="C133" s="80" t="str">
        <f>$G$49</f>
        <v>Bill of Lading</v>
      </c>
      <c r="D133" s="47"/>
      <c r="E133" s="47"/>
      <c r="F133" s="47"/>
      <c r="G133" s="47"/>
      <c r="H133" s="85">
        <v>2098908</v>
      </c>
      <c r="I133" s="85">
        <v>269416</v>
      </c>
      <c r="J133" s="85" t="s">
        <v>366</v>
      </c>
      <c r="K133" s="85">
        <v>273740</v>
      </c>
      <c r="L133" s="47"/>
      <c r="M133" s="47"/>
    </row>
    <row r="134" ht="12" customHeight="1" spans="2:13">
      <c r="B134" s="47"/>
      <c r="C134" s="80" t="str">
        <f>$G$50</f>
        <v>Vessel Tank Quantity After Load</v>
      </c>
      <c r="D134" s="47"/>
      <c r="E134" s="47"/>
      <c r="F134" s="47"/>
      <c r="G134" s="47"/>
      <c r="H134" s="85">
        <v>2093000</v>
      </c>
      <c r="I134" s="85">
        <v>269502</v>
      </c>
      <c r="J134" s="85" t="s">
        <v>366</v>
      </c>
      <c r="K134" s="85">
        <v>273838</v>
      </c>
      <c r="L134" s="47"/>
      <c r="M134" s="47"/>
    </row>
    <row r="135" ht="12" customHeight="1" spans="2:13">
      <c r="B135" s="47"/>
      <c r="C135" s="80" t="str">
        <f>$G$51</f>
        <v>Vessel Tanks Quantity Upon Arrival</v>
      </c>
      <c r="D135" s="47"/>
      <c r="E135" s="47"/>
      <c r="F135" s="47"/>
      <c r="G135" s="47"/>
      <c r="H135" s="82">
        <f>INDEX($O$48:$S$61,MATCH($C135,$G$48:$G$61,0),MATCH(H$132,$O$48:$S$48,0))</f>
        <v>47965.301</v>
      </c>
      <c r="I135" s="82">
        <f>INDEX($O$48:$S$61,MATCH($C135,$G$48:$G$61,0),MATCH(I$132,$O$48:$S$48,0))</f>
        <v>39259.599</v>
      </c>
      <c r="J135" s="82">
        <f>INDEX($O$48:$S$61,MATCH($C135,$G$48:$G$61,0),MATCH(J$132,$O$48:$S$48,0))</f>
        <v>300492.96</v>
      </c>
      <c r="K135" s="82">
        <f>INDEX($O$48:$S$61,MATCH($C135,$G$48:$G$61,0),MATCH(K$132,$O$48:$S$48,0))</f>
        <v>38639.533</v>
      </c>
      <c r="L135" s="47"/>
      <c r="M135" s="47"/>
    </row>
    <row r="136" ht="12" customHeight="1" spans="2:13">
      <c r="B136" s="47"/>
      <c r="C136" s="80" t="str">
        <f>$G$62</f>
        <v>In-transit Difference</v>
      </c>
      <c r="D136" s="47"/>
      <c r="E136" s="47"/>
      <c r="F136" s="47"/>
      <c r="G136" s="47"/>
      <c r="H136" s="82">
        <f>IF(H134="","",IF(ISNUMBER(H134)=FALSE,"N/A",H135-H134))</f>
        <v>-2045034.699</v>
      </c>
      <c r="I136" s="82">
        <f t="shared" ref="I136" si="15">IF(I134="","",IF(ISNUMBER(I134)=FALSE,"N/A",I135-I134))</f>
        <v>-230242.401</v>
      </c>
      <c r="J136" s="82" t="str">
        <f t="shared" ref="J136" si="16">IF(J134="","",IF(ISNUMBER(J134)=FALSE,"N/A",J135-J134))</f>
        <v>N/A</v>
      </c>
      <c r="K136" s="82">
        <f t="shared" ref="K136" si="17">IF(K134="","",IF(ISNUMBER(K134)=FALSE,"N/A",K135-K134))</f>
        <v>-235198.467</v>
      </c>
      <c r="L136" s="47"/>
      <c r="M136" s="47"/>
    </row>
    <row r="137" ht="12" customHeight="1" spans="2:13">
      <c r="B137" s="47"/>
      <c r="C137" s="80" t="str">
        <f>$G$63</f>
        <v>Difference Percentage</v>
      </c>
      <c r="D137" s="47"/>
      <c r="E137" s="47"/>
      <c r="F137" s="47"/>
      <c r="G137" s="47"/>
      <c r="H137" s="87">
        <f>IF(H134="","",IF(ISNUMBER(H134)=FALSE,"N/A",H136/H134))</f>
        <v>-0.977082990444338</v>
      </c>
      <c r="I137" s="87">
        <f t="shared" ref="I137" si="18">IF(I134="","",IF(ISNUMBER(I134)=FALSE,"N/A",I136/I134))</f>
        <v>-0.854325389050916</v>
      </c>
      <c r="J137" s="734" t="str">
        <f t="shared" ref="J137" si="19">IF(J134="","",IF(ISNUMBER(J134)=FALSE,"N/A",J136/J134))</f>
        <v>N/A</v>
      </c>
      <c r="K137" s="87">
        <f t="shared" ref="K137" si="20">IF(K134="","",IF(ISNUMBER(K134)=FALSE,"N/A",K136/K134))</f>
        <v>-0.858896380341662</v>
      </c>
      <c r="L137" s="47"/>
      <c r="M137" s="47"/>
    </row>
    <row r="138" ht="12" customHeight="1" spans="2:13">
      <c r="B138" s="47"/>
      <c r="C138" s="80" t="str">
        <f>$G$53</f>
        <v>Vessel Discharged Quantity</v>
      </c>
      <c r="D138" s="47"/>
      <c r="E138" s="47"/>
      <c r="F138" s="47"/>
      <c r="G138" s="47"/>
      <c r="H138" s="82">
        <f t="shared" ref="H138:K140" si="21">INDEX($O$48:$S$61,MATCH($C138,$G$48:$G$61,0),MATCH(H$132,$O$48:$S$48,0))</f>
        <v>47942.375</v>
      </c>
      <c r="I138" s="82">
        <f t="shared" si="21"/>
        <v>39240.834</v>
      </c>
      <c r="J138" s="82">
        <f t="shared" si="21"/>
        <v>300349.35</v>
      </c>
      <c r="K138" s="82">
        <f t="shared" si="21"/>
        <v>38621.065</v>
      </c>
      <c r="L138" s="47"/>
      <c r="M138" s="47"/>
    </row>
    <row r="139" ht="12" customHeight="1" spans="2:13">
      <c r="B139" s="47"/>
      <c r="C139" s="80" t="str">
        <f>$G$54</f>
        <v>*Vessel Discharged Quantity Applied VEF</v>
      </c>
      <c r="D139" s="47"/>
      <c r="E139" s="47"/>
      <c r="F139" s="47"/>
      <c r="G139" s="47"/>
      <c r="H139" s="82">
        <f t="shared" si="21"/>
        <v>48009.588</v>
      </c>
      <c r="I139" s="82">
        <f t="shared" si="21"/>
        <v>39295.848</v>
      </c>
      <c r="J139" s="82">
        <f t="shared" si="21"/>
        <v>300770.43</v>
      </c>
      <c r="K139" s="82">
        <f t="shared" si="21"/>
        <v>38675.21</v>
      </c>
      <c r="L139" s="47"/>
      <c r="M139" s="47"/>
    </row>
    <row r="140" ht="12" customHeight="1" spans="2:13">
      <c r="B140" s="47"/>
      <c r="C140" s="80" t="str">
        <f>$G$56</f>
        <v>Shore Tanks Received Quantity</v>
      </c>
      <c r="D140" s="47"/>
      <c r="E140" s="47"/>
      <c r="F140" s="47"/>
      <c r="G140" s="47"/>
      <c r="H140" s="82" t="e">
        <f t="shared" si="21"/>
        <v>#VALUE!</v>
      </c>
      <c r="I140" s="82" t="e">
        <f t="shared" si="21"/>
        <v>#VALUE!</v>
      </c>
      <c r="J140" s="82" t="e">
        <f t="shared" si="21"/>
        <v>#VALUE!</v>
      </c>
      <c r="K140" s="82" t="e">
        <f t="shared" si="21"/>
        <v>#VALUE!</v>
      </c>
      <c r="L140" s="47"/>
      <c r="M140" s="47"/>
    </row>
    <row r="141" ht="12" customHeight="1" spans="2:13">
      <c r="B141" s="47"/>
      <c r="C141" s="80" t="str">
        <f>$G$65</f>
        <v>Shore/Vessel Difference at Discharge Port</v>
      </c>
      <c r="D141" s="47"/>
      <c r="E141" s="47"/>
      <c r="F141" s="47"/>
      <c r="G141" s="47"/>
      <c r="H141" s="82" t="e">
        <f>IF(H140="","",H140-H138)</f>
        <v>#VALUE!</v>
      </c>
      <c r="I141" s="82" t="e">
        <f t="shared" ref="I141" si="22">IF(I140="","",I140-I138)</f>
        <v>#VALUE!</v>
      </c>
      <c r="J141" s="82" t="e">
        <f t="shared" ref="J141" si="23">IF(J140="","",J140-J138)</f>
        <v>#VALUE!</v>
      </c>
      <c r="K141" s="82" t="e">
        <f t="shared" ref="K141" si="24">IF(K140="","",K140-K138)</f>
        <v>#VALUE!</v>
      </c>
      <c r="L141" s="47"/>
      <c r="M141" s="47"/>
    </row>
    <row r="142" ht="12" customHeight="1" spans="2:13">
      <c r="B142" s="47"/>
      <c r="C142" s="80" t="str">
        <f>$G$63</f>
        <v>Difference Percentage</v>
      </c>
      <c r="D142" s="47"/>
      <c r="E142" s="47"/>
      <c r="F142" s="47"/>
      <c r="G142" s="47"/>
      <c r="H142" s="733" t="e">
        <f>IF(H138="","",H141/H138)</f>
        <v>#VALUE!</v>
      </c>
      <c r="I142" s="733" t="e">
        <f t="shared" ref="I142" si="25">IF(I138="","",I141/I138)</f>
        <v>#VALUE!</v>
      </c>
      <c r="J142" s="733" t="e">
        <f t="shared" ref="J142" si="26">IF(J138="","",J141/J138)</f>
        <v>#VALUE!</v>
      </c>
      <c r="K142" s="733" t="e">
        <f t="shared" ref="K142" si="27">IF(K138="","",K141/K138)</f>
        <v>#VALUE!</v>
      </c>
      <c r="L142" s="47"/>
      <c r="M142" s="47"/>
    </row>
    <row r="143" ht="12" customHeight="1" spans="2:13">
      <c r="B143" s="47"/>
      <c r="C143" s="86" t="str">
        <f>$G$64</f>
        <v>Outturn :</v>
      </c>
      <c r="D143" s="70" t="str">
        <f>$P$36</f>
        <v>*Vessel Discharged Quantity Applied VEF</v>
      </c>
      <c r="E143" s="70"/>
      <c r="F143" s="70"/>
      <c r="G143" s="70"/>
      <c r="H143" s="82">
        <f>INDEX($O$48:$S$61,MATCH($D143,$G$48:$G$61,0),MATCH(H$132,$O$48:$S$48,0))</f>
        <v>48009.588</v>
      </c>
      <c r="I143" s="82">
        <f t="shared" ref="I143:K143" si="28">INDEX($O$48:$S$61,MATCH($D143,$G$48:$G$61,0),MATCH(I$132,$O$48:$S$48,0))</f>
        <v>39295.848</v>
      </c>
      <c r="J143" s="82">
        <f t="shared" si="28"/>
        <v>300770.43</v>
      </c>
      <c r="K143" s="82">
        <f t="shared" si="28"/>
        <v>38675.21</v>
      </c>
      <c r="L143" s="47"/>
      <c r="M143" s="47"/>
    </row>
    <row r="144" ht="12" customHeight="1" spans="2:13">
      <c r="B144" s="47"/>
      <c r="C144" s="80" t="str">
        <f>IF(语言序号=1,"Diff. with "&amp;$G$49,"与"&amp;$G$49&amp;"数量差异")</f>
        <v>Diff. with Bill of Lading</v>
      </c>
      <c r="D144" s="47"/>
      <c r="E144" s="47"/>
      <c r="F144" s="47"/>
      <c r="G144" s="47"/>
      <c r="H144" s="82">
        <f>IF(H143="","",IF(ISNUMBER(H133)=FALSE,"N/A",H143-H133))</f>
        <v>-2050898.412</v>
      </c>
      <c r="I144" s="82">
        <f>IF(I143="","",IF(ISNUMBER(I133)=FALSE,"N/A",I143-I133))</f>
        <v>-230120.152</v>
      </c>
      <c r="J144" s="82" t="str">
        <f>IF(J143="","",IF(ISNUMBER(J133)=FALSE,"N/A",J143-J133))</f>
        <v>N/A</v>
      </c>
      <c r="K144" s="82">
        <f>IF(K143="","",IF(ISNUMBER(K133)=FALSE,"N/A",K143-K133))</f>
        <v>-235064.79</v>
      </c>
      <c r="L144" s="47"/>
      <c r="M144" s="47"/>
    </row>
    <row r="145" ht="12" customHeight="1" spans="2:13">
      <c r="B145" s="47"/>
      <c r="C145" s="80" t="str">
        <f>$G$63</f>
        <v>Difference Percentage</v>
      </c>
      <c r="D145" s="47"/>
      <c r="E145" s="47"/>
      <c r="F145" s="47"/>
      <c r="G145" s="47"/>
      <c r="H145" s="87">
        <f>IF(H133="","",IF(ISNUMBER(H133)=FALSE,"N/A",H144/H133))</f>
        <v>-0.977126397155092</v>
      </c>
      <c r="I145" s="87">
        <f>IF(I133="","",IF(ISNUMBER(I133)=FALSE,"N/A",I144/I133))</f>
        <v>-0.854144341835674</v>
      </c>
      <c r="J145" s="87" t="str">
        <f>IF(J133="","",IF(ISNUMBER(J133)=FALSE,"N/A",J144/J133))</f>
        <v>N/A</v>
      </c>
      <c r="K145" s="87">
        <f>IF(K133="","",IF(ISNUMBER(K133)=FALSE,"N/A",K144/K133))</f>
        <v>-0.858715532987506</v>
      </c>
      <c r="L145" s="47"/>
      <c r="M145" s="47"/>
    </row>
    <row r="146" ht="12" customHeight="1" spans="2:13">
      <c r="B146" s="47"/>
      <c r="C146" s="80" t="str">
        <f>IF(语言序号=1,"Diff. with "&amp;$G$56,"与"&amp;$G$56&amp;"数量差异")</f>
        <v>Diff. with Shore Tanks Received Quantity</v>
      </c>
      <c r="D146" s="47"/>
      <c r="E146" s="47"/>
      <c r="F146" s="47"/>
      <c r="G146" s="47"/>
      <c r="H146" s="82" t="str">
        <f>IF(H143="","",IF(ISNUMBER(H140)=FALSE,"N/A",H143-H140))</f>
        <v>N/A</v>
      </c>
      <c r="I146" s="82" t="str">
        <f>IF(I143="","",IF(ISNUMBER(I140)=FALSE,"N/A",I143-I140))</f>
        <v>N/A</v>
      </c>
      <c r="J146" s="82" t="str">
        <f>IF(J143="","",IF(ISNUMBER(J140)=FALSE,"N/A",J143-J140))</f>
        <v>N/A</v>
      </c>
      <c r="K146" s="82" t="str">
        <f>IF(K143="","",IF(ISNUMBER(K140)=FALSE,"N/A",K143-K140))</f>
        <v>N/A</v>
      </c>
      <c r="L146" s="47"/>
      <c r="M146" s="47"/>
    </row>
    <row r="147" ht="12" customHeight="1" spans="2:13">
      <c r="B147" s="47"/>
      <c r="C147" s="80" t="str">
        <f>$G$63</f>
        <v>Difference Percentage</v>
      </c>
      <c r="D147" s="47"/>
      <c r="E147" s="47"/>
      <c r="F147" s="47"/>
      <c r="G147" s="47"/>
      <c r="H147" s="87" t="e">
        <f>IF(H140="","",IF(ISNUMBER(H140)=FALSE,"N/A",H146/H140))</f>
        <v>#VALUE!</v>
      </c>
      <c r="I147" s="87" t="e">
        <f t="shared" ref="I147" si="29">IF(I140="","",IF(ISNUMBER(I140)=FALSE,"N/A",I146/I140))</f>
        <v>#VALUE!</v>
      </c>
      <c r="J147" s="87" t="e">
        <f t="shared" ref="J147" si="30">IF(J140="","",IF(ISNUMBER(J140)=FALSE,"N/A",J146/J140))</f>
        <v>#VALUE!</v>
      </c>
      <c r="K147" s="87" t="e">
        <f t="shared" ref="K147" si="31">IF(K140="","",IF(ISNUMBER(K140)=FALSE,"N/A",K146/K140))</f>
        <v>#VALUE!</v>
      </c>
      <c r="L147" s="47"/>
      <c r="M147" s="47"/>
    </row>
    <row r="148" spans="2:13">
      <c r="B148" s="47"/>
      <c r="C148" s="47"/>
      <c r="D148" s="47"/>
      <c r="E148" s="47"/>
      <c r="F148" s="47"/>
      <c r="G148" s="47"/>
      <c r="H148" s="47"/>
      <c r="I148" s="47"/>
      <c r="J148" s="47"/>
      <c r="K148" s="47"/>
      <c r="L148" s="47"/>
      <c r="M148" s="47"/>
    </row>
    <row r="149" ht="9.6" customHeight="1" spans="2:13">
      <c r="B149" s="47"/>
      <c r="C149" s="47"/>
      <c r="D149" s="47"/>
      <c r="E149" s="47"/>
      <c r="F149" s="47"/>
      <c r="G149" s="47"/>
      <c r="H149" s="47"/>
      <c r="I149" s="47"/>
      <c r="J149" s="47"/>
      <c r="K149" s="47"/>
      <c r="L149" s="47"/>
      <c r="M149" s="47"/>
    </row>
    <row r="150" ht="9.6" customHeight="1" spans="2:13">
      <c r="B150" s="47"/>
      <c r="C150" s="47"/>
      <c r="D150" s="47"/>
      <c r="E150" s="47"/>
      <c r="F150" s="47"/>
      <c r="G150" s="47"/>
      <c r="H150" s="47"/>
      <c r="I150" s="47"/>
      <c r="J150" s="47"/>
      <c r="K150" s="47"/>
      <c r="L150" s="47"/>
      <c r="M150" s="47"/>
    </row>
    <row r="151" spans="2:13">
      <c r="B151" s="47"/>
      <c r="C151" s="47"/>
      <c r="D151" s="47"/>
      <c r="E151" s="47"/>
      <c r="F151" s="47"/>
      <c r="G151" s="47"/>
      <c r="H151" s="47"/>
      <c r="I151" s="47"/>
      <c r="J151" s="47"/>
      <c r="K151" s="47"/>
      <c r="L151" s="47"/>
      <c r="M151" s="47"/>
    </row>
    <row r="152" hidden="1" spans="2:13">
      <c r="B152" s="47"/>
      <c r="C152" s="47" t="str">
        <f>D80</f>
        <v>Master/Chief Officer</v>
      </c>
      <c r="D152" s="47"/>
      <c r="E152" s="47"/>
      <c r="F152" s="47"/>
      <c r="G152" s="47"/>
      <c r="H152" s="47"/>
      <c r="I152" s="47" t="str">
        <f>D81</f>
        <v>CCIC Surveyor</v>
      </c>
      <c r="J152" s="47"/>
      <c r="K152" s="47"/>
      <c r="L152" s="47"/>
      <c r="M152" s="47"/>
    </row>
    <row r="153" hidden="1" spans="2:13">
      <c r="B153" s="47"/>
      <c r="C153" s="47" t="str">
        <f>D82</f>
        <v>Name</v>
      </c>
      <c r="D153" s="104"/>
      <c r="E153" s="104"/>
      <c r="F153" s="104"/>
      <c r="G153" s="47"/>
      <c r="H153" s="47"/>
      <c r="I153" s="47" t="str">
        <f>D82</f>
        <v>Name</v>
      </c>
      <c r="J153" s="107" t="s">
        <v>10</v>
      </c>
      <c r="K153" s="107"/>
      <c r="L153" s="107"/>
      <c r="M153" s="47"/>
    </row>
    <row r="154" hidden="1" spans="2:13">
      <c r="B154" s="47"/>
      <c r="C154" s="47" t="str">
        <f>D83</f>
        <v>Signature</v>
      </c>
      <c r="D154" s="105"/>
      <c r="E154" s="105"/>
      <c r="F154" s="105"/>
      <c r="G154" s="47"/>
      <c r="H154" s="47"/>
      <c r="I154" s="47" t="str">
        <f>D83</f>
        <v>Signature</v>
      </c>
      <c r="J154" s="105"/>
      <c r="K154" s="105"/>
      <c r="L154" s="105"/>
      <c r="M154" s="47"/>
    </row>
    <row r="155" ht="6.6" customHeight="1" spans="2:13">
      <c r="B155" s="47"/>
      <c r="C155" s="47"/>
      <c r="D155" s="47"/>
      <c r="E155" s="47"/>
      <c r="F155" s="47"/>
      <c r="G155" s="47"/>
      <c r="H155" s="47"/>
      <c r="I155" s="47"/>
      <c r="J155" s="47"/>
      <c r="K155" s="47"/>
      <c r="L155" s="47"/>
      <c r="M155" s="47"/>
    </row>
    <row r="156" ht="6.6" customHeight="1" spans="2:13">
      <c r="B156" s="47"/>
      <c r="C156" s="47"/>
      <c r="D156" s="47"/>
      <c r="E156" s="47"/>
      <c r="F156" s="47"/>
      <c r="G156" s="47"/>
      <c r="H156" s="47"/>
      <c r="I156" s="47"/>
      <c r="J156" s="47"/>
      <c r="K156" s="47"/>
      <c r="L156" s="47"/>
      <c r="M156" s="47"/>
    </row>
    <row r="157" spans="2:13">
      <c r="B157" s="47"/>
      <c r="C157" s="47"/>
      <c r="D157" s="47"/>
      <c r="E157" s="47"/>
      <c r="F157" s="47"/>
      <c r="G157" s="47"/>
      <c r="H157" s="47"/>
      <c r="I157" s="47"/>
      <c r="J157" s="47"/>
      <c r="K157" s="47"/>
      <c r="L157" s="47"/>
      <c r="M157" s="47"/>
    </row>
    <row r="158" spans="2:13">
      <c r="B158" s="47"/>
      <c r="C158" s="47"/>
      <c r="D158" s="47"/>
      <c r="E158" s="47"/>
      <c r="F158" s="47"/>
      <c r="G158" s="47"/>
      <c r="H158" s="47"/>
      <c r="I158" s="108" t="str">
        <f>D84</f>
        <v>Authorized Signature (S)</v>
      </c>
      <c r="J158" s="108"/>
      <c r="K158" s="108"/>
      <c r="L158" s="47"/>
      <c r="M158" s="47"/>
    </row>
    <row r="159" ht="5.4" customHeight="1" spans="2:13">
      <c r="B159" s="47"/>
      <c r="C159" s="47"/>
      <c r="D159" s="47"/>
      <c r="E159" s="47"/>
      <c r="F159" s="47"/>
      <c r="G159" s="47"/>
      <c r="H159" s="47"/>
      <c r="I159" s="47"/>
      <c r="J159" s="47"/>
      <c r="K159" s="47"/>
      <c r="L159" s="47"/>
      <c r="M159" s="47"/>
    </row>
    <row r="160" ht="5.4" customHeight="1" spans="2:13">
      <c r="B160" s="47"/>
      <c r="C160" s="47"/>
      <c r="D160" s="47"/>
      <c r="E160" s="47"/>
      <c r="F160" s="47"/>
      <c r="G160" s="47"/>
      <c r="H160" s="47"/>
      <c r="I160" s="47"/>
      <c r="J160" s="47"/>
      <c r="K160" s="47"/>
      <c r="L160" s="47"/>
      <c r="M160" s="47"/>
    </row>
    <row r="161" ht="23.4" customHeight="1" spans="2:13">
      <c r="B161" s="106" t="str">
        <f>D85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61" s="106"/>
      <c r="D161" s="106"/>
      <c r="E161" s="106"/>
      <c r="F161" s="106"/>
      <c r="G161" s="106"/>
      <c r="H161" s="106"/>
      <c r="I161" s="106"/>
      <c r="J161" s="106"/>
      <c r="K161" s="106"/>
      <c r="L161" s="106"/>
      <c r="M161" s="106"/>
    </row>
  </sheetData>
  <mergeCells count="14">
    <mergeCell ref="O47:S47"/>
    <mergeCell ref="I93:M93"/>
    <mergeCell ref="I94:M94"/>
    <mergeCell ref="I95:M95"/>
    <mergeCell ref="I96:M96"/>
    <mergeCell ref="I97:M97"/>
    <mergeCell ref="I98:M98"/>
    <mergeCell ref="I99:M99"/>
    <mergeCell ref="H101:I101"/>
    <mergeCell ref="J101:K101"/>
    <mergeCell ref="U103:Y103"/>
    <mergeCell ref="J153:L153"/>
    <mergeCell ref="B161:M161"/>
    <mergeCell ref="B93:F99"/>
  </mergeCells>
  <pageMargins left="0.236220472440945" right="0.236220472440945" top="0.393700787401575" bottom="0.748031496062992" header="0.31496062992126" footer="0.31496062992126"/>
  <pageSetup paperSize="9" orientation="portrait"/>
  <headerFooter>
    <oddHeader>&amp;L&amp;G
</oddHeader>
  </headerFooter>
  <drawing r:id="rId1"/>
  <legacyDrawing r:id="rId2"/>
  <legacyDrawingHF r:id="rId5"/>
  <mc:AlternateContent xmlns:mc="http://schemas.openxmlformats.org/markup-compatibility/2006">
    <mc:Choice Requires="x14">
      <controls>
        <mc:AlternateContent xmlns:mc="http://schemas.openxmlformats.org/markup-compatibility/2006">
          <mc:Choice Requires="x14">
            <control shapeId="26637" name="Drop Down 13" r:id="rId3">
              <controlPr defaultSize="0">
                <anchor moveWithCells="1">
                  <from>
                    <xdr:col>20</xdr:col>
                    <xdr:colOff>0</xdr:colOff>
                    <xdr:row>103</xdr:row>
                    <xdr:rowOff>7620</xdr:rowOff>
                  </from>
                  <to>
                    <xdr:col>25</xdr:col>
                    <xdr:colOff>144780</xdr:colOff>
                    <xdr:row>104</xdr:row>
                    <xdr:rowOff>68580</xdr:rowOff>
                  </to>
                </anchor>
              </controlPr>
            </control>
          </mc:Choice>
        </mc:AlternateContent>
        <mc:AlternateContent xmlns:mc="http://schemas.openxmlformats.org/markup-compatibility/2006">
          <mc:Choice Requires="x14">
            <control shapeId="26638" name="Button 14" r:id="rId4">
              <controlPr print="0" defaultSize="0">
                <anchor moveWithCells="1">
                  <from>
                    <xdr:col>20</xdr:col>
                    <xdr:colOff>0</xdr:colOff>
                    <xdr:row>100</xdr:row>
                    <xdr:rowOff>38100</xdr:rowOff>
                  </from>
                  <to>
                    <xdr:col>23</xdr:col>
                    <xdr:colOff>510540</xdr:colOff>
                    <xdr:row>101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X157"/>
  <sheetViews>
    <sheetView showGridLines="0" zoomScale="115" zoomScaleNormal="115" topLeftCell="B89" workbookViewId="0">
      <selection activeCell="V108" sqref="V108"/>
    </sheetView>
  </sheetViews>
  <sheetFormatPr defaultColWidth="9" defaultRowHeight="14.25"/>
  <cols>
    <col min="1" max="1" width="9" hidden="1" customWidth="1"/>
    <col min="2" max="2" width="2.10833333333333" customWidth="1"/>
    <col min="3" max="4" width="8.88333333333333" customWidth="1"/>
    <col min="5" max="5" width="7.88333333333333" customWidth="1"/>
    <col min="6" max="6" width="7.775" customWidth="1"/>
    <col min="7" max="7" width="10.2166666666667" customWidth="1"/>
    <col min="8" max="11" width="10" customWidth="1"/>
    <col min="12" max="12" width="7.33333333333333" customWidth="1"/>
    <col min="13" max="13" width="4.10833333333333" customWidth="1"/>
    <col min="14" max="14" width="10.4416666666667" hidden="1" customWidth="1"/>
    <col min="15" max="15" width="9" hidden="1" customWidth="1"/>
    <col min="16" max="16" width="9.88333333333333" hidden="1" customWidth="1"/>
    <col min="17" max="19" width="9" hidden="1" customWidth="1"/>
    <col min="20" max="20" width="4.66666666666667" customWidth="1"/>
    <col min="21" max="16384" width="8.88333333333333"/>
  </cols>
  <sheetData>
    <row r="1" ht="15" hidden="1" customHeight="1" spans="2:16">
      <c r="B1" s="1" t="s">
        <v>13</v>
      </c>
      <c r="C1" s="1" t="s">
        <v>14</v>
      </c>
      <c r="D1" s="2"/>
      <c r="E1" s="47" t="s">
        <v>78</v>
      </c>
      <c r="F1" s="52" t="s">
        <v>79</v>
      </c>
      <c r="G1" s="2" t="str">
        <f t="shared" ref="G1:G32" si="0">IF(Report_Language=$B$1,E1,F1)</f>
        <v>Obtaining shore tank(s) open sample</v>
      </c>
      <c r="H1" s="53" t="s">
        <v>2</v>
      </c>
      <c r="I1" s="53">
        <v>1</v>
      </c>
      <c r="J1" s="53" t="str">
        <f>INDEX(H1:H2,I1,0)</f>
        <v>英文 English</v>
      </c>
      <c r="M1" s="25"/>
      <c r="N1" s="26"/>
      <c r="O1" s="26"/>
      <c r="P1" s="27"/>
    </row>
    <row r="2" hidden="1" spans="2:16">
      <c r="B2" s="3" t="s">
        <v>80</v>
      </c>
      <c r="C2" s="3" t="s">
        <v>81</v>
      </c>
      <c r="D2" s="2" t="str">
        <f t="shared" ref="D2:D33" si="1">IF(Report_Language=$B$1,B2,C2)</f>
        <v>JOB NO.:</v>
      </c>
      <c r="E2" s="47" t="s">
        <v>82</v>
      </c>
      <c r="F2" s="52" t="s">
        <v>83</v>
      </c>
      <c r="G2" s="2" t="str">
        <f t="shared" si="0"/>
        <v>Perform shore tank(s) open measurent</v>
      </c>
      <c r="H2" s="53" t="s">
        <v>1</v>
      </c>
      <c r="I2" s="53">
        <v>2</v>
      </c>
      <c r="J2" s="53" t="str">
        <f>INDEX(H26:H27,I2,0)</f>
        <v>正式报告 Official Report</v>
      </c>
      <c r="M2" s="25"/>
      <c r="N2" s="28"/>
      <c r="O2" s="28"/>
      <c r="P2" s="29"/>
    </row>
    <row r="3" hidden="1" spans="2:16">
      <c r="B3" s="4" t="s">
        <v>84</v>
      </c>
      <c r="C3" s="4" t="s">
        <v>85</v>
      </c>
      <c r="D3" s="2" t="str">
        <f t="shared" si="1"/>
        <v>DATE OF REPORT:</v>
      </c>
      <c r="E3" s="47" t="s">
        <v>86</v>
      </c>
      <c r="F3" s="52" t="s">
        <v>87</v>
      </c>
      <c r="G3" s="2" t="str">
        <f t="shared" si="0"/>
        <v>Obtaining shore tank(s) close sample</v>
      </c>
      <c r="H3" s="54" t="s">
        <v>88</v>
      </c>
      <c r="I3" s="53">
        <v>2</v>
      </c>
      <c r="J3" s="53" t="str">
        <f>INDEX(H28:H31,I3,0)</f>
        <v>B--成品油 Refined Products</v>
      </c>
      <c r="M3" s="25"/>
      <c r="N3" s="28"/>
      <c r="O3" s="28"/>
      <c r="P3" s="29"/>
    </row>
    <row r="4" hidden="1" spans="2:16">
      <c r="B4" s="3" t="s">
        <v>20</v>
      </c>
      <c r="C4" s="3" t="s">
        <v>21</v>
      </c>
      <c r="D4" s="2" t="str">
        <f t="shared" si="1"/>
        <v>APPLICANT</v>
      </c>
      <c r="E4" s="47" t="s">
        <v>89</v>
      </c>
      <c r="F4" s="52" t="s">
        <v>90</v>
      </c>
      <c r="G4" s="2" t="str">
        <f t="shared" si="0"/>
        <v>Perform shore tank(s) close measurent</v>
      </c>
      <c r="H4" s="54" t="s">
        <v>91</v>
      </c>
      <c r="I4" s="53">
        <v>14</v>
      </c>
      <c r="J4" s="53" t="str">
        <f>INDEX(H3:H20,I4,0)</f>
        <v>T-60B</v>
      </c>
      <c r="K4" t="str">
        <f>LEFT(J3,1)</f>
        <v>B</v>
      </c>
      <c r="M4" s="25"/>
      <c r="N4" s="28"/>
      <c r="O4" s="28"/>
      <c r="P4" s="29"/>
    </row>
    <row r="5" hidden="1" spans="2:16">
      <c r="B5" s="4" t="s">
        <v>23</v>
      </c>
      <c r="C5" s="4" t="s">
        <v>24</v>
      </c>
      <c r="D5" s="2" t="str">
        <f t="shared" si="1"/>
        <v>CLIENT'S REF. NO.</v>
      </c>
      <c r="E5" s="47"/>
      <c r="F5" s="47"/>
      <c r="G5" s="2">
        <f t="shared" si="0"/>
        <v>0</v>
      </c>
      <c r="H5" s="54" t="s">
        <v>92</v>
      </c>
      <c r="I5" s="53">
        <v>3</v>
      </c>
      <c r="J5" s="53">
        <f>INDEX(H23:H25,I5,0)</f>
        <v>2004</v>
      </c>
      <c r="M5" s="25"/>
      <c r="N5" s="28"/>
      <c r="O5" s="28"/>
      <c r="P5" s="29"/>
    </row>
    <row r="6" hidden="1" spans="2:16">
      <c r="B6" s="3" t="s">
        <v>25</v>
      </c>
      <c r="C6" s="3" t="s">
        <v>26</v>
      </c>
      <c r="D6" s="2" t="str">
        <f t="shared" si="1"/>
        <v>COMMODITY</v>
      </c>
      <c r="E6" s="55" t="s">
        <v>93</v>
      </c>
      <c r="F6" s="56" t="s">
        <v>94</v>
      </c>
      <c r="G6" s="2" t="str">
        <f t="shared" si="0"/>
        <v>End of sea passage</v>
      </c>
      <c r="H6" s="54" t="s">
        <v>95</v>
      </c>
      <c r="I6" s="53">
        <v>1</v>
      </c>
      <c r="J6" s="53" t="str">
        <f>INDEX(H21:H22,I6,0)</f>
        <v>ASTM D1250-1980</v>
      </c>
      <c r="M6" s="25"/>
      <c r="N6" s="28"/>
      <c r="O6" s="28"/>
      <c r="P6" s="29"/>
    </row>
    <row r="7" hidden="1" spans="2:16">
      <c r="B7" s="4" t="s">
        <v>28</v>
      </c>
      <c r="C7" s="4" t="s">
        <v>29</v>
      </c>
      <c r="D7" s="2" t="str">
        <f t="shared" si="1"/>
        <v>VESSEL</v>
      </c>
      <c r="E7" s="55" t="s">
        <v>96</v>
      </c>
      <c r="F7" s="55" t="s">
        <v>97</v>
      </c>
      <c r="G7" s="2" t="str">
        <f t="shared" si="0"/>
        <v>Notice of readiness tendered</v>
      </c>
      <c r="H7" s="54" t="s">
        <v>98</v>
      </c>
      <c r="I7" s="53">
        <v>4</v>
      </c>
      <c r="J7" s="53" t="str">
        <f>IF(I7=1,"Den15",IF(I7=2,"Den20",IF(I7=3,"API","SG")))</f>
        <v>SG</v>
      </c>
      <c r="M7" s="25"/>
      <c r="N7" s="28"/>
      <c r="O7" s="28"/>
      <c r="P7" s="29"/>
    </row>
    <row r="8" hidden="1" spans="2:16">
      <c r="B8" s="3" t="s">
        <v>31</v>
      </c>
      <c r="C8" s="3" t="s">
        <v>32</v>
      </c>
      <c r="D8" s="2" t="str">
        <f t="shared" si="1"/>
        <v>PORT</v>
      </c>
      <c r="E8" s="55" t="s">
        <v>99</v>
      </c>
      <c r="F8" s="55" t="s">
        <v>100</v>
      </c>
      <c r="G8" s="2" t="str">
        <f t="shared" si="0"/>
        <v>Notice of readiness accepted</v>
      </c>
      <c r="H8" s="54" t="s">
        <v>101</v>
      </c>
      <c r="I8" s="53"/>
      <c r="J8" s="53"/>
      <c r="M8" s="25"/>
      <c r="N8" s="28"/>
      <c r="O8" s="28"/>
      <c r="P8" s="29"/>
    </row>
    <row r="9" hidden="1" spans="2:16">
      <c r="B9" s="6" t="s">
        <v>34</v>
      </c>
      <c r="C9" s="4" t="s">
        <v>35</v>
      </c>
      <c r="D9" s="2" t="str">
        <f t="shared" si="1"/>
        <v>TERMINAL</v>
      </c>
      <c r="E9" s="55" t="s">
        <v>102</v>
      </c>
      <c r="F9" s="55" t="s">
        <v>103</v>
      </c>
      <c r="G9" s="2" t="str">
        <f t="shared" si="0"/>
        <v>Pilot on board</v>
      </c>
      <c r="H9" s="54" t="s">
        <v>104</v>
      </c>
      <c r="I9" s="53"/>
      <c r="J9" s="53"/>
      <c r="M9" s="25"/>
      <c r="N9" s="28"/>
      <c r="O9" s="28"/>
      <c r="P9" s="29"/>
    </row>
    <row r="10" ht="15" hidden="1" customHeight="1" spans="2:16">
      <c r="B10" s="4" t="s">
        <v>36</v>
      </c>
      <c r="C10" s="4" t="s">
        <v>37</v>
      </c>
      <c r="D10" s="2" t="str">
        <f t="shared" si="1"/>
        <v>DATE OF INSPECTION</v>
      </c>
      <c r="E10" s="55" t="s">
        <v>105</v>
      </c>
      <c r="F10" s="57" t="s">
        <v>106</v>
      </c>
      <c r="G10" s="2" t="str">
        <f t="shared" si="0"/>
        <v>First line ashore</v>
      </c>
      <c r="H10" s="54" t="s">
        <v>107</v>
      </c>
      <c r="I10" s="53"/>
      <c r="J10" s="53"/>
      <c r="M10" s="25"/>
      <c r="N10" s="28"/>
      <c r="O10" s="28"/>
      <c r="P10" s="29"/>
    </row>
    <row r="11" hidden="1" spans="2:16">
      <c r="B11" s="7" t="s">
        <v>44</v>
      </c>
      <c r="C11" s="2" t="str">
        <f>B11</f>
        <v>SG0020031202-I</v>
      </c>
      <c r="D11" s="2" t="s">
        <v>45</v>
      </c>
      <c r="E11" s="47" t="s">
        <v>108</v>
      </c>
      <c r="F11" s="58" t="s">
        <v>109</v>
      </c>
      <c r="G11" s="2" t="str">
        <f t="shared" si="0"/>
        <v>Docked (Gangway in place)</v>
      </c>
      <c r="H11" s="54" t="s">
        <v>110</v>
      </c>
      <c r="I11" s="53"/>
      <c r="J11" s="53"/>
      <c r="M11" s="25"/>
      <c r="N11" s="28"/>
      <c r="O11" s="28"/>
      <c r="P11" s="29"/>
    </row>
    <row r="12" hidden="1" spans="2:16">
      <c r="B12" s="8" t="s">
        <v>46</v>
      </c>
      <c r="C12" s="2" t="str">
        <f>B12</f>
        <v>YYYY-MM-DD</v>
      </c>
      <c r="D12" s="2" t="s">
        <v>46</v>
      </c>
      <c r="E12" s="47" t="s">
        <v>111</v>
      </c>
      <c r="F12" s="47" t="s">
        <v>112</v>
      </c>
      <c r="G12" s="2" t="str">
        <f t="shared" si="0"/>
        <v>All fast</v>
      </c>
      <c r="H12" s="54" t="s">
        <v>113</v>
      </c>
      <c r="I12" s="53"/>
      <c r="J12" s="53"/>
      <c r="M12" s="25"/>
      <c r="N12" s="28"/>
      <c r="O12" s="28"/>
      <c r="P12" s="29"/>
    </row>
    <row r="13" hidden="1" spans="2:16">
      <c r="B13" s="7" t="s">
        <v>48</v>
      </c>
      <c r="C13" s="9" t="s">
        <v>49</v>
      </c>
      <c r="D13" s="2" t="str">
        <f t="shared" si="1"/>
        <v>PETROCHINA </v>
      </c>
      <c r="E13" s="55" t="s">
        <v>114</v>
      </c>
      <c r="F13" s="58" t="s">
        <v>115</v>
      </c>
      <c r="G13" s="2" t="str">
        <f t="shared" si="0"/>
        <v>Vessel cleared by governmental official</v>
      </c>
      <c r="H13" s="54" t="s">
        <v>116</v>
      </c>
      <c r="I13" s="53"/>
      <c r="J13" s="53"/>
      <c r="M13" s="25"/>
      <c r="N13" s="28"/>
      <c r="O13" s="28"/>
      <c r="P13" s="29"/>
    </row>
    <row r="14" hidden="1" spans="2:16">
      <c r="B14" s="7" t="s">
        <v>50</v>
      </c>
      <c r="C14" s="7" t="s">
        <v>117</v>
      </c>
      <c r="D14" s="2" t="s">
        <v>51</v>
      </c>
      <c r="E14" s="47" t="s">
        <v>118</v>
      </c>
      <c r="F14" s="52" t="s">
        <v>119</v>
      </c>
      <c r="G14" s="2" t="str">
        <f t="shared" si="0"/>
        <v>Surveyor on board</v>
      </c>
      <c r="H14" s="54" t="s">
        <v>120</v>
      </c>
      <c r="I14" s="53"/>
      <c r="J14" s="53"/>
      <c r="M14" s="25"/>
      <c r="N14" s="28"/>
      <c r="O14" s="28"/>
      <c r="P14" s="29"/>
    </row>
    <row r="15" hidden="1" spans="2:16">
      <c r="B15" s="7" t="s">
        <v>52</v>
      </c>
      <c r="C15" s="9" t="s">
        <v>53</v>
      </c>
      <c r="D15" s="2" t="str">
        <f t="shared" si="1"/>
        <v>Crude Oil6658</v>
      </c>
      <c r="E15" s="47" t="s">
        <v>121</v>
      </c>
      <c r="F15" s="52" t="s">
        <v>122</v>
      </c>
      <c r="G15" s="2" t="str">
        <f t="shared" si="0"/>
        <v>Key meeting held</v>
      </c>
      <c r="H15" s="54" t="s">
        <v>123</v>
      </c>
      <c r="I15" s="53"/>
      <c r="J15" s="53"/>
      <c r="M15" s="25"/>
      <c r="N15" s="28"/>
      <c r="O15" s="28"/>
      <c r="P15" s="29"/>
    </row>
    <row r="16" hidden="1" spans="2:16">
      <c r="B16" s="7" t="s">
        <v>54</v>
      </c>
      <c r="C16" s="2" t="s">
        <v>55</v>
      </c>
      <c r="D16" s="2" t="str">
        <f t="shared" si="1"/>
        <v>MT ZhenYuanefdasdf</v>
      </c>
      <c r="E16" s="47" t="s">
        <v>124</v>
      </c>
      <c r="F16" s="52" t="s">
        <v>125</v>
      </c>
      <c r="G16" s="2" t="str">
        <f t="shared" si="0"/>
        <v>Vessel tanks sampling</v>
      </c>
      <c r="H16" s="54" t="s">
        <v>126</v>
      </c>
      <c r="I16" s="53"/>
      <c r="J16" s="53"/>
      <c r="M16" s="25"/>
      <c r="N16" s="28"/>
      <c r="O16" s="28"/>
      <c r="P16" s="29"/>
    </row>
    <row r="17" ht="15.6" hidden="1" customHeight="1" spans="2:16">
      <c r="B17" s="7" t="s">
        <v>56</v>
      </c>
      <c r="C17" s="9" t="s">
        <v>57</v>
      </c>
      <c r="D17" s="2" t="str">
        <f t="shared" si="1"/>
        <v>Dalian, Chinafsadfa</v>
      </c>
      <c r="E17" s="47" t="s">
        <v>127</v>
      </c>
      <c r="F17" s="52" t="s">
        <v>128</v>
      </c>
      <c r="G17" s="2" t="str">
        <f t="shared" si="0"/>
        <v>Vessel tanks measurement</v>
      </c>
      <c r="H17" s="54" t="s">
        <v>129</v>
      </c>
      <c r="I17" s="53"/>
      <c r="J17" s="53"/>
      <c r="M17" s="25"/>
      <c r="N17" s="28"/>
      <c r="O17" s="28"/>
      <c r="P17" s="29"/>
    </row>
    <row r="18" hidden="1" spans="2:16">
      <c r="B18" s="7" t="s">
        <v>58</v>
      </c>
      <c r="C18" s="9" t="s">
        <v>59</v>
      </c>
      <c r="D18" s="2" t="str">
        <f t="shared" si="1"/>
        <v>Dalian Chinaoil, China1325415</v>
      </c>
      <c r="E18" s="47" t="s">
        <v>130</v>
      </c>
      <c r="F18" s="52" t="s">
        <v>131</v>
      </c>
      <c r="G18" s="2" t="str">
        <f t="shared" si="0"/>
        <v>Calculation and figures agreed</v>
      </c>
      <c r="H18" s="54" t="s">
        <v>132</v>
      </c>
      <c r="I18" s="53"/>
      <c r="J18" s="53"/>
      <c r="M18" s="25"/>
      <c r="N18" s="28"/>
      <c r="O18" s="28"/>
      <c r="P18" s="29"/>
    </row>
    <row r="19" hidden="1" spans="2:16">
      <c r="B19" s="10" t="s">
        <v>133</v>
      </c>
      <c r="C19" s="11" t="str">
        <f>B19</f>
        <v>YYYY-MM-DD -- YYYY-MM-DD</v>
      </c>
      <c r="D19" s="2" t="s">
        <v>60</v>
      </c>
      <c r="E19" s="47" t="s">
        <v>134</v>
      </c>
      <c r="F19" s="47" t="s">
        <v>135</v>
      </c>
      <c r="G19" s="2" t="str">
        <f t="shared" si="0"/>
        <v>       Arms/          Hoses connected</v>
      </c>
      <c r="H19" s="59" t="s">
        <v>136</v>
      </c>
      <c r="I19" s="53"/>
      <c r="J19" s="53"/>
      <c r="M19" s="25"/>
      <c r="N19" s="28"/>
      <c r="O19" s="28"/>
      <c r="P19" s="29"/>
    </row>
    <row r="20" hidden="1" spans="2:16">
      <c r="B20" s="13" t="s">
        <v>137</v>
      </c>
      <c r="C20" s="13" t="s">
        <v>138</v>
      </c>
      <c r="D20" s="2" t="str">
        <f t="shared" si="1"/>
        <v>Density@15℃ (g/cm³)</v>
      </c>
      <c r="E20" s="47" t="s">
        <v>139</v>
      </c>
      <c r="F20" s="52" t="s">
        <v>140</v>
      </c>
      <c r="G20" s="2" t="str">
        <f t="shared" si="0"/>
        <v>Samples analysis passed</v>
      </c>
      <c r="H20" s="54" t="s">
        <v>141</v>
      </c>
      <c r="I20" s="53"/>
      <c r="J20" s="53"/>
      <c r="M20" s="25"/>
      <c r="N20" s="28"/>
      <c r="O20" s="28"/>
      <c r="P20" s="29"/>
    </row>
    <row r="21" hidden="1" spans="2:16">
      <c r="B21" s="14" t="s">
        <v>142</v>
      </c>
      <c r="C21" s="14" t="s">
        <v>143</v>
      </c>
      <c r="D21" s="2" t="str">
        <f t="shared" si="1"/>
        <v>Density@20℃ (g/cm³)</v>
      </c>
      <c r="E21" s="47" t="s">
        <v>144</v>
      </c>
      <c r="F21" s="52" t="s">
        <v>145</v>
      </c>
      <c r="G21" s="2" t="str">
        <f t="shared" si="0"/>
        <v>Commenced discharge</v>
      </c>
      <c r="H21" s="54" t="s">
        <v>5</v>
      </c>
      <c r="I21" s="53"/>
      <c r="J21" s="53"/>
      <c r="M21" s="25"/>
      <c r="N21" s="28"/>
      <c r="O21" s="28"/>
      <c r="P21" s="29"/>
    </row>
    <row r="22" ht="15" hidden="1" customHeight="1" spans="2:16">
      <c r="B22" s="13" t="s">
        <v>146</v>
      </c>
      <c r="C22" s="13" t="s">
        <v>146</v>
      </c>
      <c r="D22" s="2" t="str">
        <f t="shared" si="1"/>
        <v>API@60℉</v>
      </c>
      <c r="E22" s="47" t="s">
        <v>147</v>
      </c>
      <c r="F22" s="52" t="s">
        <v>148</v>
      </c>
      <c r="G22" s="2" t="str">
        <f t="shared" si="0"/>
        <v>Suspended discharge for line displacement verification</v>
      </c>
      <c r="H22" s="54" t="s">
        <v>6</v>
      </c>
      <c r="I22" s="53"/>
      <c r="J22" s="53"/>
      <c r="M22" s="25"/>
      <c r="N22" s="28"/>
      <c r="O22" s="28"/>
      <c r="P22" s="29"/>
    </row>
    <row r="23" hidden="1" spans="2:16">
      <c r="B23" s="14" t="s">
        <v>149</v>
      </c>
      <c r="C23" s="14" t="s">
        <v>150</v>
      </c>
      <c r="D23" s="2" t="str">
        <f t="shared" si="1"/>
        <v>S.G.@60℉/60℉</v>
      </c>
      <c r="E23" s="47" t="s">
        <v>151</v>
      </c>
      <c r="F23" s="52" t="s">
        <v>152</v>
      </c>
      <c r="G23" s="2" t="str">
        <f t="shared" si="0"/>
        <v>Resumed discharge</v>
      </c>
      <c r="H23" s="59">
        <v>1952</v>
      </c>
      <c r="I23" s="53"/>
      <c r="J23" s="53"/>
      <c r="M23" s="25"/>
      <c r="N23" s="28"/>
      <c r="O23" s="28"/>
      <c r="P23" s="29"/>
    </row>
    <row r="24" hidden="1" spans="2:16">
      <c r="B24" s="15" t="s">
        <v>153</v>
      </c>
      <c r="C24" s="15" t="s">
        <v>154</v>
      </c>
      <c r="D24" s="2" t="str">
        <f t="shared" si="1"/>
        <v>α60℉ (1/℉)</v>
      </c>
      <c r="E24" s="47" t="s">
        <v>155</v>
      </c>
      <c r="F24" s="52" t="s">
        <v>156</v>
      </c>
      <c r="G24" s="2" t="str">
        <f t="shared" si="0"/>
        <v>Completed discharge</v>
      </c>
      <c r="H24" s="59">
        <v>1980</v>
      </c>
      <c r="I24" s="53"/>
      <c r="J24" s="53"/>
      <c r="M24" s="25"/>
      <c r="N24" s="28"/>
      <c r="O24" s="28"/>
      <c r="P24" s="29"/>
    </row>
    <row r="25" hidden="1" spans="2:16">
      <c r="B25" s="15" t="s">
        <v>157</v>
      </c>
      <c r="C25" s="15" t="s">
        <v>158</v>
      </c>
      <c r="D25" s="2" t="str">
        <f t="shared" si="1"/>
        <v>α60℉ (1/℃)</v>
      </c>
      <c r="E25" s="47" t="s">
        <v>159</v>
      </c>
      <c r="F25" s="52" t="s">
        <v>160</v>
      </c>
      <c r="G25" s="2" t="str">
        <f t="shared" si="0"/>
        <v>Vessel tanks inspection</v>
      </c>
      <c r="H25" s="59">
        <v>2004</v>
      </c>
      <c r="I25" s="53"/>
      <c r="J25" s="53"/>
      <c r="M25" s="25"/>
      <c r="N25" s="28"/>
      <c r="O25" s="28"/>
      <c r="P25" s="29"/>
    </row>
    <row r="26" hidden="1" spans="2:16">
      <c r="B26" s="14" t="s">
        <v>161</v>
      </c>
      <c r="C26" s="14" t="s">
        <v>162</v>
      </c>
      <c r="D26" s="2" t="str">
        <f t="shared" si="1"/>
        <v>Density@15℃ (kg/m³)</v>
      </c>
      <c r="E26" s="47" t="s">
        <v>163</v>
      </c>
      <c r="F26" s="47" t="s">
        <v>164</v>
      </c>
      <c r="G26" s="2" t="str">
        <f t="shared" si="0"/>
        <v>       Arms/          Hoses disconnected</v>
      </c>
      <c r="H26" s="60" t="s">
        <v>165</v>
      </c>
      <c r="I26" s="53"/>
      <c r="J26" s="53"/>
      <c r="M26" s="25"/>
      <c r="N26" s="28"/>
      <c r="P26" s="29" t="s">
        <v>166</v>
      </c>
    </row>
    <row r="27" hidden="1" spans="2:16">
      <c r="B27" s="13" t="s">
        <v>167</v>
      </c>
      <c r="C27" s="13" t="s">
        <v>168</v>
      </c>
      <c r="D27" s="2" t="str">
        <f t="shared" si="1"/>
        <v>Density@20℃ (kg/m³)</v>
      </c>
      <c r="E27" s="55" t="s">
        <v>169</v>
      </c>
      <c r="F27" s="58" t="s">
        <v>170</v>
      </c>
      <c r="G27" s="2" t="str">
        <f t="shared" si="0"/>
        <v>Filling out documents and sign</v>
      </c>
      <c r="H27" s="60" t="s">
        <v>171</v>
      </c>
      <c r="I27" s="53"/>
      <c r="J27" s="53"/>
      <c r="M27" s="30"/>
      <c r="N27" s="28"/>
      <c r="P27" s="29" t="s">
        <v>172</v>
      </c>
    </row>
    <row r="28" hidden="1" spans="2:16">
      <c r="B28" s="14" t="s">
        <v>146</v>
      </c>
      <c r="C28" s="14" t="s">
        <v>173</v>
      </c>
      <c r="D28" s="2" t="str">
        <f t="shared" si="1"/>
        <v>API@60℉</v>
      </c>
      <c r="E28" s="47" t="s">
        <v>174</v>
      </c>
      <c r="F28" s="52" t="s">
        <v>175</v>
      </c>
      <c r="G28" s="2" t="str">
        <f t="shared" si="0"/>
        <v>Commenced load</v>
      </c>
      <c r="H28" s="54" t="s">
        <v>7</v>
      </c>
      <c r="I28" s="53"/>
      <c r="J28" s="53"/>
      <c r="M28" s="30"/>
      <c r="N28" s="28"/>
      <c r="P28" s="29" t="s">
        <v>176</v>
      </c>
    </row>
    <row r="29" ht="15" hidden="1" customHeight="1" spans="2:16">
      <c r="B29" s="13" t="s">
        <v>149</v>
      </c>
      <c r="C29" s="13" t="s">
        <v>177</v>
      </c>
      <c r="D29" s="2" t="str">
        <f t="shared" si="1"/>
        <v>S.G.@60℉/60℉</v>
      </c>
      <c r="E29" s="47" t="s">
        <v>178</v>
      </c>
      <c r="F29" s="52" t="s">
        <v>179</v>
      </c>
      <c r="G29" s="2" t="str">
        <f t="shared" si="0"/>
        <v>1st foot sampling</v>
      </c>
      <c r="H29" s="54" t="s">
        <v>8</v>
      </c>
      <c r="I29" s="53"/>
      <c r="J29" s="53"/>
      <c r="M29" s="25"/>
      <c r="N29" s="28"/>
      <c r="P29" s="29" t="s">
        <v>180</v>
      </c>
    </row>
    <row r="30" hidden="1" spans="2:16">
      <c r="B30" s="17" t="s">
        <v>181</v>
      </c>
      <c r="C30" s="18" t="s">
        <v>182</v>
      </c>
      <c r="D30" s="2" t="str">
        <f t="shared" si="1"/>
        <v>WCF MT(in air)/m³@15℃ [T-56]</v>
      </c>
      <c r="E30" s="47" t="s">
        <v>183</v>
      </c>
      <c r="F30" s="52" t="s">
        <v>184</v>
      </c>
      <c r="G30" s="2" t="str">
        <f t="shared" si="0"/>
        <v>1st foot samples analysis passed</v>
      </c>
      <c r="H30" s="54" t="s">
        <v>11</v>
      </c>
      <c r="I30" s="53"/>
      <c r="J30" s="53"/>
      <c r="M30" s="25"/>
      <c r="N30" s="28"/>
      <c r="P30" s="29" t="s">
        <v>185</v>
      </c>
    </row>
    <row r="31" hidden="1" spans="2:16">
      <c r="B31" s="17" t="s">
        <v>186</v>
      </c>
      <c r="C31" s="18" t="s">
        <v>187</v>
      </c>
      <c r="D31" s="2" t="str">
        <f t="shared" si="1"/>
        <v>WCF MT(in air)/m³@15℃</v>
      </c>
      <c r="E31" s="47" t="s">
        <v>188</v>
      </c>
      <c r="F31" s="52" t="s">
        <v>189</v>
      </c>
      <c r="G31" s="2" t="str">
        <f t="shared" si="0"/>
        <v>Suspended load for line displacement verification</v>
      </c>
      <c r="H31" s="54" t="s">
        <v>12</v>
      </c>
      <c r="I31" s="53"/>
      <c r="J31" s="53"/>
      <c r="M31" s="25"/>
      <c r="N31" s="28"/>
      <c r="P31" s="29" t="s">
        <v>190</v>
      </c>
    </row>
    <row r="32" hidden="1" spans="2:16">
      <c r="B32" s="17" t="s">
        <v>191</v>
      </c>
      <c r="C32" s="18" t="s">
        <v>192</v>
      </c>
      <c r="D32" s="2" t="str">
        <f t="shared" si="1"/>
        <v>WCF MT(in air)/m³@20℃</v>
      </c>
      <c r="E32" s="47" t="s">
        <v>193</v>
      </c>
      <c r="F32" s="52" t="s">
        <v>194</v>
      </c>
      <c r="G32" s="2" t="str">
        <f t="shared" si="0"/>
        <v>Resumed load</v>
      </c>
      <c r="M32" s="25"/>
      <c r="N32" s="28"/>
      <c r="P32" s="29" t="s">
        <v>195</v>
      </c>
    </row>
    <row r="33" hidden="1" spans="2:16">
      <c r="B33" s="19" t="s">
        <v>196</v>
      </c>
      <c r="C33" s="20" t="s">
        <v>197</v>
      </c>
      <c r="D33" s="2" t="str">
        <f t="shared" si="1"/>
        <v>MT/LT [T-1] </v>
      </c>
      <c r="E33" s="47" t="s">
        <v>198</v>
      </c>
      <c r="F33" s="52" t="s">
        <v>199</v>
      </c>
      <c r="G33" s="2" t="str">
        <f t="shared" ref="G33:G75" si="2">IF(Report_Language=$B$1,E33,F33)</f>
        <v>Completed load</v>
      </c>
      <c r="M33" s="25"/>
      <c r="N33" s="28"/>
      <c r="P33" s="29" t="s">
        <v>200</v>
      </c>
    </row>
    <row r="34" hidden="1" spans="2:16">
      <c r="B34" s="19" t="s">
        <v>201</v>
      </c>
      <c r="C34" s="21" t="s">
        <v>202</v>
      </c>
      <c r="D34" s="2" t="str">
        <f t="shared" ref="D34:D65" si="3">IF(Report_Language=$B$1,B34,C34)</f>
        <v>MT/LT</v>
      </c>
      <c r="E34" s="47" t="s">
        <v>203</v>
      </c>
      <c r="F34" s="52" t="s">
        <v>204</v>
      </c>
      <c r="G34" s="2" t="str">
        <f t="shared" si="2"/>
        <v>Estimated sailing time</v>
      </c>
      <c r="M34" s="25"/>
      <c r="N34" s="28"/>
      <c r="P34" s="29" t="s">
        <v>205</v>
      </c>
    </row>
    <row r="35" hidden="1" spans="2:16">
      <c r="B35" s="17" t="s">
        <v>206</v>
      </c>
      <c r="C35" s="18" t="s">
        <v>207</v>
      </c>
      <c r="D35" s="2" t="str">
        <f t="shared" si="3"/>
        <v>WCF MT(in air)/bbls@60℉ [T-13]</v>
      </c>
      <c r="E35" s="47" t="s">
        <v>208</v>
      </c>
      <c r="F35" s="52" t="s">
        <v>209</v>
      </c>
      <c r="G35" s="2" t="str">
        <f t="shared" si="2"/>
        <v>Date</v>
      </c>
      <c r="M35" s="25"/>
      <c r="N35" s="28"/>
      <c r="P35" s="29"/>
    </row>
    <row r="36" hidden="1" spans="2:16">
      <c r="B36" s="17" t="s">
        <v>210</v>
      </c>
      <c r="C36" s="18" t="s">
        <v>211</v>
      </c>
      <c r="D36" s="2" t="str">
        <f t="shared" si="3"/>
        <v>WCF MT(in air)/bbls@60℉</v>
      </c>
      <c r="E36" s="47" t="s">
        <v>212</v>
      </c>
      <c r="F36" s="52" t="s">
        <v>213</v>
      </c>
      <c r="G36" s="2" t="str">
        <f t="shared" si="2"/>
        <v>Time</v>
      </c>
      <c r="M36" s="25"/>
      <c r="N36" s="28"/>
      <c r="O36" s="28">
        <v>2</v>
      </c>
      <c r="P36" s="29" t="str">
        <f>INDEX(G55:G56,O36,0)</f>
        <v>Shore Tanks Delivered Quantity</v>
      </c>
    </row>
    <row r="37" hidden="1" spans="2:16">
      <c r="B37" s="14" t="s">
        <v>214</v>
      </c>
      <c r="C37" s="14" t="s">
        <v>215</v>
      </c>
      <c r="D37" s="2" t="str">
        <f t="shared" si="3"/>
        <v>Density@15℃ MT(Vacuo)/m³</v>
      </c>
      <c r="E37" s="47" t="s">
        <v>216</v>
      </c>
      <c r="F37" s="52" t="s">
        <v>217</v>
      </c>
      <c r="G37" s="2" t="str">
        <f t="shared" si="2"/>
        <v>FROM</v>
      </c>
      <c r="M37" s="25"/>
      <c r="N37" s="28"/>
      <c r="O37" s="28"/>
      <c r="P37" s="29"/>
    </row>
    <row r="38" hidden="1" spans="2:16">
      <c r="B38" s="14" t="s">
        <v>218</v>
      </c>
      <c r="C38" s="14" t="s">
        <v>219</v>
      </c>
      <c r="D38" s="2" t="str">
        <f t="shared" si="3"/>
        <v>Density@20℃ MT(Vacuo)/m³</v>
      </c>
      <c r="E38" s="47" t="s">
        <v>220</v>
      </c>
      <c r="F38" s="52" t="s">
        <v>221</v>
      </c>
      <c r="G38" s="2" t="str">
        <f t="shared" si="2"/>
        <v>TO</v>
      </c>
      <c r="M38" s="25"/>
      <c r="N38" s="28"/>
      <c r="O38" s="28"/>
      <c r="P38" s="29"/>
    </row>
    <row r="39" ht="15" hidden="1" customHeight="1" spans="2:16">
      <c r="B39" s="17" t="s">
        <v>222</v>
      </c>
      <c r="C39" s="18" t="s">
        <v>223</v>
      </c>
      <c r="D39" s="2" t="str">
        <f t="shared" si="3"/>
        <v>WCF MT(in vacuo)/bbls@60℉ [T-13]</v>
      </c>
      <c r="E39" s="47" t="s">
        <v>224</v>
      </c>
      <c r="F39" s="52" t="s">
        <v>225</v>
      </c>
      <c r="G39" s="2" t="str">
        <f t="shared" si="2"/>
        <v>EVENTS</v>
      </c>
      <c r="M39" s="25"/>
      <c r="N39" s="28"/>
      <c r="O39" s="28"/>
      <c r="P39" s="29"/>
    </row>
    <row r="40" hidden="1" spans="2:16">
      <c r="B40" s="17" t="s">
        <v>226</v>
      </c>
      <c r="C40" s="18" t="s">
        <v>227</v>
      </c>
      <c r="D40" s="2" t="str">
        <f t="shared" si="3"/>
        <v>WCF MT(in vacuo)/bbls@60℉</v>
      </c>
      <c r="E40" s="47" t="s">
        <v>228</v>
      </c>
      <c r="F40" s="52" t="s">
        <v>229</v>
      </c>
      <c r="G40" s="2" t="str">
        <f t="shared" si="2"/>
        <v>TIME LOG</v>
      </c>
      <c r="M40" s="25"/>
      <c r="N40" s="28"/>
      <c r="O40" s="28"/>
      <c r="P40" s="29"/>
    </row>
    <row r="41" hidden="1" spans="2:16">
      <c r="B41" s="19" t="s">
        <v>196</v>
      </c>
      <c r="C41" s="20" t="s">
        <v>197</v>
      </c>
      <c r="D41" s="2" t="str">
        <f t="shared" si="3"/>
        <v>MT/LT [T-1] </v>
      </c>
      <c r="E41" s="47" t="s">
        <v>230</v>
      </c>
      <c r="F41" s="52" t="s">
        <v>231</v>
      </c>
      <c r="G41" s="2" t="str">
        <f t="shared" si="2"/>
        <v>REMARKS</v>
      </c>
      <c r="M41" s="25"/>
      <c r="N41" s="28"/>
      <c r="O41" s="28"/>
      <c r="P41" s="29"/>
    </row>
    <row r="42" hidden="1" spans="2:16">
      <c r="B42" s="19" t="s">
        <v>201</v>
      </c>
      <c r="C42" s="21" t="s">
        <v>202</v>
      </c>
      <c r="D42" s="2" t="str">
        <f t="shared" si="3"/>
        <v>MT/LT</v>
      </c>
      <c r="E42" s="47" t="s">
        <v>34</v>
      </c>
      <c r="F42" s="52" t="s">
        <v>232</v>
      </c>
      <c r="G42" s="2" t="str">
        <f t="shared" si="2"/>
        <v>TERMINAL</v>
      </c>
      <c r="M42" s="25"/>
      <c r="N42" s="28"/>
      <c r="O42" s="28"/>
      <c r="P42" s="29"/>
    </row>
    <row r="43" hidden="1" spans="2:16">
      <c r="B43" s="17" t="s">
        <v>233</v>
      </c>
      <c r="C43" s="18" t="s">
        <v>234</v>
      </c>
      <c r="D43" s="2" t="str">
        <f t="shared" si="3"/>
        <v>WCF LT(in air)/m³@15℃ [T-57]</v>
      </c>
      <c r="E43" s="47" t="s">
        <v>28</v>
      </c>
      <c r="F43" s="52" t="s">
        <v>235</v>
      </c>
      <c r="G43" s="2" t="str">
        <f t="shared" si="2"/>
        <v>VESSEL</v>
      </c>
      <c r="M43" s="25"/>
      <c r="N43" s="28"/>
      <c r="O43" s="28"/>
      <c r="P43" s="29"/>
    </row>
    <row r="44" ht="15" hidden="1" customHeight="1" spans="2:16">
      <c r="B44" s="17" t="s">
        <v>236</v>
      </c>
      <c r="C44" s="18" t="s">
        <v>237</v>
      </c>
      <c r="D44" s="2" t="str">
        <f t="shared" si="3"/>
        <v>WCF LT(in air)/m³@15℃</v>
      </c>
      <c r="E44" s="47" t="s">
        <v>238</v>
      </c>
      <c r="F44" s="52" t="s">
        <v>239</v>
      </c>
      <c r="G44" s="2" t="str">
        <f t="shared" si="2"/>
        <v>Arm(s) connected</v>
      </c>
      <c r="M44" s="25"/>
      <c r="N44" s="28"/>
      <c r="O44" s="28"/>
      <c r="P44" s="29"/>
    </row>
    <row r="45" hidden="1" spans="2:16">
      <c r="B45" s="19" t="s">
        <v>240</v>
      </c>
      <c r="C45" s="20" t="s">
        <v>241</v>
      </c>
      <c r="D45" s="2" t="str">
        <f t="shared" si="3"/>
        <v>LT/MT [T-1] </v>
      </c>
      <c r="E45" s="47" t="s">
        <v>242</v>
      </c>
      <c r="F45" s="52" t="s">
        <v>243</v>
      </c>
      <c r="G45" s="2" t="str">
        <f t="shared" si="2"/>
        <v>Hose(s) connected</v>
      </c>
      <c r="M45" s="25"/>
      <c r="N45" s="28"/>
      <c r="O45" s="28"/>
      <c r="P45" s="29"/>
    </row>
    <row r="46" hidden="1" spans="2:16">
      <c r="B46" s="19" t="s">
        <v>244</v>
      </c>
      <c r="C46" s="20" t="s">
        <v>245</v>
      </c>
      <c r="D46" s="2" t="str">
        <f t="shared" si="3"/>
        <v>LT/MT</v>
      </c>
      <c r="E46" s="47" t="s">
        <v>246</v>
      </c>
      <c r="F46" s="52" t="s">
        <v>247</v>
      </c>
      <c r="G46" s="2" t="str">
        <f t="shared" si="2"/>
        <v>Arm(s) disconnected</v>
      </c>
      <c r="M46" s="25"/>
      <c r="N46" s="28"/>
      <c r="O46" s="28"/>
      <c r="P46" s="29"/>
    </row>
    <row r="47" hidden="1" spans="2:19">
      <c r="B47" s="17" t="s">
        <v>248</v>
      </c>
      <c r="C47" s="18" t="s">
        <v>249</v>
      </c>
      <c r="D47" s="2" t="str">
        <f t="shared" si="3"/>
        <v>WCF LT(in air)/bbls@60℉ [T-29] </v>
      </c>
      <c r="E47" s="47" t="s">
        <v>250</v>
      </c>
      <c r="F47" s="52" t="s">
        <v>251</v>
      </c>
      <c r="G47" s="2" t="str">
        <f t="shared" si="2"/>
        <v>Hose(s) disconnected</v>
      </c>
      <c r="M47" s="25"/>
      <c r="N47" s="28"/>
      <c r="O47" s="65" t="s">
        <v>252</v>
      </c>
      <c r="P47" s="65"/>
      <c r="Q47" s="65"/>
      <c r="R47" s="65"/>
      <c r="S47" s="65"/>
    </row>
    <row r="48" hidden="1" spans="2:19">
      <c r="B48" s="17" t="s">
        <v>253</v>
      </c>
      <c r="C48" s="18" t="s">
        <v>254</v>
      </c>
      <c r="D48" s="2" t="str">
        <f t="shared" si="3"/>
        <v>WCF LT(in air)/bbls@60℉</v>
      </c>
      <c r="E48" s="47" t="s">
        <v>255</v>
      </c>
      <c r="F48" s="52" t="s">
        <v>256</v>
      </c>
      <c r="G48" s="2" t="str">
        <f t="shared" si="2"/>
        <v>QUANTITIES</v>
      </c>
      <c r="H48" s="61" t="s">
        <v>257</v>
      </c>
      <c r="I48" s="61" t="s">
        <v>258</v>
      </c>
      <c r="J48" s="61" t="str">
        <f>G66</f>
        <v>Bbls (60℉)</v>
      </c>
      <c r="K48" s="61" t="str">
        <f>G67</f>
        <v>m³ (15℃)</v>
      </c>
      <c r="L48" s="61" t="str">
        <f>G68</f>
        <v>m³ (20℃)</v>
      </c>
      <c r="M48" s="61" t="str">
        <f>G69</f>
        <v>MT (air)</v>
      </c>
      <c r="N48" s="61" t="str">
        <f>G70</f>
        <v>LT (air)</v>
      </c>
      <c r="O48" s="61" t="str">
        <f>J48</f>
        <v>Bbls (60℉)</v>
      </c>
      <c r="P48" s="61" t="str">
        <f t="shared" ref="P48:S48" si="4">K48</f>
        <v>m³ (15℃)</v>
      </c>
      <c r="Q48" s="61" t="str">
        <f t="shared" si="4"/>
        <v>m³ (20℃)</v>
      </c>
      <c r="R48" s="61" t="str">
        <f t="shared" si="4"/>
        <v>MT (air)</v>
      </c>
      <c r="S48" s="61" t="str">
        <f t="shared" si="4"/>
        <v>LT (air)</v>
      </c>
    </row>
    <row r="49" hidden="1" spans="2:19">
      <c r="B49" s="17" t="s">
        <v>259</v>
      </c>
      <c r="C49" s="18" t="s">
        <v>260</v>
      </c>
      <c r="D49" s="2" t="str">
        <f t="shared" si="3"/>
        <v>WCF LT(in air)/bbls@60℉ [T-11] </v>
      </c>
      <c r="E49" s="28" t="s">
        <v>261</v>
      </c>
      <c r="F49" s="52" t="s">
        <v>262</v>
      </c>
      <c r="G49" s="61" t="str">
        <f t="shared" ref="G49" si="5">IF(Report_Language=$B$1,E49,F49)</f>
        <v>Bill of Lading</v>
      </c>
      <c r="H49" s="53"/>
      <c r="I49" s="53"/>
      <c r="J49" s="53"/>
      <c r="K49" s="53"/>
      <c r="L49" s="53"/>
      <c r="M49" s="53"/>
      <c r="N49" s="53"/>
      <c r="O49" s="53"/>
      <c r="P49" s="53"/>
      <c r="Q49" s="53"/>
      <c r="R49" s="53"/>
      <c r="S49" s="53"/>
    </row>
    <row r="50" ht="17.4" hidden="1" customHeight="1" spans="2:19">
      <c r="B50" s="17" t="s">
        <v>253</v>
      </c>
      <c r="C50" s="18" t="s">
        <v>254</v>
      </c>
      <c r="D50" s="2" t="str">
        <f t="shared" si="3"/>
        <v>WCF LT(in air)/bbls@60℉</v>
      </c>
      <c r="E50" s="47"/>
      <c r="F50" s="52"/>
      <c r="G50" s="61">
        <f t="shared" si="2"/>
        <v>0</v>
      </c>
      <c r="H50" s="53"/>
      <c r="I50" s="53"/>
      <c r="J50" s="53"/>
      <c r="K50" s="53"/>
      <c r="L50" s="53"/>
      <c r="M50" s="53"/>
      <c r="N50" s="53"/>
      <c r="O50" s="53"/>
      <c r="P50" s="53"/>
      <c r="Q50" s="53"/>
      <c r="R50" s="53"/>
      <c r="S50" s="53"/>
    </row>
    <row r="51" ht="13.2" hidden="1" customHeight="1" spans="2:19">
      <c r="B51" s="17" t="s">
        <v>265</v>
      </c>
      <c r="C51" s="18" t="s">
        <v>266</v>
      </c>
      <c r="D51" s="2" t="str">
        <f t="shared" si="3"/>
        <v>WCF LT(in vacuo)/m³@15℃ [T-57]</v>
      </c>
      <c r="E51" s="47" t="s">
        <v>263</v>
      </c>
      <c r="F51" s="52" t="s">
        <v>264</v>
      </c>
      <c r="G51" s="61" t="str">
        <f t="shared" si="2"/>
        <v>Vessel Tank Quantity After Load</v>
      </c>
      <c r="H51" s="62">
        <f>IF(Ullage!V131="","",Ullage!V131)</f>
        <v>48120.731</v>
      </c>
      <c r="I51" s="62">
        <f>IF(Ullage!V135="","",Ullage!V135)</f>
        <v>39386.818</v>
      </c>
      <c r="J51" s="62">
        <f>IF(Ullage!Gross_bbls_60F="","",Ullage!Gross_bbls_60F)</f>
        <v>301466.7</v>
      </c>
      <c r="K51" s="62" t="str">
        <f>IF(Ullage!Gross_CBM_15C="","",Ullage!Gross_CBM_15C)</f>
        <v/>
      </c>
      <c r="L51" s="62">
        <f>IF(Ullage!Gross_CBM_20C="","",Ullage!Gross_CBM_20C)</f>
        <v>48120.731</v>
      </c>
      <c r="M51" s="62">
        <f>IF(Ullage!Gross_MT_air="","",Ullage!Gross_MT_air)</f>
        <v>39386.818</v>
      </c>
      <c r="N51" s="62">
        <f>IF(Ullage!Gross_LT_air="","",Ullage!Gross_LT_air)</f>
        <v>38764.743</v>
      </c>
      <c r="O51" s="62">
        <f>IF(Ullage!Net_bbls_60F="","",Ullage!Net_bbls_60F)</f>
        <v>300492.96</v>
      </c>
      <c r="P51" s="62" t="str">
        <f>IF(Ullage!Net_CBM_15C="","",Ullage!Net_CBM_15C)</f>
        <v/>
      </c>
      <c r="Q51" s="62">
        <f>IF(Ullage!Net_CBM_20C="","",Ullage!Net_CBM_20C)</f>
        <v>47965.301</v>
      </c>
      <c r="R51" s="62">
        <f>IF(Ullage!Net_MT_air="","",Ullage!Net_MT_air)</f>
        <v>39259.599</v>
      </c>
      <c r="S51" s="62">
        <f>IF(Ullage!Net_LT_air="","",Ullage!Net_LT_air)</f>
        <v>38639.533</v>
      </c>
    </row>
    <row r="52" hidden="1" spans="2:19">
      <c r="B52" s="17" t="s">
        <v>268</v>
      </c>
      <c r="C52" s="18" t="s">
        <v>269</v>
      </c>
      <c r="D52" s="2" t="str">
        <f t="shared" si="3"/>
        <v>WCF LT(in vacuo)/m³@15℃</v>
      </c>
      <c r="E52" s="28" t="s">
        <v>367</v>
      </c>
      <c r="F52" s="52" t="s">
        <v>368</v>
      </c>
      <c r="G52" s="61" t="str">
        <f t="shared" si="2"/>
        <v>*Vessel Tank Quantity After Load Applied VEF</v>
      </c>
      <c r="H52" s="62">
        <f>IF(H51="","",IF(OR(LEFT(vcfTab,4)="T-54",LEFT(vcfTab,4)="T-60"),ROUND(H51/$H$114,3),ROUND(H51/$H$114,2)))</f>
        <v>48188.194</v>
      </c>
      <c r="I52" s="62">
        <f>IF(I51="","",IF(OR(LEFT(vcfTab,4)="T-54",LEFT(vcfTab,4)="T-60"),ROUND(I51/$H$114,3),ROUND(I51/$H$114,2)))</f>
        <v>39442.037</v>
      </c>
      <c r="J52" s="62">
        <f>IF(J51="","",ROUND(J51/$H$114,2))</f>
        <v>301889.35</v>
      </c>
      <c r="K52" s="62" t="str">
        <f>IF(K51="","",ROUND(K51/$H$114,3))</f>
        <v/>
      </c>
      <c r="L52" s="62">
        <f>IF(L51="","",ROUND(L51/$H$114,3))</f>
        <v>48188.194</v>
      </c>
      <c r="M52" s="62">
        <f>IF(M51="","",ROUND(M51/$H$114,3))</f>
        <v>39442.037</v>
      </c>
      <c r="N52" s="62">
        <f>IF(N51="","",ROUND(N51/$H$114,3))</f>
        <v>38819.09</v>
      </c>
      <c r="O52" s="62">
        <f>IF(O51="","",ROUND(O51/$H$114,2))</f>
        <v>300914.24</v>
      </c>
      <c r="P52" s="62" t="str">
        <f>IF(P51="","",ROUND(P51/$H$114,3))</f>
        <v/>
      </c>
      <c r="Q52" s="62">
        <f>IF(Q51="","",ROUND(Q51/$H$114,3))</f>
        <v>48032.547</v>
      </c>
      <c r="R52" s="62">
        <f>IF(R51="","",ROUND(R51/$H$114,3))</f>
        <v>39314.639</v>
      </c>
      <c r="S52" s="62">
        <f>IF(S51="","",ROUND(S51/$H$114,3))</f>
        <v>38693.704</v>
      </c>
    </row>
    <row r="53" hidden="1" spans="2:19">
      <c r="B53" s="19" t="s">
        <v>240</v>
      </c>
      <c r="C53" s="20" t="s">
        <v>241</v>
      </c>
      <c r="D53" s="2" t="str">
        <f t="shared" si="3"/>
        <v>LT/MT [T-1] </v>
      </c>
      <c r="E53" s="63" t="s">
        <v>369</v>
      </c>
      <c r="F53" s="64" t="s">
        <v>370</v>
      </c>
      <c r="G53" s="61" t="str">
        <f t="shared" si="2"/>
        <v>Vessel Loaded Quantity</v>
      </c>
      <c r="H53" s="62">
        <f>IF(H51="","",H51-H60)</f>
        <v>44355.74</v>
      </c>
      <c r="I53" s="62">
        <f>IF(I51="","",ROUND(H53*Ullage!V134,3))</f>
        <v>36305.173</v>
      </c>
      <c r="J53" s="66">
        <f>IF(J51="","",ToBbls60F(vcfTab,WCF_Standard,Cargo_type,H53,I53,Ullage!N133,Ullage!U106))</f>
        <v>277879.79</v>
      </c>
      <c r="K53" s="62" t="str">
        <f>IF(K51="","",ToCbm15C(vcfTab,WCF_Standard,Cargo_type,H53,Ullage!N133,Ullage!U106))</f>
        <v/>
      </c>
      <c r="L53" s="62">
        <f>IF(L51="","",ToCbm20C(vcfTab,WCF_Standard,Cargo_type,H53,Ullage!N133,Ullage!U106))</f>
        <v>44355.74</v>
      </c>
      <c r="M53" s="62">
        <f>IF(M51="","",ToMTair(vcfTab,WCF_Standard,H53,Ullage!N133))</f>
        <v>36305.173</v>
      </c>
      <c r="N53" s="62">
        <f>IF(N51="","",ToLTair(vcfTab,WCF_Standard,H53,Ullage!N133))</f>
        <v>35731.769</v>
      </c>
      <c r="O53" s="62">
        <f>IF(O51="","",ROUND(J53*(1-Ullage!$N$134%),2))</f>
        <v>276982.24</v>
      </c>
      <c r="P53" s="62" t="str">
        <f>IF(P51="","",ROUND(K53*(1-Ullage!$N$134%),3))</f>
        <v/>
      </c>
      <c r="Q53" s="62">
        <f>IF(Q51="","",ROUND(L53*(1-Ullage!$N$134%),3))</f>
        <v>44212.471</v>
      </c>
      <c r="R53" s="62">
        <f>IF(R51="","",ROUND(M53*(1-Ullage!$N$134%),3))</f>
        <v>36187.907</v>
      </c>
      <c r="S53" s="62">
        <f>IF(S51="","",ROUND(N53*(1-Ullage!$N$134%),3))</f>
        <v>35616.355</v>
      </c>
    </row>
    <row r="54" hidden="1" spans="2:19">
      <c r="B54" s="19" t="s">
        <v>244</v>
      </c>
      <c r="C54" s="20" t="s">
        <v>245</v>
      </c>
      <c r="D54" s="2" t="str">
        <f t="shared" si="3"/>
        <v>LT/MT</v>
      </c>
      <c r="E54" s="28" t="s">
        <v>371</v>
      </c>
      <c r="F54" s="52" t="s">
        <v>372</v>
      </c>
      <c r="G54" s="61" t="str">
        <f t="shared" si="2"/>
        <v>*Vessel Loaded Quantity Applied VEF</v>
      </c>
      <c r="H54" s="62">
        <f>IF(H53="","",IF(OR(LEFT(vcfTab,4)="T-54",LEFT(vcfTab,4)="T-60"),ROUND(H53/$H$114,3),ROUND(H53/$H$114,2)))</f>
        <v>44417.925</v>
      </c>
      <c r="I54" s="62">
        <f>IF(I53="","",IF(OR(LEFT(vcfTab,4)="T-54",LEFT(vcfTab,4)="T-60"),ROUND(I53/$H$114,3),ROUND(I53/$H$114,2)))</f>
        <v>36356.072</v>
      </c>
      <c r="J54" s="62">
        <f>IF(J53="","",ROUND(J53/$H$114,2))</f>
        <v>278269.37</v>
      </c>
      <c r="K54" s="62" t="str">
        <f>IF(K53="","",ROUND(K53/$H$114,3))</f>
        <v/>
      </c>
      <c r="L54" s="62">
        <f>IF(L53="","",ROUND(L53/$H$114,3))</f>
        <v>44417.925</v>
      </c>
      <c r="M54" s="62">
        <f>IF(M53="","",ROUND(M53/$H$114,3))</f>
        <v>36356.072</v>
      </c>
      <c r="N54" s="62">
        <f>IF(N53="","",ROUND(N53/$H$114,3))</f>
        <v>35781.864</v>
      </c>
      <c r="O54" s="62">
        <f>IF(O53="","",ROUND(O53/$H$114,2))</f>
        <v>277370.56</v>
      </c>
      <c r="P54" s="62" t="str">
        <f>IF(P53="","",ROUND(P53/$H$114,3))</f>
        <v/>
      </c>
      <c r="Q54" s="62">
        <f>IF(Q53="","",ROUND(Q53/$H$114,3))</f>
        <v>44274.455</v>
      </c>
      <c r="R54" s="62">
        <f>IF(R53="","",ROUND(R53/$H$114,3))</f>
        <v>36238.641</v>
      </c>
      <c r="S54" s="62">
        <f>IF(S53="","",ROUND(S53/$H$114,3))</f>
        <v>35666.288</v>
      </c>
    </row>
    <row r="55" hidden="1" spans="2:19">
      <c r="B55" s="17" t="s">
        <v>273</v>
      </c>
      <c r="C55" s="18" t="s">
        <v>274</v>
      </c>
      <c r="D55" s="2" t="str">
        <f t="shared" si="3"/>
        <v>WCF LT(in vacuo)/bbls@60℉ [T-29]</v>
      </c>
      <c r="E55" s="28" t="s">
        <v>373</v>
      </c>
      <c r="F55" s="52" t="s">
        <v>374</v>
      </c>
      <c r="G55" s="61" t="str">
        <f t="shared" si="2"/>
        <v>Shore Delivered Quantity (Flow Meter)</v>
      </c>
      <c r="H55" s="61"/>
      <c r="I55" s="61"/>
      <c r="J55" s="61"/>
      <c r="K55" s="61"/>
      <c r="L55" s="61"/>
      <c r="M55" s="61"/>
      <c r="N55" s="61"/>
      <c r="O55" s="61"/>
      <c r="P55" s="61"/>
      <c r="Q55" s="61"/>
      <c r="R55" s="61"/>
      <c r="S55" s="61"/>
    </row>
    <row r="56" hidden="1" spans="2:19">
      <c r="B56" s="17" t="s">
        <v>276</v>
      </c>
      <c r="C56" s="18" t="s">
        <v>277</v>
      </c>
      <c r="D56" s="2" t="str">
        <f t="shared" si="3"/>
        <v>WCF LT(in vacuo)/bbls@60℉</v>
      </c>
      <c r="E56" s="28" t="s">
        <v>375</v>
      </c>
      <c r="F56" s="52" t="s">
        <v>376</v>
      </c>
      <c r="G56" s="61" t="str">
        <f t="shared" si="2"/>
        <v>Shore Tanks Delivered Quantity</v>
      </c>
      <c r="H56" s="61">
        <f>'Shore Tk'!G151</f>
        <v>1609.83</v>
      </c>
      <c r="I56" s="61">
        <f>'Shore Tk'!G157</f>
        <v>1579.939</v>
      </c>
      <c r="J56" s="67" t="e">
        <f>'Shore Tk'!L199+'Shore Tk (2)'!L199</f>
        <v>#NAME?</v>
      </c>
      <c r="K56" s="68">
        <f>'Shore Tk'!L201+'Shore Tk (2)'!L201</f>
        <v>0</v>
      </c>
      <c r="L56" s="68" t="e">
        <f>'Shore Tk'!L202+'Shore Tk (2)'!L202</f>
        <v>#NAME?</v>
      </c>
      <c r="M56" s="68" t="e">
        <f>'Shore Tk'!L205+'Shore Tk (2)'!L205</f>
        <v>#NAME?</v>
      </c>
      <c r="N56" s="68" t="e">
        <f>'Shore Tk'!L207+'Shore Tk (2)'!L207</f>
        <v>#NAME?</v>
      </c>
      <c r="O56" s="67" t="e">
        <f>'Shore Tk'!M199+'Shore Tk (2)'!M199</f>
        <v>#VALUE!</v>
      </c>
      <c r="P56" s="68" t="e">
        <f>'Shore Tk'!M201+'Shore Tk (2)'!M201</f>
        <v>#VALUE!</v>
      </c>
      <c r="Q56" s="68" t="e">
        <f>'Shore Tk'!M202+'Shore Tk (2)'!M202</f>
        <v>#VALUE!</v>
      </c>
      <c r="R56" s="68" t="e">
        <f>'Shore Tk'!M205+'Shore Tk (2)'!M205</f>
        <v>#VALUE!</v>
      </c>
      <c r="S56" s="68" t="e">
        <f>'Shore Tk'!M207+'Shore Tk (2)'!M207</f>
        <v>#VALUE!</v>
      </c>
    </row>
    <row r="57" hidden="1" spans="2:19">
      <c r="B57" s="17" t="s">
        <v>279</v>
      </c>
      <c r="C57" s="18" t="s">
        <v>280</v>
      </c>
      <c r="D57" s="2" t="str">
        <f t="shared" si="3"/>
        <v>WCF LT(in vacuo)/bbls@60℉ [T-11]</v>
      </c>
      <c r="E57" s="28" t="s">
        <v>176</v>
      </c>
      <c r="F57" s="52" t="s">
        <v>281</v>
      </c>
      <c r="G57" s="61" t="str">
        <f t="shared" si="2"/>
        <v>Total Lighter Received Quantity</v>
      </c>
      <c r="H57" s="61"/>
      <c r="I57" s="61"/>
      <c r="J57" s="61"/>
      <c r="K57" s="61"/>
      <c r="L57" s="61"/>
      <c r="M57" s="61"/>
      <c r="N57" s="61"/>
      <c r="O57" s="61"/>
      <c r="P57" s="61"/>
      <c r="Q57" s="61"/>
      <c r="R57" s="61"/>
      <c r="S57" s="61"/>
    </row>
    <row r="58" hidden="1" spans="2:19">
      <c r="B58" s="17" t="s">
        <v>276</v>
      </c>
      <c r="C58" s="18" t="s">
        <v>277</v>
      </c>
      <c r="D58" s="2" t="str">
        <f t="shared" si="3"/>
        <v>WCF LT(in vacuo)/bbls@60℉</v>
      </c>
      <c r="E58" s="28" t="s">
        <v>180</v>
      </c>
      <c r="F58" s="52" t="s">
        <v>282</v>
      </c>
      <c r="G58" s="61" t="str">
        <f t="shared" si="2"/>
        <v>Total Tank Cars received Quantity</v>
      </c>
      <c r="H58" s="61"/>
      <c r="I58" s="61"/>
      <c r="J58" s="61"/>
      <c r="K58" s="61"/>
      <c r="L58" s="61"/>
      <c r="M58" s="61"/>
      <c r="N58" s="61"/>
      <c r="O58" s="61"/>
      <c r="P58" s="61"/>
      <c r="Q58" s="61"/>
      <c r="R58" s="61"/>
      <c r="S58" s="61"/>
    </row>
    <row r="59" hidden="1" spans="2:19">
      <c r="B59" s="22" t="s">
        <v>283</v>
      </c>
      <c r="C59" s="21" t="s">
        <v>284</v>
      </c>
      <c r="D59" s="2" t="str">
        <f t="shared" si="3"/>
        <v>bbls@60℉/m³@15℃ [T-52]</v>
      </c>
      <c r="E59" s="28" t="s">
        <v>185</v>
      </c>
      <c r="F59" s="52" t="s">
        <v>285</v>
      </c>
      <c r="G59" s="61" t="str">
        <f t="shared" si="2"/>
        <v>Total Received Quantity</v>
      </c>
      <c r="H59" s="61"/>
      <c r="I59" s="61"/>
      <c r="J59" s="61"/>
      <c r="K59" s="61"/>
      <c r="L59" s="61"/>
      <c r="M59" s="61"/>
      <c r="N59" s="61"/>
      <c r="O59" s="61"/>
      <c r="P59" s="61"/>
      <c r="Q59" s="61"/>
      <c r="R59" s="61"/>
      <c r="S59" s="61"/>
    </row>
    <row r="60" hidden="1" spans="2:19">
      <c r="B60" s="22" t="s">
        <v>286</v>
      </c>
      <c r="C60" s="21" t="s">
        <v>287</v>
      </c>
      <c r="D60" s="2" t="str">
        <f t="shared" si="3"/>
        <v>bbls@60℉/m³@15℃</v>
      </c>
      <c r="E60" s="28" t="s">
        <v>288</v>
      </c>
      <c r="F60" s="52" t="s">
        <v>289</v>
      </c>
      <c r="G60" s="61" t="str">
        <f t="shared" si="2"/>
        <v>O.B.Q. Quantity</v>
      </c>
      <c r="H60" s="61">
        <f>IF(OBQ!R144="","",OBQ!R144)</f>
        <v>3764.991</v>
      </c>
      <c r="I60" s="61"/>
      <c r="J60" s="61"/>
      <c r="K60" s="61"/>
      <c r="L60" s="61"/>
      <c r="M60" s="61"/>
      <c r="N60" s="61"/>
      <c r="O60" s="61"/>
      <c r="P60" s="61"/>
      <c r="Q60" s="61"/>
      <c r="R60" s="61"/>
      <c r="S60" s="61"/>
    </row>
    <row r="61" hidden="1" spans="2:19">
      <c r="B61" s="23" t="s">
        <v>290</v>
      </c>
      <c r="C61" s="24" t="s">
        <v>291</v>
      </c>
      <c r="D61" s="2" t="str">
        <f t="shared" si="3"/>
        <v>bbls@60℉/MT(in air)</v>
      </c>
      <c r="E61" s="28" t="s">
        <v>292</v>
      </c>
      <c r="F61" s="52" t="s">
        <v>293</v>
      </c>
      <c r="G61" s="61" t="str">
        <f t="shared" si="2"/>
        <v>R.O.B. Quantity</v>
      </c>
      <c r="H61" s="61">
        <f>IF(ROB!R144="","",ROB!R144)</f>
        <v>23</v>
      </c>
      <c r="I61" s="61"/>
      <c r="J61" s="61"/>
      <c r="K61" s="61"/>
      <c r="L61" s="61"/>
      <c r="M61" s="61"/>
      <c r="N61" s="61"/>
      <c r="O61" s="61"/>
      <c r="P61" s="61"/>
      <c r="Q61" s="61"/>
      <c r="R61" s="61"/>
      <c r="S61" s="61"/>
    </row>
    <row r="62" hidden="1" spans="2:16">
      <c r="B62" s="2" t="s">
        <v>294</v>
      </c>
      <c r="C62" s="9" t="s">
        <v>295</v>
      </c>
      <c r="D62" s="2" t="str">
        <f t="shared" si="3"/>
        <v>Standard Volume</v>
      </c>
      <c r="E62" t="s">
        <v>296</v>
      </c>
      <c r="F62" s="52" t="s">
        <v>297</v>
      </c>
      <c r="G62" s="2" t="str">
        <f t="shared" si="2"/>
        <v>In-transit Difference</v>
      </c>
      <c r="M62" s="25"/>
      <c r="N62" s="28"/>
      <c r="O62" s="28"/>
      <c r="P62" s="29"/>
    </row>
    <row r="63" ht="16.5" hidden="1" spans="2:16">
      <c r="B63" s="2" t="s">
        <v>298</v>
      </c>
      <c r="C63" s="2" t="s">
        <v>299</v>
      </c>
      <c r="D63" s="2" t="str">
        <f t="shared" si="3"/>
        <v>m³@15℃/m³@20℃ [1/VCF(15℃)]</v>
      </c>
      <c r="E63" t="s">
        <v>300</v>
      </c>
      <c r="F63" s="52" t="s">
        <v>301</v>
      </c>
      <c r="G63" s="2" t="str">
        <f t="shared" si="2"/>
        <v>Difference Percentage</v>
      </c>
      <c r="M63" s="25"/>
      <c r="N63" s="28"/>
      <c r="O63" s="28"/>
      <c r="P63" s="29"/>
    </row>
    <row r="64" hidden="1" spans="2:16">
      <c r="B64" s="22" t="s">
        <v>302</v>
      </c>
      <c r="C64" s="21" t="s">
        <v>303</v>
      </c>
      <c r="D64" s="2" t="str">
        <f t="shared" si="3"/>
        <v>m³@15℃/bbls@60℉ [T-22]</v>
      </c>
      <c r="E64" s="28" t="s">
        <v>304</v>
      </c>
      <c r="F64" s="52" t="s">
        <v>305</v>
      </c>
      <c r="G64" s="2" t="str">
        <f t="shared" si="2"/>
        <v>Outturn :</v>
      </c>
      <c r="M64" s="25"/>
      <c r="N64" s="28"/>
      <c r="O64" s="28"/>
      <c r="P64" s="29"/>
    </row>
    <row r="65" ht="15" hidden="1" customHeight="1" spans="2:16">
      <c r="B65" s="22" t="s">
        <v>306</v>
      </c>
      <c r="C65" s="19" t="s">
        <v>307</v>
      </c>
      <c r="D65" s="2" t="str">
        <f t="shared" si="3"/>
        <v>m³@15℃/bbls@60℉</v>
      </c>
      <c r="E65" s="28" t="s">
        <v>308</v>
      </c>
      <c r="F65" s="52" t="s">
        <v>309</v>
      </c>
      <c r="G65" s="2" t="str">
        <f t="shared" si="2"/>
        <v>Shore/Vessel Difference at Discharge Port</v>
      </c>
      <c r="M65" s="25"/>
      <c r="N65" s="28"/>
      <c r="O65" s="28"/>
      <c r="P65" s="29"/>
    </row>
    <row r="66" hidden="1" spans="2:16">
      <c r="B66" s="22" t="s">
        <v>310</v>
      </c>
      <c r="C66" s="21" t="s">
        <v>311</v>
      </c>
      <c r="D66" s="2" t="str">
        <f t="shared" ref="D66:D85" si="6">IF(Report_Language=$B$1,B66,C66)</f>
        <v>m³@15℃/bbls@60℉ [T-4] </v>
      </c>
      <c r="E66" s="28" t="s">
        <v>312</v>
      </c>
      <c r="F66" s="52" t="s">
        <v>313</v>
      </c>
      <c r="G66" s="2" t="str">
        <f t="shared" si="2"/>
        <v>Bbls (60℉)</v>
      </c>
      <c r="M66" s="25"/>
      <c r="N66" s="28"/>
      <c r="O66" s="28"/>
      <c r="P66" s="29"/>
    </row>
    <row r="67" hidden="1" spans="2:16">
      <c r="B67" s="22" t="s">
        <v>306</v>
      </c>
      <c r="C67" s="21" t="s">
        <v>314</v>
      </c>
      <c r="D67" s="2" t="str">
        <f t="shared" si="6"/>
        <v>m³@15℃/bbls@60℉</v>
      </c>
      <c r="E67" s="28" t="s">
        <v>315</v>
      </c>
      <c r="F67" s="52" t="s">
        <v>316</v>
      </c>
      <c r="G67" s="2" t="str">
        <f t="shared" si="2"/>
        <v>m³ (15℃)</v>
      </c>
      <c r="M67" s="25"/>
      <c r="N67" s="28"/>
      <c r="O67" s="28"/>
      <c r="P67" s="29"/>
    </row>
    <row r="68" hidden="1" spans="2:16">
      <c r="B68" s="19" t="s">
        <v>317</v>
      </c>
      <c r="C68" s="19" t="s">
        <v>318</v>
      </c>
      <c r="D68" s="2" t="str">
        <f t="shared" si="6"/>
        <v>m³@20℃/m³@15℃ [1/VCF(20℃)]</v>
      </c>
      <c r="E68" s="28" t="s">
        <v>319</v>
      </c>
      <c r="F68" s="52" t="s">
        <v>320</v>
      </c>
      <c r="G68" s="2" t="str">
        <f t="shared" si="2"/>
        <v>m³ (20℃)</v>
      </c>
      <c r="M68" s="25"/>
      <c r="N68" s="28"/>
      <c r="O68" s="28"/>
      <c r="P68" s="29"/>
    </row>
    <row r="69" hidden="1" spans="2:16">
      <c r="B69" s="17" t="s">
        <v>321</v>
      </c>
      <c r="C69" s="17" t="s">
        <v>322</v>
      </c>
      <c r="D69" s="2" t="str">
        <f t="shared" si="6"/>
        <v>m³@20℃/bbls@60℉ [T-4] x VCF(59℉)/VCF(68℉)</v>
      </c>
      <c r="E69" s="28" t="s">
        <v>323</v>
      </c>
      <c r="F69" s="52" t="s">
        <v>324</v>
      </c>
      <c r="G69" s="2" t="str">
        <f t="shared" si="2"/>
        <v>MT (air)</v>
      </c>
      <c r="M69" s="25"/>
      <c r="N69" s="28"/>
      <c r="O69" s="28"/>
      <c r="P69" s="29"/>
    </row>
    <row r="70" hidden="1" spans="2:16">
      <c r="B70" s="17" t="s">
        <v>325</v>
      </c>
      <c r="C70" s="17" t="s">
        <v>326</v>
      </c>
      <c r="D70" s="2" t="str">
        <f t="shared" si="6"/>
        <v>m³@20℃/bbls@60℉</v>
      </c>
      <c r="E70" s="28" t="s">
        <v>327</v>
      </c>
      <c r="F70" s="52" t="s">
        <v>328</v>
      </c>
      <c r="G70" s="2" t="str">
        <f t="shared" si="2"/>
        <v>LT (air)</v>
      </c>
      <c r="M70" s="25"/>
      <c r="N70" s="28"/>
      <c r="O70" s="28"/>
      <c r="P70" s="29"/>
    </row>
    <row r="71" hidden="1" spans="2:16">
      <c r="B71" s="17" t="s">
        <v>329</v>
      </c>
      <c r="C71" s="17" t="s">
        <v>330</v>
      </c>
      <c r="D71" s="2" t="str">
        <f t="shared" si="6"/>
        <v>m³@20℃/bbls@60℉ [T-22] x VCF(59℉)/VCF(68℉)</v>
      </c>
      <c r="E71" s="69" t="s">
        <v>331</v>
      </c>
      <c r="F71" s="52" t="s">
        <v>377</v>
      </c>
      <c r="G71" s="2" t="str">
        <f t="shared" si="2"/>
        <v>- Gross Quantity</v>
      </c>
      <c r="M71" s="25"/>
      <c r="N71" s="28"/>
      <c r="O71" s="28"/>
      <c r="P71" s="29"/>
    </row>
    <row r="72" hidden="1" spans="2:16">
      <c r="B72" s="17" t="s">
        <v>325</v>
      </c>
      <c r="C72" s="17" t="s">
        <v>333</v>
      </c>
      <c r="D72" s="2" t="str">
        <f t="shared" si="6"/>
        <v>m³@20℃/bbls@60℉</v>
      </c>
      <c r="E72" s="69" t="s">
        <v>334</v>
      </c>
      <c r="F72" s="52" t="s">
        <v>378</v>
      </c>
      <c r="G72" s="2" t="str">
        <f t="shared" si="2"/>
        <v>- Net Quantity</v>
      </c>
      <c r="M72" s="25"/>
      <c r="N72" s="28"/>
      <c r="O72" s="28"/>
      <c r="P72" s="29"/>
    </row>
    <row r="73" hidden="1" spans="2:16">
      <c r="B73" s="19" t="s">
        <v>336</v>
      </c>
      <c r="C73" s="21" t="s">
        <v>337</v>
      </c>
      <c r="D73" s="2" t="str">
        <f t="shared" si="6"/>
        <v>m³@30℃/m³@15℃ [1/VCF(30℃)]</v>
      </c>
      <c r="E73" s="70" t="s">
        <v>338</v>
      </c>
      <c r="F73" s="52" t="s">
        <v>339</v>
      </c>
      <c r="G73" s="2" t="str">
        <f t="shared" si="2"/>
        <v>VCF table used at discharge port</v>
      </c>
      <c r="M73" s="25"/>
      <c r="N73" s="28"/>
      <c r="O73" s="28"/>
      <c r="P73" s="29"/>
    </row>
    <row r="74" hidden="1" spans="2:16">
      <c r="B74" s="19" t="s">
        <v>340</v>
      </c>
      <c r="C74" s="21" t="s">
        <v>341</v>
      </c>
      <c r="D74" s="2" t="str">
        <f t="shared" si="6"/>
        <v>m³@30℃/m³@20℃ [1/VCF(30℃)]</v>
      </c>
      <c r="E74" t="s">
        <v>342</v>
      </c>
      <c r="F74" s="52" t="s">
        <v>343</v>
      </c>
      <c r="G74" s="2" t="str">
        <f t="shared" si="2"/>
        <v>VEF</v>
      </c>
      <c r="M74" s="25"/>
      <c r="N74" s="28"/>
      <c r="O74" s="28"/>
      <c r="P74" s="29"/>
    </row>
    <row r="75" hidden="1" spans="2:16">
      <c r="B75" s="17" t="s">
        <v>344</v>
      </c>
      <c r="C75" s="17" t="s">
        <v>345</v>
      </c>
      <c r="D75" s="2" t="str">
        <f t="shared" si="6"/>
        <v>m³@30℃/bbls@60℉ [T-4] x VCF(59℉)/VCF(86℉)</v>
      </c>
      <c r="E75" t="s">
        <v>379</v>
      </c>
      <c r="F75" s="52" t="s">
        <v>380</v>
      </c>
      <c r="G75" s="2" t="str">
        <f t="shared" si="2"/>
        <v>LOADING SUMMARY REPORT</v>
      </c>
      <c r="M75" s="25"/>
      <c r="N75" s="28"/>
      <c r="O75" s="28"/>
      <c r="P75" s="29"/>
    </row>
    <row r="76" hidden="1" spans="2:16">
      <c r="B76" s="17" t="s">
        <v>348</v>
      </c>
      <c r="C76" s="17" t="s">
        <v>349</v>
      </c>
      <c r="D76" s="2" t="str">
        <f t="shared" si="6"/>
        <v>m³@30℃/bbls@60℉</v>
      </c>
      <c r="M76" s="25"/>
      <c r="N76" s="28"/>
      <c r="O76" s="28"/>
      <c r="P76" s="29"/>
    </row>
    <row r="77" ht="15" hidden="1" customHeight="1" spans="2:4">
      <c r="B77" s="17" t="s">
        <v>350</v>
      </c>
      <c r="C77" s="17" t="s">
        <v>351</v>
      </c>
      <c r="D77" s="2" t="str">
        <f t="shared" si="6"/>
        <v>m³@30℃/bbls@60℉ [T-22] x VCF(59℉)/VCF(86℉)</v>
      </c>
    </row>
    <row r="78" hidden="1" spans="2:4">
      <c r="B78" s="17" t="s">
        <v>348</v>
      </c>
      <c r="C78" s="17" t="s">
        <v>352</v>
      </c>
      <c r="D78" s="2" t="str">
        <f t="shared" si="6"/>
        <v>m³@30℃/bbls@60℉</v>
      </c>
    </row>
    <row r="79" hidden="1" spans="2:4">
      <c r="B79" s="5" t="s">
        <v>353</v>
      </c>
      <c r="C79" s="32" t="s">
        <v>354</v>
      </c>
      <c r="D79" s="2" t="str">
        <f t="shared" si="6"/>
        <v>US Gallon/US Barrels [T-1]</v>
      </c>
    </row>
    <row r="80" hidden="1" spans="2:4">
      <c r="B80" s="33" t="s">
        <v>355</v>
      </c>
      <c r="C80" s="33" t="s">
        <v>356</v>
      </c>
      <c r="D80" s="2" t="str">
        <f t="shared" si="6"/>
        <v>Master/Chief Officer</v>
      </c>
    </row>
    <row r="81" hidden="1" spans="2:4">
      <c r="B81" s="34" t="s">
        <v>357</v>
      </c>
      <c r="C81" s="34" t="s">
        <v>358</v>
      </c>
      <c r="D81" s="2" t="str">
        <f t="shared" si="6"/>
        <v>CCIC Surveyor</v>
      </c>
    </row>
    <row r="82" hidden="1" spans="2:4">
      <c r="B82" s="33" t="s">
        <v>359</v>
      </c>
      <c r="C82" s="33" t="s">
        <v>360</v>
      </c>
      <c r="D82" s="2" t="str">
        <f t="shared" si="6"/>
        <v>Name</v>
      </c>
    </row>
    <row r="83" hidden="1" spans="2:4">
      <c r="B83" s="34" t="s">
        <v>361</v>
      </c>
      <c r="C83" s="34" t="s">
        <v>362</v>
      </c>
      <c r="D83" s="2" t="str">
        <f t="shared" si="6"/>
        <v>Signature</v>
      </c>
    </row>
    <row r="84" hidden="1" spans="2:4">
      <c r="B84" s="33" t="s">
        <v>363</v>
      </c>
      <c r="C84" s="33" t="s">
        <v>364</v>
      </c>
      <c r="D84" s="2" t="str">
        <f t="shared" si="6"/>
        <v>Authorized Signature (S)</v>
      </c>
    </row>
    <row r="85" hidden="1" spans="2:4">
      <c r="B85" s="34" t="s">
        <v>74</v>
      </c>
      <c r="C85" s="34" t="s">
        <v>75</v>
      </c>
      <c r="D85" s="2" t="str">
        <f t="shared" si="6"/>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hidden="1" spans="1:3">
      <c r="A86" s="27"/>
      <c r="B86" s="28"/>
      <c r="C86" s="29"/>
    </row>
    <row r="87" hidden="1" spans="1:3">
      <c r="A87" s="27"/>
      <c r="B87" s="28"/>
      <c r="C87" s="29"/>
    </row>
    <row r="88" hidden="1"/>
    <row r="89" spans="2:13">
      <c r="B89" s="47"/>
      <c r="C89" s="47"/>
      <c r="D89" s="47"/>
      <c r="E89" s="47"/>
      <c r="F89" s="47"/>
      <c r="G89" s="47"/>
      <c r="H89" s="47"/>
      <c r="I89" s="47"/>
      <c r="J89" s="47"/>
      <c r="K89" s="46" t="str">
        <f>D2</f>
        <v>JOB NO.:</v>
      </c>
      <c r="L89" s="47" t="str">
        <f>单号</f>
        <v>这就是爱</v>
      </c>
      <c r="M89" s="47"/>
    </row>
    <row r="90" spans="2:13">
      <c r="B90" s="47"/>
      <c r="C90" s="47"/>
      <c r="D90" s="47"/>
      <c r="E90" s="47"/>
      <c r="F90" s="47"/>
      <c r="G90" s="47"/>
      <c r="H90" s="47"/>
      <c r="I90" s="47"/>
      <c r="J90" s="47"/>
      <c r="K90" s="46" t="str">
        <f>D3</f>
        <v>DATE OF REPORT:</v>
      </c>
      <c r="L90" s="47" t="str">
        <f>报告日期</f>
        <v>YYYY-MM-DD</v>
      </c>
      <c r="M90" s="47"/>
    </row>
    <row r="91" ht="6" customHeight="1" spans="2:13">
      <c r="B91" s="47"/>
      <c r="C91" s="47"/>
      <c r="D91" s="47"/>
      <c r="E91" s="47"/>
      <c r="F91" s="47"/>
      <c r="G91" s="47"/>
      <c r="H91" s="47"/>
      <c r="I91" s="47"/>
      <c r="J91" s="47"/>
      <c r="K91" s="47"/>
      <c r="L91" s="47"/>
      <c r="M91" s="47"/>
    </row>
    <row r="92" ht="6" customHeight="1" spans="2:13">
      <c r="B92" s="47"/>
      <c r="C92" s="47"/>
      <c r="D92" s="47"/>
      <c r="E92" s="47"/>
      <c r="F92" s="47"/>
      <c r="G92" s="47"/>
      <c r="H92" s="47"/>
      <c r="I92" s="47"/>
      <c r="J92" s="47"/>
      <c r="K92" s="47"/>
      <c r="L92" s="47"/>
      <c r="M92" s="47"/>
    </row>
    <row r="93" spans="1:13">
      <c r="A93" t="b">
        <v>0</v>
      </c>
      <c r="B93" s="73" t="str">
        <f>G75</f>
        <v>LOADING SUMMARY REPORT</v>
      </c>
      <c r="C93" s="73"/>
      <c r="D93" s="73"/>
      <c r="E93" s="73"/>
      <c r="F93" s="74"/>
      <c r="G93" s="75" t="str">
        <f t="shared" ref="G93:G99" si="7">D4</f>
        <v>APPLICANT</v>
      </c>
      <c r="H93" s="76"/>
      <c r="I93" s="88" t="str">
        <f>客户名</f>
        <v>PETROCHINA </v>
      </c>
      <c r="J93" s="89"/>
      <c r="K93" s="89"/>
      <c r="L93" s="89"/>
      <c r="M93" s="90"/>
    </row>
    <row r="94" ht="15" customHeight="1" spans="1:14">
      <c r="A94" t="b">
        <v>0</v>
      </c>
      <c r="B94" s="73"/>
      <c r="C94" s="73"/>
      <c r="D94" s="73"/>
      <c r="E94" s="73"/>
      <c r="F94" s="74"/>
      <c r="G94" s="75" t="str">
        <f t="shared" si="7"/>
        <v>CLIENT'S REF. NO.</v>
      </c>
      <c r="H94" s="76"/>
      <c r="I94" s="91" t="str">
        <f>客户编号</f>
        <v>说也说不清楚</v>
      </c>
      <c r="J94" s="92"/>
      <c r="K94" s="92"/>
      <c r="L94" s="92"/>
      <c r="M94" s="93"/>
      <c r="N94" t="s">
        <v>365</v>
      </c>
    </row>
    <row r="95" spans="2:13">
      <c r="B95" s="73"/>
      <c r="C95" s="73"/>
      <c r="D95" s="73"/>
      <c r="E95" s="73"/>
      <c r="F95" s="74"/>
      <c r="G95" s="75" t="str">
        <f t="shared" si="7"/>
        <v>COMMODITY</v>
      </c>
      <c r="H95" s="76"/>
      <c r="I95" s="91" t="str">
        <f>品名</f>
        <v>Crude Oil6658</v>
      </c>
      <c r="J95" s="92"/>
      <c r="K95" s="92"/>
      <c r="L95" s="92"/>
      <c r="M95" s="93"/>
    </row>
    <row r="96" spans="1:13">
      <c r="A96" t="b">
        <v>0</v>
      </c>
      <c r="B96" s="73"/>
      <c r="C96" s="73"/>
      <c r="D96" s="73"/>
      <c r="E96" s="73"/>
      <c r="F96" s="74"/>
      <c r="G96" s="75" t="str">
        <f t="shared" si="7"/>
        <v>VESSEL</v>
      </c>
      <c r="H96" s="76"/>
      <c r="I96" s="91" t="str">
        <f>船名</f>
        <v>MT ZhenYuanefdasdf</v>
      </c>
      <c r="J96" s="92"/>
      <c r="K96" s="92"/>
      <c r="L96" s="92"/>
      <c r="M96" s="93"/>
    </row>
    <row r="97" spans="1:13">
      <c r="A97" t="b">
        <v>0</v>
      </c>
      <c r="B97" s="73"/>
      <c r="C97" s="73"/>
      <c r="D97" s="73"/>
      <c r="E97" s="73"/>
      <c r="F97" s="74"/>
      <c r="G97" s="75" t="str">
        <f t="shared" si="7"/>
        <v>PORT</v>
      </c>
      <c r="H97" s="76"/>
      <c r="I97" s="91" t="str">
        <f>港口名</f>
        <v>Dalian, Chinafsadfa</v>
      </c>
      <c r="J97" s="92"/>
      <c r="K97" s="92"/>
      <c r="L97" s="92"/>
      <c r="M97" s="93"/>
    </row>
    <row r="98" spans="1:13">
      <c r="A98" t="b">
        <v>0</v>
      </c>
      <c r="B98" s="73"/>
      <c r="C98" s="73"/>
      <c r="D98" s="73"/>
      <c r="E98" s="73"/>
      <c r="F98" s="74"/>
      <c r="G98" s="75" t="str">
        <f t="shared" si="7"/>
        <v>TERMINAL</v>
      </c>
      <c r="H98" s="76"/>
      <c r="I98" s="91" t="str">
        <f>油库名</f>
        <v>Dalian Chinaoil, China1325415</v>
      </c>
      <c r="J98" s="92"/>
      <c r="K98" s="92"/>
      <c r="L98" s="92"/>
      <c r="M98" s="93"/>
    </row>
    <row r="99" spans="2:13">
      <c r="B99" s="73"/>
      <c r="C99" s="73"/>
      <c r="D99" s="73"/>
      <c r="E99" s="73"/>
      <c r="F99" s="74"/>
      <c r="G99" s="75" t="str">
        <f t="shared" si="7"/>
        <v>DATE OF INSPECTION</v>
      </c>
      <c r="H99" s="76"/>
      <c r="I99" s="91" t="str">
        <f>检验日期</f>
        <v>YYYY-MM-DD To YYYY-MM-DD</v>
      </c>
      <c r="J99" s="92"/>
      <c r="K99" s="92"/>
      <c r="L99" s="92"/>
      <c r="M99" s="93"/>
    </row>
    <row r="100" ht="6" customHeight="1" spans="2:13">
      <c r="B100" s="47"/>
      <c r="C100" s="47"/>
      <c r="D100" s="47"/>
      <c r="E100" s="47"/>
      <c r="F100" s="47"/>
      <c r="G100" s="47"/>
      <c r="H100" s="47"/>
      <c r="I100" s="47"/>
      <c r="J100" s="47"/>
      <c r="K100" s="47"/>
      <c r="L100" s="47"/>
      <c r="M100" s="47"/>
    </row>
    <row r="101" spans="2:24">
      <c r="B101" s="47"/>
      <c r="C101" s="47"/>
      <c r="D101" s="47"/>
      <c r="E101" s="47"/>
      <c r="F101" s="47"/>
      <c r="G101" s="47"/>
      <c r="H101" s="77" t="str">
        <f>G37</f>
        <v>FROM</v>
      </c>
      <c r="I101" s="77"/>
      <c r="J101" s="77" t="str">
        <f>G38</f>
        <v>TO</v>
      </c>
      <c r="K101" s="77"/>
      <c r="L101" s="47"/>
      <c r="M101" s="47"/>
      <c r="U101" s="101"/>
      <c r="V101" s="101"/>
      <c r="W101" s="101"/>
      <c r="X101" s="101"/>
    </row>
    <row r="102" s="39" customFormat="1" ht="11.25" spans="3:24">
      <c r="C102" s="78" t="str">
        <f>G40</f>
        <v>TIME LOG</v>
      </c>
      <c r="D102" s="47"/>
      <c r="E102" s="47"/>
      <c r="F102" s="47"/>
      <c r="G102" s="47"/>
      <c r="H102" s="79" t="str">
        <f>G35</f>
        <v>Date</v>
      </c>
      <c r="I102" s="79" t="str">
        <f>G36</f>
        <v>Time</v>
      </c>
      <c r="J102" s="79" t="str">
        <f>H102</f>
        <v>Date</v>
      </c>
      <c r="K102" s="79" t="str">
        <f>I102</f>
        <v>Time</v>
      </c>
      <c r="L102" s="47"/>
      <c r="M102" s="47"/>
      <c r="S102" s="102"/>
      <c r="U102" s="103"/>
      <c r="V102" s="103"/>
      <c r="W102" s="103"/>
      <c r="X102" s="103"/>
    </row>
    <row r="103" ht="12.45" customHeight="1" spans="3:13">
      <c r="C103" s="80" t="str">
        <f>G6</f>
        <v>End of sea passage</v>
      </c>
      <c r="D103" s="47"/>
      <c r="E103" s="47"/>
      <c r="F103" s="47"/>
      <c r="G103" s="47"/>
      <c r="H103" s="81" t="str">
        <f>IF('Time Log'!P108="","",'Time Log'!P108)</f>
        <v>--</v>
      </c>
      <c r="I103" s="81" t="str">
        <f>IF('Time Log'!Q108="","",'Time Log'!Q108)</f>
        <v>--</v>
      </c>
      <c r="J103" s="81" t="str">
        <f>IF('Time Log'!R108="","",'Time Log'!R108)</f>
        <v/>
      </c>
      <c r="K103" s="81" t="str">
        <f>IF('Time Log'!S108="","",'Time Log'!S108)</f>
        <v/>
      </c>
      <c r="L103" s="47"/>
      <c r="M103" s="47"/>
    </row>
    <row r="104" ht="12.45" customHeight="1" spans="3:13">
      <c r="C104" s="80" t="str">
        <f>G7</f>
        <v>Notice of readiness tendered</v>
      </c>
      <c r="D104" s="47"/>
      <c r="E104" s="47"/>
      <c r="F104" s="47"/>
      <c r="G104" s="47"/>
      <c r="H104" s="81" t="str">
        <f>IF('Time Log'!P109="","",'Time Log'!P109)</f>
        <v>--</v>
      </c>
      <c r="I104" s="81" t="str">
        <f>IF('Time Log'!Q109="","",'Time Log'!Q109)</f>
        <v>--</v>
      </c>
      <c r="J104" s="81" t="str">
        <f>IF('Time Log'!R109="","",'Time Log'!R109)</f>
        <v/>
      </c>
      <c r="K104" s="81" t="str">
        <f>IF('Time Log'!S109="","",'Time Log'!S109)</f>
        <v/>
      </c>
      <c r="L104" s="47"/>
      <c r="M104" s="47"/>
    </row>
    <row r="105" ht="12.45" customHeight="1" spans="3:19">
      <c r="C105" s="80" t="str">
        <f>G8</f>
        <v>Notice of readiness accepted</v>
      </c>
      <c r="D105" s="47"/>
      <c r="E105" s="47"/>
      <c r="F105" s="47"/>
      <c r="G105" s="47"/>
      <c r="H105" s="81" t="str">
        <f>IF('Time Log'!P110="","",'Time Log'!P110)</f>
        <v>--</v>
      </c>
      <c r="I105" s="81" t="str">
        <f>IF('Time Log'!Q110="","",'Time Log'!Q110)</f>
        <v>--</v>
      </c>
      <c r="J105" s="81" t="str">
        <f>IF('Time Log'!R110="","",'Time Log'!R110)</f>
        <v/>
      </c>
      <c r="K105" s="81" t="str">
        <f>IF('Time Log'!S110="","",'Time Log'!S110)</f>
        <v/>
      </c>
      <c r="L105" s="47"/>
      <c r="M105" s="47"/>
      <c r="S105" s="50"/>
    </row>
    <row r="106" ht="12.45" customHeight="1" spans="3:13">
      <c r="C106" s="80" t="str">
        <f>G9</f>
        <v>Pilot on board</v>
      </c>
      <c r="D106" s="47"/>
      <c r="E106" s="47"/>
      <c r="F106" s="47"/>
      <c r="G106" s="47"/>
      <c r="H106" s="81" t="str">
        <f>IF('Time Log'!P111="","",'Time Log'!P111)</f>
        <v>--</v>
      </c>
      <c r="I106" s="81" t="str">
        <f>IF('Time Log'!Q111="","",'Time Log'!Q111)</f>
        <v>--</v>
      </c>
      <c r="J106" s="81" t="str">
        <f>IF('Time Log'!R111="","",'Time Log'!R111)</f>
        <v/>
      </c>
      <c r="K106" s="81" t="str">
        <f>IF('Time Log'!S111="","",'Time Log'!S111)</f>
        <v/>
      </c>
      <c r="L106" s="47"/>
      <c r="M106" s="47"/>
    </row>
    <row r="107" ht="12.45" customHeight="1" spans="3:13">
      <c r="C107" s="80" t="str">
        <f>G12</f>
        <v>All fast</v>
      </c>
      <c r="D107" s="47"/>
      <c r="E107" s="47"/>
      <c r="F107" s="47"/>
      <c r="G107" s="47"/>
      <c r="H107" s="81" t="str">
        <f>IF('Time Log'!P114="","",'Time Log'!P114)</f>
        <v>--</v>
      </c>
      <c r="I107" s="81" t="str">
        <f>IF('Time Log'!Q114="","",'Time Log'!Q114)</f>
        <v>--</v>
      </c>
      <c r="J107" s="81" t="str">
        <f>IF('Time Log'!R114="","",'Time Log'!R114)</f>
        <v/>
      </c>
      <c r="K107" s="81" t="str">
        <f>IF('Time Log'!S114="","",'Time Log'!S114)</f>
        <v/>
      </c>
      <c r="L107" s="47"/>
      <c r="M107" s="47"/>
    </row>
    <row r="108" ht="12.45" customHeight="1" spans="3:13">
      <c r="C108" s="80" t="str">
        <f>IF('Time Log'!arm=TRUE,G44,G45)</f>
        <v>Arm(s) connected</v>
      </c>
      <c r="D108" s="47"/>
      <c r="E108" s="47"/>
      <c r="F108" s="47"/>
      <c r="G108" s="47"/>
      <c r="H108" s="81" t="str">
        <f>IF('Time Log'!P131="","",'Time Log'!P131)</f>
        <v/>
      </c>
      <c r="I108" s="81" t="str">
        <f>IF('Time Log'!Q131="","",'Time Log'!Q131)</f>
        <v/>
      </c>
      <c r="J108" s="81" t="str">
        <f>IF('Time Log'!R131="","",'Time Log'!R131)</f>
        <v/>
      </c>
      <c r="K108" s="81" t="str">
        <f>IF('Time Log'!S131="","",'Time Log'!S131)</f>
        <v/>
      </c>
      <c r="L108" s="47"/>
      <c r="M108" s="47"/>
    </row>
    <row r="109" ht="12.45" customHeight="1" spans="3:13">
      <c r="C109" s="80" t="str">
        <f>G28</f>
        <v>Commenced load</v>
      </c>
      <c r="D109" s="47"/>
      <c r="E109" s="47"/>
      <c r="F109" s="47"/>
      <c r="G109" s="47"/>
      <c r="H109" s="81" t="str">
        <f>IF('Time Log'!P132="","",'Time Log'!P132)</f>
        <v/>
      </c>
      <c r="I109" s="81" t="str">
        <f>IF('Time Log'!Q132="","",'Time Log'!Q132)</f>
        <v/>
      </c>
      <c r="J109" s="81" t="str">
        <f>IF('Time Log'!R132="","",'Time Log'!R132)</f>
        <v>--</v>
      </c>
      <c r="K109" s="81" t="str">
        <f>IF('Time Log'!S132="","",'Time Log'!S132)</f>
        <v>--</v>
      </c>
      <c r="L109" s="47"/>
      <c r="M109" s="47"/>
    </row>
    <row r="110" ht="12.45" customHeight="1" spans="3:13">
      <c r="C110" s="80" t="str">
        <f>G33</f>
        <v>Completed load</v>
      </c>
      <c r="D110" s="47"/>
      <c r="E110" s="47"/>
      <c r="F110" s="47"/>
      <c r="G110" s="47"/>
      <c r="H110" s="81" t="str">
        <f>IF('Time Log'!P137="","",'Time Log'!P137)</f>
        <v>--</v>
      </c>
      <c r="I110" s="81" t="str">
        <f>IF('Time Log'!Q137="","",'Time Log'!Q137)</f>
        <v>--</v>
      </c>
      <c r="J110" s="81" t="str">
        <f>IF('Time Log'!R137="","",'Time Log'!R137)</f>
        <v/>
      </c>
      <c r="K110" s="81" t="str">
        <f>IF('Time Log'!S137="","",'Time Log'!S137)</f>
        <v/>
      </c>
      <c r="L110" s="47"/>
      <c r="M110" s="47"/>
    </row>
    <row r="111" ht="12.45" customHeight="1" spans="3:13">
      <c r="C111" s="80" t="str">
        <f>IF('Time Log'!arm=TRUE,G46,G47)</f>
        <v>Arm(s) disconnected</v>
      </c>
      <c r="D111" s="47"/>
      <c r="E111" s="47"/>
      <c r="F111" s="47"/>
      <c r="G111" s="47"/>
      <c r="H111" s="81" t="str">
        <f>IF('Time Log'!P138="","",'Time Log'!P138)</f>
        <v/>
      </c>
      <c r="I111" s="81" t="str">
        <f>IF('Time Log'!Q138="","",'Time Log'!Q138)</f>
        <v/>
      </c>
      <c r="J111" s="81" t="str">
        <f>IF('Time Log'!R138="","",'Time Log'!R138)</f>
        <v/>
      </c>
      <c r="K111" s="81" t="str">
        <f>IF('Time Log'!S138="","",'Time Log'!S138)</f>
        <v/>
      </c>
      <c r="L111" s="47"/>
      <c r="M111" s="47"/>
    </row>
    <row r="112" ht="12.45" customHeight="1" spans="3:13">
      <c r="C112" s="80" t="str">
        <f>G34</f>
        <v>Estimated sailing time</v>
      </c>
      <c r="D112" s="47"/>
      <c r="E112" s="47"/>
      <c r="F112" s="47"/>
      <c r="H112" s="81" t="str">
        <f>IF('Time Log'!P142="","",'Time Log'!P142)</f>
        <v>--</v>
      </c>
      <c r="I112" s="81" t="str">
        <f>IF('Time Log'!Q142="","",'Time Log'!Q142)</f>
        <v>--</v>
      </c>
      <c r="J112" s="81" t="str">
        <f>IF('Time Log'!R142="","",'Time Log'!R142)</f>
        <v/>
      </c>
      <c r="K112" s="81" t="str">
        <f>IF('Time Log'!S142="","",'Time Log'!S142)</f>
        <v/>
      </c>
      <c r="L112" s="47"/>
      <c r="M112" s="47"/>
    </row>
    <row r="113" ht="10.8" customHeight="1" spans="3:13">
      <c r="C113" s="70" t="str">
        <f>G48</f>
        <v>QUANTITIES</v>
      </c>
      <c r="D113" s="47"/>
      <c r="E113" s="47"/>
      <c r="F113" s="47"/>
      <c r="G113" s="47"/>
      <c r="I113" s="94"/>
      <c r="K113" s="47"/>
      <c r="L113" s="47"/>
      <c r="M113" s="47"/>
    </row>
    <row r="114" ht="10.8" customHeight="1" spans="3:13">
      <c r="C114" s="80" t="str">
        <f>G73</f>
        <v>VCF table used at discharge port</v>
      </c>
      <c r="D114" s="47"/>
      <c r="E114" s="47"/>
      <c r="F114" s="82" t="str">
        <f>vcfTab</f>
        <v>T-60B</v>
      </c>
      <c r="G114" s="83" t="str">
        <f>G74</f>
        <v>VEF</v>
      </c>
      <c r="H114" s="82">
        <f>VEF!R127</f>
        <v>0.9986</v>
      </c>
      <c r="I114" s="95" t="str">
        <f>VEF!N128</f>
        <v/>
      </c>
      <c r="J114" s="95"/>
      <c r="K114" s="47"/>
      <c r="L114" s="47"/>
      <c r="M114" s="47"/>
    </row>
    <row r="115" ht="11.4" customHeight="1" spans="3:13">
      <c r="C115" s="70" t="str">
        <f>G71</f>
        <v>- Gross Quantity</v>
      </c>
      <c r="D115" s="47"/>
      <c r="E115" s="47"/>
      <c r="F115" s="47"/>
      <c r="G115" s="47"/>
      <c r="H115" s="84" t="str">
        <f>IF(LEFT(vcfTab,4)="T-54",G67,IF(LEFT(vcfTab,4)="T-60",G68,G66))</f>
        <v>m³ (20℃)</v>
      </c>
      <c r="I115" s="84" t="str">
        <f>IF(LEFT(vcfTab,4)="T-54",G69,IF(LEFT(vcfTab,4)="T-60",G69,G70))</f>
        <v>MT (air)</v>
      </c>
      <c r="J115" s="84" t="str">
        <f>IF(LEFT(vcfTab,4)="T-54",G66,IF(LEFT(vcfTab,4)="T-60",G66,G67))</f>
        <v>Bbls (60℉)</v>
      </c>
      <c r="K115" s="84" t="str">
        <f>IF(LEFT(vcfTab,4)="T-54",G70,IF(LEFT(vcfTab,4)="T-60",G70,G69))</f>
        <v>LT (air)</v>
      </c>
      <c r="L115" s="47"/>
      <c r="M115" s="47"/>
    </row>
    <row r="116" ht="12" customHeight="1" spans="3:13">
      <c r="C116" s="80" t="str">
        <f>$G$49</f>
        <v>Bill of Lading</v>
      </c>
      <c r="D116" s="47"/>
      <c r="E116" s="47"/>
      <c r="F116" s="47"/>
      <c r="G116" s="47"/>
      <c r="H116" s="85">
        <v>2098908</v>
      </c>
      <c r="I116" s="96">
        <v>269416</v>
      </c>
      <c r="J116" s="85" t="s">
        <v>366</v>
      </c>
      <c r="K116" s="96">
        <v>273740</v>
      </c>
      <c r="L116" s="47"/>
      <c r="M116" s="47"/>
    </row>
    <row r="117" ht="12" customHeight="1" spans="3:13">
      <c r="C117" s="80" t="str">
        <f>P36</f>
        <v>Shore Tanks Delivered Quantity</v>
      </c>
      <c r="D117" s="47"/>
      <c r="E117" s="47"/>
      <c r="F117" s="47"/>
      <c r="G117" s="47"/>
      <c r="H117" s="82" t="e">
        <f>INDEX($G$48:$N$61,MATCH($C117,$G$48:$G$61,0),MATCH(H$115,$G$48:$N$48,0))</f>
        <v>#NAME?</v>
      </c>
      <c r="I117" s="97" t="e">
        <f>INDEX($G$48:$N$61,MATCH($C117,$G$48:$G$61,0),MATCH(I$115,$G$48:$N$48,0))</f>
        <v>#NAME?</v>
      </c>
      <c r="J117" s="82" t="e">
        <f>INDEX($G$48:$N$61,MATCH($C117,$G$48:$G$61,0),MATCH(J$115,$G$48:$N$48,0))</f>
        <v>#NAME?</v>
      </c>
      <c r="K117" s="97" t="e">
        <f>INDEX($G$48:$N$61,MATCH($C117,$G$48:$G$61,0),MATCH(K$115,$G$48:$N$48,0))</f>
        <v>#NAME?</v>
      </c>
      <c r="L117" s="47"/>
      <c r="M117" s="47"/>
    </row>
    <row r="118" ht="12" customHeight="1" spans="3:13">
      <c r="C118" s="80" t="str">
        <f>G60</f>
        <v>O.B.Q. Quantity</v>
      </c>
      <c r="D118" s="47"/>
      <c r="E118" s="47"/>
      <c r="F118" s="47"/>
      <c r="G118" s="47"/>
      <c r="H118" s="82">
        <f>IF(H60="","",H60)</f>
        <v>3764.991</v>
      </c>
      <c r="I118" s="98"/>
      <c r="J118" s="99"/>
      <c r="K118" s="100"/>
      <c r="L118" s="47"/>
      <c r="M118" s="47"/>
    </row>
    <row r="119" ht="12" customHeight="1" spans="3:13">
      <c r="C119" s="80" t="str">
        <f>$G$51</f>
        <v>Vessel Tank Quantity After Load</v>
      </c>
      <c r="D119" s="47"/>
      <c r="E119" s="47"/>
      <c r="F119" s="47"/>
      <c r="G119" s="47"/>
      <c r="H119" s="82">
        <f>INDEX($G$48:$N$61,MATCH($C119,$G$48:$G$61,0),MATCH(H$115,$G$48:$N$48,0))</f>
        <v>48120.731</v>
      </c>
      <c r="I119" s="97">
        <f t="shared" ref="I119:K120" si="8">INDEX($G$48:$N$61,MATCH($C119,$G$48:$G$61,0),MATCH(I$115,$G$48:$N$48,0))</f>
        <v>39386.818</v>
      </c>
      <c r="J119" s="82">
        <f t="shared" si="8"/>
        <v>301466.7</v>
      </c>
      <c r="K119" s="97">
        <f t="shared" si="8"/>
        <v>38764.743</v>
      </c>
      <c r="L119" s="47"/>
      <c r="M119" s="47"/>
    </row>
    <row r="120" ht="12" customHeight="1" spans="3:13">
      <c r="C120" s="86" t="str">
        <f>$G$53</f>
        <v>Vessel Loaded Quantity</v>
      </c>
      <c r="D120" s="47"/>
      <c r="E120" s="47"/>
      <c r="F120" s="47"/>
      <c r="G120" s="47"/>
      <c r="H120" s="82">
        <f>INDEX($G$48:$N$61,MATCH($C120,$G$48:$G$61,0),MATCH(H$115,$G$48:$N$48,0))</f>
        <v>44355.74</v>
      </c>
      <c r="I120" s="97">
        <f t="shared" si="8"/>
        <v>36305.173</v>
      </c>
      <c r="J120" s="82">
        <f t="shared" si="8"/>
        <v>277879.79</v>
      </c>
      <c r="K120" s="97">
        <f t="shared" si="8"/>
        <v>35731.769</v>
      </c>
      <c r="L120" s="47"/>
      <c r="M120" s="47"/>
    </row>
    <row r="121" ht="12" customHeight="1" spans="3:13">
      <c r="C121" s="80" t="str">
        <f>IF(语言序号=1,"Diff. with "&amp;$G$49,"与"&amp;$G$49&amp;"数量差异")</f>
        <v>Diff. with Bill of Lading</v>
      </c>
      <c r="D121" s="47"/>
      <c r="E121" s="47"/>
      <c r="F121" s="47"/>
      <c r="G121" s="47"/>
      <c r="H121" s="82">
        <f>IF(H116="","",IF(ISNUMBER(H116)=FALSE,"N/A",H120-H116))</f>
        <v>-2054552.26</v>
      </c>
      <c r="I121" s="97">
        <f>IF(I116="","",IF(ISNUMBER(I116)=FALSE,"N/A",I120-I116))</f>
        <v>-233110.827</v>
      </c>
      <c r="J121" s="82" t="str">
        <f>IF(J116="","",IF(ISNUMBER(J116)=FALSE,"N/A",J120-J116))</f>
        <v>N/A</v>
      </c>
      <c r="K121" s="97">
        <f>IF(K116="","",IF(ISNUMBER(K116)=FALSE,"N/A",K120-K116))</f>
        <v>-238008.231</v>
      </c>
      <c r="L121" s="47"/>
      <c r="M121" s="47"/>
    </row>
    <row r="122" ht="12" customHeight="1" spans="3:13">
      <c r="C122" s="80" t="str">
        <f>$G$63</f>
        <v>Difference Percentage</v>
      </c>
      <c r="D122" s="47"/>
      <c r="E122" s="47"/>
      <c r="F122" s="47"/>
      <c r="G122" s="47"/>
      <c r="H122" s="87">
        <f>IF(H116="","",IF(ISNUMBER(H116)=FALSE,"N/A",H121/H116))</f>
        <v>-0.978867230007223</v>
      </c>
      <c r="I122" s="87">
        <f>IF(I116="","",IF(ISNUMBER(I116)=FALSE,"N/A",I121/I116))</f>
        <v>-0.865244926062298</v>
      </c>
      <c r="J122" s="87" t="str">
        <f>IF(J116="","",IF(ISNUMBER(J116)=FALSE,"N/A",J121/J116))</f>
        <v>N/A</v>
      </c>
      <c r="K122" s="87">
        <f>IF(K116="","",IF(ISNUMBER(K116)=FALSE,"N/A",K121/K116))</f>
        <v>-0.869468221670198</v>
      </c>
      <c r="L122" s="47"/>
      <c r="M122" s="47"/>
    </row>
    <row r="123" ht="12" customHeight="1" spans="3:13">
      <c r="C123" s="80" t="str">
        <f>IF(语言序号=1,"Diff. with "&amp;$G$56,"与"&amp;$G$56&amp;"数量差异")</f>
        <v>Diff. with Shore Tanks Delivered Quantity</v>
      </c>
      <c r="D123" s="47"/>
      <c r="E123" s="47"/>
      <c r="F123" s="47"/>
      <c r="G123" s="47"/>
      <c r="H123" s="82" t="e">
        <f>IF(H117="","",IF(ISNUMBER(H117)=FALSE,"N/A",H120-H117))</f>
        <v>#NAME?</v>
      </c>
      <c r="I123" s="97" t="e">
        <f>IF(I117="","",IF(ISNUMBER(I117)=FALSE,"N/A",I120-I117))</f>
        <v>#NAME?</v>
      </c>
      <c r="J123" s="82" t="e">
        <f>IF(J117="","",IF(ISNUMBER(J117)=FALSE,"N/A",J120-J117))</f>
        <v>#NAME?</v>
      </c>
      <c r="K123" s="97" t="e">
        <f>IF(K117="","",IF(ISNUMBER(K117)=FALSE,"N/A",K120-K117))</f>
        <v>#NAME?</v>
      </c>
      <c r="L123" s="47"/>
      <c r="M123" s="47"/>
    </row>
    <row r="124" ht="12" customHeight="1" spans="3:13">
      <c r="C124" s="80" t="str">
        <f>$G$63</f>
        <v>Difference Percentage</v>
      </c>
      <c r="D124" s="47"/>
      <c r="E124" s="47"/>
      <c r="F124" s="47"/>
      <c r="G124" s="47"/>
      <c r="H124" s="87" t="e">
        <f>IF(H117="","",IF(ISNUMBER(H117)=FALSE,"N/A",H123/H117))</f>
        <v>#NAME?</v>
      </c>
      <c r="I124" s="87" t="e">
        <f>IF(I117="","",IF(ISNUMBER(I117)=FALSE,"N/A",I123/I117))</f>
        <v>#NAME?</v>
      </c>
      <c r="J124" s="87" t="e">
        <f>IF(J117="","",IF(ISNUMBER(J117)=FALSE,"N/A",J123/J117))</f>
        <v>#NAME?</v>
      </c>
      <c r="K124" s="87" t="e">
        <f>IF(K117="","",IF(ISNUMBER(K117)=FALSE,"N/A",K123/K117))</f>
        <v>#NAME?</v>
      </c>
      <c r="L124" s="47"/>
      <c r="M124" s="47"/>
    </row>
    <row r="125" ht="12" customHeight="1" spans="3:13">
      <c r="C125" s="86" t="str">
        <f>$G$54</f>
        <v>*Vessel Loaded Quantity Applied VEF</v>
      </c>
      <c r="D125" s="47"/>
      <c r="E125" s="47"/>
      <c r="F125" s="47"/>
      <c r="G125" s="47"/>
      <c r="H125" s="82">
        <f>INDEX($G$48:$N$61,MATCH($C125,$G$48:$G$61,0),MATCH(H$115,$G$48:$N$48,0))</f>
        <v>44417.925</v>
      </c>
      <c r="I125" s="97">
        <f t="shared" ref="I125:K125" si="9">INDEX($G$48:$N$61,MATCH($C125,$G$48:$G$61,0),MATCH(I$115,$G$48:$N$48,0))</f>
        <v>36356.072</v>
      </c>
      <c r="J125" s="82">
        <f t="shared" si="9"/>
        <v>278269.37</v>
      </c>
      <c r="K125" s="97">
        <f t="shared" si="9"/>
        <v>35781.864</v>
      </c>
      <c r="L125" s="47"/>
      <c r="M125" s="47"/>
    </row>
    <row r="126" ht="12" customHeight="1" spans="3:13">
      <c r="C126" s="80" t="str">
        <f>IF(语言序号=1,"Diff. with "&amp;$G$49,"与"&amp;$G$49&amp;"数量差异")</f>
        <v>Diff. with Bill of Lading</v>
      </c>
      <c r="D126" s="47"/>
      <c r="E126" s="47"/>
      <c r="F126" s="47"/>
      <c r="G126" s="47"/>
      <c r="H126" s="82">
        <f>IF(H116="","",IF(ISNUMBER(H116)=FALSE,"N/A",H125-H116))</f>
        <v>-2054490.075</v>
      </c>
      <c r="I126" s="97">
        <f>IF(I116="","",IF(ISNUMBER(I116)=FALSE,"N/A",I125-I116))</f>
        <v>-233059.928</v>
      </c>
      <c r="J126" s="82" t="str">
        <f>IF(J116="","",IF(ISNUMBER(J116)=FALSE,"N/A",J125-J116))</f>
        <v>N/A</v>
      </c>
      <c r="K126" s="97">
        <f>IF(K116="","",IF(ISNUMBER(K116)=FALSE,"N/A",K125-K116))</f>
        <v>-237958.136</v>
      </c>
      <c r="L126" s="47"/>
      <c r="M126" s="47"/>
    </row>
    <row r="127" ht="12" customHeight="1" spans="3:13">
      <c r="C127" s="80" t="str">
        <f>$G$63</f>
        <v>Difference Percentage</v>
      </c>
      <c r="D127" s="47"/>
      <c r="E127" s="47"/>
      <c r="F127" s="47"/>
      <c r="G127" s="47"/>
      <c r="H127" s="87">
        <f>IF(H116="","",IF(ISNUMBER(H116)=FALSE,"N/A",H126/H116))</f>
        <v>-0.978837602696259</v>
      </c>
      <c r="I127" s="87">
        <f>IF(I116="","",IF(ISNUMBER(I116)=FALSE,"N/A",I126/I116))</f>
        <v>-0.865056002613059</v>
      </c>
      <c r="J127" s="87" t="str">
        <f>IF(J116="","",IF(ISNUMBER(J116)=FALSE,"N/A",J126/J116))</f>
        <v>N/A</v>
      </c>
      <c r="K127" s="87">
        <f>IF(K116="","",IF(ISNUMBER(K116)=FALSE,"N/A",K126/K116))</f>
        <v>-0.869285219551399</v>
      </c>
      <c r="L127" s="47"/>
      <c r="M127" s="47"/>
    </row>
    <row r="128" ht="12" customHeight="1" spans="3:13">
      <c r="C128" s="80" t="str">
        <f>IF(语言序号=1,"Diff. with "&amp;$G$56,"与"&amp;$G$56&amp;"数量差异")</f>
        <v>Diff. with Shore Tanks Delivered Quantity</v>
      </c>
      <c r="D128" s="47"/>
      <c r="E128" s="47"/>
      <c r="F128" s="47"/>
      <c r="G128" s="47"/>
      <c r="H128" s="82" t="e">
        <f>IF(H117="","",IF(ISNUMBER(H117)=FALSE,"N/A",H125-H117))</f>
        <v>#NAME?</v>
      </c>
      <c r="I128" s="97" t="e">
        <f>IF(I117="","",IF(ISNUMBER(I117)=FALSE,"N/A",I125-I117))</f>
        <v>#NAME?</v>
      </c>
      <c r="J128" s="82" t="e">
        <f>IF(J117="","",IF(ISNUMBER(J117)=FALSE,"N/A",J125-J117))</f>
        <v>#NAME?</v>
      </c>
      <c r="K128" s="97" t="e">
        <f>IF(K117="","",IF(ISNUMBER(K117)=FALSE,"N/A",K125-K117))</f>
        <v>#NAME?</v>
      </c>
      <c r="L128" s="47"/>
      <c r="M128" s="47"/>
    </row>
    <row r="129" ht="12" customHeight="1" spans="3:13">
      <c r="C129" s="80" t="str">
        <f>$G$63</f>
        <v>Difference Percentage</v>
      </c>
      <c r="D129" s="47"/>
      <c r="E129" s="47"/>
      <c r="F129" s="47"/>
      <c r="G129" s="47"/>
      <c r="H129" s="87" t="e">
        <f>IF(H117="","",IF(ISNUMBER(H117)=FALSE,"N/A",H128/H117))</f>
        <v>#NAME?</v>
      </c>
      <c r="I129" s="87" t="e">
        <f>IF(I117="","",IF(ISNUMBER(I117)=FALSE,"N/A",I128/I117))</f>
        <v>#NAME?</v>
      </c>
      <c r="J129" s="87" t="e">
        <f>IF(J117="","",IF(ISNUMBER(J117)=FALSE,"N/A",J128/J117))</f>
        <v>#NAME?</v>
      </c>
      <c r="K129" s="87" t="e">
        <f>IF(K117="","",IF(ISNUMBER(K117)=FALSE,"N/A",K128/K117))</f>
        <v>#NAME?</v>
      </c>
      <c r="L129" s="47"/>
      <c r="M129" s="47"/>
    </row>
    <row r="130" spans="2:13">
      <c r="B130" s="47"/>
      <c r="C130" s="70" t="str">
        <f>G72</f>
        <v>- Net Quantity</v>
      </c>
      <c r="D130" s="47"/>
      <c r="E130" s="47"/>
      <c r="F130" s="47"/>
      <c r="G130" s="47"/>
      <c r="H130" s="84" t="str">
        <f>H115</f>
        <v>m³ (20℃)</v>
      </c>
      <c r="I130" s="84" t="str">
        <f>I115</f>
        <v>MT (air)</v>
      </c>
      <c r="J130" s="84" t="str">
        <f>J115</f>
        <v>Bbls (60℉)</v>
      </c>
      <c r="K130" s="84" t="str">
        <f>K115</f>
        <v>LT (air)</v>
      </c>
      <c r="L130" s="47"/>
      <c r="M130" s="47"/>
    </row>
    <row r="131" ht="12" customHeight="1" spans="2:13">
      <c r="B131" s="47"/>
      <c r="C131" s="80" t="str">
        <f>$G$49</f>
        <v>Bill of Lading</v>
      </c>
      <c r="D131" s="47"/>
      <c r="E131" s="47"/>
      <c r="F131" s="47"/>
      <c r="G131" s="47"/>
      <c r="H131" s="85">
        <v>2098908</v>
      </c>
      <c r="I131" s="96">
        <v>269416</v>
      </c>
      <c r="J131" s="85" t="s">
        <v>366</v>
      </c>
      <c r="K131" s="96">
        <v>273740</v>
      </c>
      <c r="L131" s="47"/>
      <c r="M131" s="47"/>
    </row>
    <row r="132" ht="12" customHeight="1" spans="2:13">
      <c r="B132" s="47"/>
      <c r="C132" s="80" t="str">
        <f>P36</f>
        <v>Shore Tanks Delivered Quantity</v>
      </c>
      <c r="D132" s="47"/>
      <c r="E132" s="47"/>
      <c r="F132" s="47"/>
      <c r="G132" s="47"/>
      <c r="H132" s="82" t="e">
        <f>INDEX($O$48:$S$61,MATCH($C132,$G$48:$G$61,0),MATCH(H$130,$O$48:$S$48,0))</f>
        <v>#VALUE!</v>
      </c>
      <c r="I132" s="97" t="e">
        <f t="shared" ref="I132:K132" si="10">INDEX($O$48:$S$61,MATCH($C132,$G$48:$G$61,0),MATCH(I$130,$O$48:$S$48,0))</f>
        <v>#VALUE!</v>
      </c>
      <c r="J132" s="82" t="e">
        <f t="shared" si="10"/>
        <v>#VALUE!</v>
      </c>
      <c r="K132" s="97" t="e">
        <f t="shared" si="10"/>
        <v>#VALUE!</v>
      </c>
      <c r="L132" s="47"/>
      <c r="M132" s="47"/>
    </row>
    <row r="133" ht="12" customHeight="1" spans="2:13">
      <c r="B133" s="47"/>
      <c r="C133" s="80" t="str">
        <f>$G$51</f>
        <v>Vessel Tank Quantity After Load</v>
      </c>
      <c r="D133" s="47"/>
      <c r="E133" s="47"/>
      <c r="F133" s="47"/>
      <c r="G133" s="47"/>
      <c r="H133" s="82">
        <f t="shared" ref="H133:K134" si="11">INDEX($O$48:$S$61,MATCH($C133,$G$48:$G$61,0),MATCH(H$130,$O$48:$S$48,0))</f>
        <v>47965.301</v>
      </c>
      <c r="I133" s="97">
        <f t="shared" si="11"/>
        <v>39259.599</v>
      </c>
      <c r="J133" s="82">
        <f t="shared" si="11"/>
        <v>300492.96</v>
      </c>
      <c r="K133" s="97">
        <f t="shared" si="11"/>
        <v>38639.533</v>
      </c>
      <c r="L133" s="47"/>
      <c r="M133" s="47"/>
    </row>
    <row r="134" ht="12" customHeight="1" spans="2:13">
      <c r="B134" s="47"/>
      <c r="C134" s="86" t="str">
        <f>$G$53</f>
        <v>Vessel Loaded Quantity</v>
      </c>
      <c r="D134" s="47"/>
      <c r="E134" s="47"/>
      <c r="F134" s="47"/>
      <c r="G134" s="47"/>
      <c r="H134" s="82">
        <f t="shared" si="11"/>
        <v>44212.471</v>
      </c>
      <c r="I134" s="97">
        <f t="shared" si="11"/>
        <v>36187.907</v>
      </c>
      <c r="J134" s="82">
        <f t="shared" si="11"/>
        <v>276982.24</v>
      </c>
      <c r="K134" s="97">
        <f t="shared" si="11"/>
        <v>35616.355</v>
      </c>
      <c r="L134" s="47"/>
      <c r="M134" s="47"/>
    </row>
    <row r="135" ht="12" customHeight="1" spans="2:13">
      <c r="B135" s="47"/>
      <c r="C135" s="80" t="str">
        <f>IF(语言序号=1,"Diff. with "&amp;$G$49,"与"&amp;$G$49&amp;"数量差异")</f>
        <v>Diff. with Bill of Lading</v>
      </c>
      <c r="D135" s="47"/>
      <c r="E135" s="47"/>
      <c r="F135" s="47"/>
      <c r="G135" s="47"/>
      <c r="H135" s="82">
        <f>IF(H131="","",IF(ISNUMBER(H131)=FALSE,"N/A",H134-H131))</f>
        <v>-2054695.529</v>
      </c>
      <c r="I135" s="97">
        <f>IF(I131="","",IF(ISNUMBER(I131)=FALSE,"N/A",I134-I131))</f>
        <v>-233228.093</v>
      </c>
      <c r="J135" s="82" t="str">
        <f t="shared" ref="J135:K135" si="12">IF(J131="","",IF(ISNUMBER(J131)=FALSE,"N/A",J134-J131))</f>
        <v>N/A</v>
      </c>
      <c r="K135" s="97">
        <f t="shared" si="12"/>
        <v>-238123.645</v>
      </c>
      <c r="L135" s="47"/>
      <c r="M135" s="47"/>
    </row>
    <row r="136" ht="12" customHeight="1" spans="2:13">
      <c r="B136" s="47"/>
      <c r="C136" s="80" t="str">
        <f>$G$63</f>
        <v>Difference Percentage</v>
      </c>
      <c r="D136" s="47"/>
      <c r="E136" s="47"/>
      <c r="F136" s="47"/>
      <c r="G136" s="47"/>
      <c r="H136" s="87">
        <f>IF(H131="","",IF(ISNUMBER(H131)=FALSE,"N/A",H135/H131))</f>
        <v>-0.978935488835147</v>
      </c>
      <c r="I136" s="87">
        <f t="shared" ref="I136:K136" si="13">IF(I131="","",IF(ISNUMBER(I131)=FALSE,"N/A",I135/I131))</f>
        <v>-0.86568018603201</v>
      </c>
      <c r="J136" s="87" t="str">
        <f t="shared" si="13"/>
        <v>N/A</v>
      </c>
      <c r="K136" s="87">
        <f t="shared" si="13"/>
        <v>-0.869889840724775</v>
      </c>
      <c r="L136" s="47"/>
      <c r="M136" s="47"/>
    </row>
    <row r="137" ht="12" customHeight="1" spans="2:13">
      <c r="B137" s="47"/>
      <c r="C137" s="80" t="str">
        <f>IF(语言序号=1,"Diff. with "&amp;$G$56,"与"&amp;$G$56&amp;"数量差异")</f>
        <v>Diff. with Shore Tanks Delivered Quantity</v>
      </c>
      <c r="D137" s="47"/>
      <c r="E137" s="47"/>
      <c r="F137" s="47"/>
      <c r="G137" s="47"/>
      <c r="H137" s="82" t="e">
        <f>IF(H132="","",IF(ISNUMBER(H132)=FALSE,"N/A",H134-H132))</f>
        <v>#VALUE!</v>
      </c>
      <c r="I137" s="97" t="e">
        <f t="shared" ref="I137:K137" si="14">IF(I132="","",IF(ISNUMBER(I132)=FALSE,"N/A",I134-I132))</f>
        <v>#VALUE!</v>
      </c>
      <c r="J137" s="82" t="e">
        <f t="shared" si="14"/>
        <v>#VALUE!</v>
      </c>
      <c r="K137" s="97" t="e">
        <f t="shared" si="14"/>
        <v>#VALUE!</v>
      </c>
      <c r="L137" s="47"/>
      <c r="M137" s="47"/>
    </row>
    <row r="138" ht="12" customHeight="1" spans="2:13">
      <c r="B138" s="47"/>
      <c r="C138" s="80" t="str">
        <f>$G$63</f>
        <v>Difference Percentage</v>
      </c>
      <c r="D138" s="47"/>
      <c r="E138" s="47"/>
      <c r="F138" s="47"/>
      <c r="G138" s="47"/>
      <c r="H138" s="87" t="e">
        <f>IF(H132="","",IF(ISNUMBER(H132)=FALSE,"N/A",H137/H132))</f>
        <v>#VALUE!</v>
      </c>
      <c r="I138" s="87" t="e">
        <f t="shared" ref="I138:K138" si="15">IF(I132="","",IF(ISNUMBER(I132)=FALSE,"N/A",I137/I132))</f>
        <v>#VALUE!</v>
      </c>
      <c r="J138" s="87" t="e">
        <f t="shared" si="15"/>
        <v>#VALUE!</v>
      </c>
      <c r="K138" s="87" t="e">
        <f t="shared" si="15"/>
        <v>#VALUE!</v>
      </c>
      <c r="L138" s="47"/>
      <c r="M138" s="47"/>
    </row>
    <row r="139" ht="12" customHeight="1" spans="2:13">
      <c r="B139" s="47"/>
      <c r="C139" s="86" t="str">
        <f>$G$54</f>
        <v>*Vessel Loaded Quantity Applied VEF</v>
      </c>
      <c r="D139" s="47"/>
      <c r="E139" s="47"/>
      <c r="F139" s="47"/>
      <c r="G139" s="47"/>
      <c r="H139" s="82">
        <f>INDEX($O$48:$S$61,MATCH($C139,$G$48:$G$61,0),MATCH(H$130,$O$48:$S$48,0))</f>
        <v>44274.455</v>
      </c>
      <c r="I139" s="97">
        <f>INDEX($O$48:$S$61,MATCH($C139,$G$48:$G$61,0),MATCH(I$130,$O$48:$S$48,0))</f>
        <v>36238.641</v>
      </c>
      <c r="J139" s="82">
        <f>INDEX($O$48:$S$61,MATCH($C139,$G$48:$G$61,0),MATCH(J$130,$O$48:$S$48,0))</f>
        <v>277370.56</v>
      </c>
      <c r="K139" s="97">
        <f>INDEX($O$48:$S$61,MATCH($C139,$G$48:$G$61,0),MATCH(K$130,$O$48:$S$48,0))</f>
        <v>35666.288</v>
      </c>
      <c r="L139" s="47"/>
      <c r="M139" s="47"/>
    </row>
    <row r="140" ht="12" customHeight="1" spans="2:13">
      <c r="B140" s="47"/>
      <c r="C140" s="80" t="str">
        <f>IF(语言序号=1,"Diff. with "&amp;$G$49,"与"&amp;$G$49&amp;"数量差异")</f>
        <v>Diff. with Bill of Lading</v>
      </c>
      <c r="D140" s="47"/>
      <c r="E140" s="47"/>
      <c r="F140" s="47"/>
      <c r="G140" s="47"/>
      <c r="H140" s="82">
        <f>IF(H131="","",IF(ISNUMBER(H131)=FALSE,"N/A",H139-H131))</f>
        <v>-2054633.545</v>
      </c>
      <c r="I140" s="97">
        <f t="shared" ref="I140:K140" si="16">IF(I131="","",IF(ISNUMBER(I131)=FALSE,"N/A",I139-I131))</f>
        <v>-233177.359</v>
      </c>
      <c r="J140" s="82" t="str">
        <f t="shared" si="16"/>
        <v>N/A</v>
      </c>
      <c r="K140" s="97">
        <f t="shared" si="16"/>
        <v>-238073.712</v>
      </c>
      <c r="L140" s="47"/>
      <c r="M140" s="47"/>
    </row>
    <row r="141" ht="12" customHeight="1" spans="2:13">
      <c r="B141" s="47"/>
      <c r="C141" s="80" t="str">
        <f>$G$63</f>
        <v>Difference Percentage</v>
      </c>
      <c r="D141" s="47"/>
      <c r="E141" s="47"/>
      <c r="F141" s="47"/>
      <c r="G141" s="47"/>
      <c r="H141" s="87">
        <f>IF(H131="","",IF(ISNUMBER(H131)=FALSE,"N/A",H140/H131))</f>
        <v>-0.978905957288266</v>
      </c>
      <c r="I141" s="87">
        <f t="shared" ref="I141:K141" si="17">IF(I131="","",IF(ISNUMBER(I131)=FALSE,"N/A",I140/I131))</f>
        <v>-0.865491875018559</v>
      </c>
      <c r="J141" s="87" t="str">
        <f t="shared" si="17"/>
        <v>N/A</v>
      </c>
      <c r="K141" s="87">
        <f t="shared" si="17"/>
        <v>-0.869707430408417</v>
      </c>
      <c r="L141" s="47"/>
      <c r="M141" s="47"/>
    </row>
    <row r="142" ht="12" customHeight="1" spans="2:13">
      <c r="B142" s="47"/>
      <c r="C142" s="80" t="str">
        <f>IF(语言序号=1,"Diff. with "&amp;$G$56,"与"&amp;$G$56&amp;"数量差异")</f>
        <v>Diff. with Shore Tanks Delivered Quantity</v>
      </c>
      <c r="D142" s="47"/>
      <c r="E142" s="47"/>
      <c r="F142" s="47"/>
      <c r="G142" s="47"/>
      <c r="H142" s="82" t="e">
        <f>IF(H132="","",IF(ISNUMBER(H132)=FALSE,"N/A",H139-H132))</f>
        <v>#VALUE!</v>
      </c>
      <c r="I142" s="97" t="e">
        <f t="shared" ref="I142:K142" si="18">IF(I132="","",IF(ISNUMBER(I132)=FALSE,"N/A",I139-I132))</f>
        <v>#VALUE!</v>
      </c>
      <c r="J142" s="82" t="e">
        <f t="shared" si="18"/>
        <v>#VALUE!</v>
      </c>
      <c r="K142" s="97" t="e">
        <f t="shared" si="18"/>
        <v>#VALUE!</v>
      </c>
      <c r="L142" s="47"/>
      <c r="M142" s="47"/>
    </row>
    <row r="143" ht="12" customHeight="1" spans="2:13">
      <c r="B143" s="47"/>
      <c r="C143" s="80" t="str">
        <f>$G$63</f>
        <v>Difference Percentage</v>
      </c>
      <c r="D143" s="47"/>
      <c r="E143" s="47"/>
      <c r="F143" s="47"/>
      <c r="G143" s="47"/>
      <c r="H143" s="87" t="e">
        <f>IF(H132="","",IF(ISNUMBER(H132)=FALSE,"N/A",H142/H132))</f>
        <v>#VALUE!</v>
      </c>
      <c r="I143" s="87" t="e">
        <f t="shared" ref="I143:K143" si="19">IF(I132="","",IF(ISNUMBER(I132)=FALSE,"N/A",I142/I132))</f>
        <v>#VALUE!</v>
      </c>
      <c r="J143" s="87" t="e">
        <f t="shared" si="19"/>
        <v>#VALUE!</v>
      </c>
      <c r="K143" s="87" t="e">
        <f t="shared" si="19"/>
        <v>#VALUE!</v>
      </c>
      <c r="L143" s="47"/>
      <c r="M143" s="47"/>
    </row>
    <row r="144" spans="2:13">
      <c r="B144" s="47"/>
      <c r="C144" s="47"/>
      <c r="D144" s="47"/>
      <c r="E144" s="47"/>
      <c r="F144" s="47"/>
      <c r="G144" s="47"/>
      <c r="H144" s="47"/>
      <c r="I144" s="47"/>
      <c r="J144" s="47"/>
      <c r="K144" s="47"/>
      <c r="L144" s="47"/>
      <c r="M144" s="47"/>
    </row>
    <row r="145" spans="2:13">
      <c r="B145" s="47"/>
      <c r="C145" s="47"/>
      <c r="D145" s="47"/>
      <c r="E145" s="47"/>
      <c r="F145" s="47"/>
      <c r="G145" s="47"/>
      <c r="H145" s="47"/>
      <c r="I145" s="47"/>
      <c r="J145" s="47"/>
      <c r="K145" s="47"/>
      <c r="L145" s="47"/>
      <c r="M145" s="47"/>
    </row>
    <row r="146" spans="2:13">
      <c r="B146" s="47"/>
      <c r="C146" s="47"/>
      <c r="D146" s="47"/>
      <c r="E146" s="47"/>
      <c r="F146" s="47"/>
      <c r="G146" s="47"/>
      <c r="H146" s="47"/>
      <c r="I146" s="47"/>
      <c r="J146" s="47"/>
      <c r="K146" s="47"/>
      <c r="L146" s="47"/>
      <c r="M146" s="47"/>
    </row>
    <row r="147" spans="2:13">
      <c r="B147" s="47"/>
      <c r="C147" s="47"/>
      <c r="D147" s="47"/>
      <c r="E147" s="47"/>
      <c r="F147" s="47"/>
      <c r="G147" s="47"/>
      <c r="H147" s="47"/>
      <c r="I147" s="47"/>
      <c r="J147" s="47"/>
      <c r="K147" s="47"/>
      <c r="L147" s="47"/>
      <c r="M147" s="47"/>
    </row>
    <row r="148" hidden="1" spans="2:13">
      <c r="B148" s="47"/>
      <c r="C148" s="47" t="str">
        <f>D80</f>
        <v>Master/Chief Officer</v>
      </c>
      <c r="D148" s="47"/>
      <c r="E148" s="47"/>
      <c r="F148" s="47"/>
      <c r="G148" s="47"/>
      <c r="H148" s="47"/>
      <c r="I148" s="47" t="str">
        <f>D81</f>
        <v>CCIC Surveyor</v>
      </c>
      <c r="J148" s="47"/>
      <c r="K148" s="47"/>
      <c r="L148" s="47"/>
      <c r="M148" s="47"/>
    </row>
    <row r="149" hidden="1" spans="2:13">
      <c r="B149" s="47"/>
      <c r="C149" s="47" t="str">
        <f>D82</f>
        <v>Name</v>
      </c>
      <c r="D149" s="104"/>
      <c r="E149" s="104"/>
      <c r="F149" s="104"/>
      <c r="G149" s="47"/>
      <c r="H149" s="47"/>
      <c r="I149" s="47" t="str">
        <f>D82</f>
        <v>Name</v>
      </c>
      <c r="J149" s="107" t="s">
        <v>10</v>
      </c>
      <c r="K149" s="107"/>
      <c r="L149" s="107"/>
      <c r="M149" s="47"/>
    </row>
    <row r="150" hidden="1" spans="2:13">
      <c r="B150" s="47"/>
      <c r="C150" s="47" t="str">
        <f>D83</f>
        <v>Signature</v>
      </c>
      <c r="D150" s="105"/>
      <c r="E150" s="105"/>
      <c r="F150" s="105"/>
      <c r="G150" s="47"/>
      <c r="H150" s="47"/>
      <c r="I150" s="47" t="str">
        <f>D83</f>
        <v>Signature</v>
      </c>
      <c r="J150" s="105"/>
      <c r="K150" s="105"/>
      <c r="L150" s="105"/>
      <c r="M150" s="47"/>
    </row>
    <row r="151" ht="6.6" customHeight="1" spans="2:13">
      <c r="B151" s="47"/>
      <c r="C151" s="47"/>
      <c r="D151" s="47"/>
      <c r="E151" s="47"/>
      <c r="F151" s="47"/>
      <c r="G151" s="47"/>
      <c r="H151" s="47"/>
      <c r="I151" s="47"/>
      <c r="J151" s="47"/>
      <c r="K151" s="47"/>
      <c r="L151" s="47"/>
      <c r="M151" s="47"/>
    </row>
    <row r="152" ht="6.6" customHeight="1" spans="2:13">
      <c r="B152" s="47"/>
      <c r="C152" s="47"/>
      <c r="D152" s="47"/>
      <c r="E152" s="47"/>
      <c r="F152" s="47"/>
      <c r="G152" s="47"/>
      <c r="H152" s="47"/>
      <c r="I152" s="47"/>
      <c r="J152" s="47"/>
      <c r="K152" s="47"/>
      <c r="L152" s="47"/>
      <c r="M152" s="47"/>
    </row>
    <row r="153" spans="2:13">
      <c r="B153" s="47"/>
      <c r="C153" s="47"/>
      <c r="D153" s="47"/>
      <c r="E153" s="47"/>
      <c r="F153" s="47"/>
      <c r="G153" s="47"/>
      <c r="H153" s="47"/>
      <c r="I153" s="47"/>
      <c r="J153" s="47"/>
      <c r="K153" s="47"/>
      <c r="L153" s="47"/>
      <c r="M153" s="47"/>
    </row>
    <row r="154" spans="2:13">
      <c r="B154" s="47"/>
      <c r="C154" s="47"/>
      <c r="D154" s="47"/>
      <c r="E154" s="47"/>
      <c r="F154" s="47"/>
      <c r="G154" s="47"/>
      <c r="H154" s="47"/>
      <c r="I154" s="108" t="str">
        <f>D84</f>
        <v>Authorized Signature (S)</v>
      </c>
      <c r="J154" s="108"/>
      <c r="K154" s="108"/>
      <c r="L154" s="47"/>
      <c r="M154" s="47"/>
    </row>
    <row r="155" ht="5.4" customHeight="1" spans="2:13">
      <c r="B155" s="47"/>
      <c r="C155" s="47"/>
      <c r="D155" s="47"/>
      <c r="E155" s="47"/>
      <c r="F155" s="47"/>
      <c r="G155" s="47"/>
      <c r="H155" s="47"/>
      <c r="I155" s="47"/>
      <c r="J155" s="47"/>
      <c r="K155" s="47"/>
      <c r="L155" s="47"/>
      <c r="M155" s="47"/>
    </row>
    <row r="156" ht="5.4" customHeight="1" spans="2:13">
      <c r="B156" s="47"/>
      <c r="C156" s="47"/>
      <c r="D156" s="47"/>
      <c r="E156" s="47"/>
      <c r="F156" s="47"/>
      <c r="G156" s="47"/>
      <c r="H156" s="47"/>
      <c r="I156" s="47"/>
      <c r="J156" s="47"/>
      <c r="K156" s="47"/>
      <c r="L156" s="47"/>
      <c r="M156" s="47"/>
    </row>
    <row r="157" ht="23.4" customHeight="1" spans="2:13">
      <c r="B157" s="106" t="str">
        <f>D85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57" s="106"/>
      <c r="D157" s="106"/>
      <c r="E157" s="106"/>
      <c r="F157" s="106"/>
      <c r="G157" s="106"/>
      <c r="H157" s="106"/>
      <c r="I157" s="106"/>
      <c r="J157" s="106"/>
      <c r="K157" s="106"/>
      <c r="L157" s="106"/>
      <c r="M157" s="106"/>
    </row>
  </sheetData>
  <mergeCells count="13">
    <mergeCell ref="O47:S47"/>
    <mergeCell ref="I93:M93"/>
    <mergeCell ref="I94:M94"/>
    <mergeCell ref="I95:M95"/>
    <mergeCell ref="I96:M96"/>
    <mergeCell ref="I97:M97"/>
    <mergeCell ref="I98:M98"/>
    <mergeCell ref="I99:M99"/>
    <mergeCell ref="H101:I101"/>
    <mergeCell ref="J101:K101"/>
    <mergeCell ref="J149:L149"/>
    <mergeCell ref="B157:M157"/>
    <mergeCell ref="B93:F99"/>
  </mergeCells>
  <conditionalFormatting sqref="H116:H121 H123 H125:H126 H128 H131:H135 H137 H139:H140 H142">
    <cfRule type="expression" dxfId="0" priority="4">
      <formula>OR(LEFT(vcfTab,4)="T-54",LEFT(vcfTab,4)="T-60")</formula>
    </cfRule>
    <cfRule type="expression" dxfId="1" priority="3">
      <formula>AND(LEFT(vcfTab,4)&lt;&gt;"T-54",LEFT(vcfTab,4)&lt;&gt;"T-60")</formula>
    </cfRule>
  </conditionalFormatting>
  <conditionalFormatting sqref="J116:J117 J119:J121 J123 J125:J126 J128 J131:J135 J137 J139:J140 J142">
    <cfRule type="expression" dxfId="1" priority="2">
      <formula>OR(LEFT(vcfTab,4)="T-54",LEFT(vcfTab,4)="T-60")</formula>
    </cfRule>
    <cfRule type="expression" dxfId="0" priority="1">
      <formula>AND(LEFT(vcfTab,4)&lt;&gt;"T-54",LEFT(vcfTab,4)&lt;&gt;"T-60")</formula>
    </cfRule>
  </conditionalFormatting>
  <pageMargins left="0.236220472440945" right="0.236220472440945" top="0.393700787401575" bottom="0.748031496062992" header="0.31496062992126" footer="0.31496062992126"/>
  <pageSetup paperSize="9" orientation="portrait"/>
  <headerFooter>
    <oddHeader>&amp;L&amp;G
</oddHeader>
  </headerFooter>
  <drawing r:id="rId1"/>
  <legacyDrawing r:id="rId2"/>
  <legacyDrawingHF r:id="rId4"/>
  <mc:AlternateContent xmlns:mc="http://schemas.openxmlformats.org/markup-compatibility/2006">
    <mc:Choice Requires="x14">
      <controls>
        <mc:AlternateContent xmlns:mc="http://schemas.openxmlformats.org/markup-compatibility/2006">
          <mc:Choice Requires="x14">
            <control shapeId="28686" name="Button 14" r:id="rId3">
              <controlPr print="0" defaultSize="0">
                <anchor moveWithCells="1">
                  <from>
                    <xdr:col>20</xdr:col>
                    <xdr:colOff>53340</xdr:colOff>
                    <xdr:row>100</xdr:row>
                    <xdr:rowOff>30480</xdr:rowOff>
                  </from>
                  <to>
                    <xdr:col>23</xdr:col>
                    <xdr:colOff>563880</xdr:colOff>
                    <xdr:row>101</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Y151"/>
  <sheetViews>
    <sheetView showGridLines="0" topLeftCell="B89" workbookViewId="0">
      <selection activeCell="U111" sqref="U111"/>
    </sheetView>
  </sheetViews>
  <sheetFormatPr defaultColWidth="9" defaultRowHeight="14.25"/>
  <cols>
    <col min="1" max="1" width="9" hidden="1" customWidth="1"/>
    <col min="2" max="2" width="2.10833333333333" customWidth="1"/>
    <col min="3" max="3" width="7.10833333333333" customWidth="1"/>
    <col min="4" max="4" width="8.88333333333333" customWidth="1"/>
    <col min="5" max="5" width="7.88333333333333" customWidth="1"/>
    <col min="6" max="6" width="7.775" customWidth="1"/>
    <col min="7" max="7" width="4.66666666666667" customWidth="1"/>
    <col min="8" max="8" width="12.775" customWidth="1"/>
    <col min="9" max="9" width="7.10833333333333" customWidth="1"/>
    <col min="10" max="10" width="12.2166666666667" customWidth="1"/>
    <col min="11" max="11" width="8.10833333333333" customWidth="1"/>
    <col min="12" max="12" width="7.33333333333333" customWidth="1"/>
    <col min="13" max="13" width="4.10833333333333" customWidth="1"/>
    <col min="14" max="14" width="10.4416666666667" hidden="1" customWidth="1"/>
    <col min="15" max="15" width="9" hidden="1" customWidth="1"/>
    <col min="16" max="16" width="9.88333333333333" hidden="1" customWidth="1"/>
    <col min="17" max="20" width="9" hidden="1" customWidth="1"/>
    <col min="21" max="21" width="5.44166666666667" customWidth="1"/>
    <col min="22" max="22" width="10.8833333333333" customWidth="1"/>
    <col min="23" max="16384" width="8.88333333333333"/>
  </cols>
  <sheetData>
    <row r="1" ht="15" hidden="1" customHeight="1" spans="2:16">
      <c r="B1" s="1" t="s">
        <v>13</v>
      </c>
      <c r="C1" s="1" t="s">
        <v>14</v>
      </c>
      <c r="D1" s="2"/>
      <c r="E1" s="47" t="s">
        <v>78</v>
      </c>
      <c r="F1" s="52" t="s">
        <v>79</v>
      </c>
      <c r="G1" s="2" t="str">
        <f t="shared" ref="G1:G32" si="0">IF(Report_Language=$B$1,E1,F1)</f>
        <v>Obtaining shore tank(s) open sample</v>
      </c>
      <c r="H1" s="53" t="s">
        <v>2</v>
      </c>
      <c r="I1" s="53">
        <v>1</v>
      </c>
      <c r="J1" s="53" t="str">
        <f>INDEX(H1:H2,I1,0)</f>
        <v>英文 English</v>
      </c>
      <c r="M1" s="25"/>
      <c r="N1" s="26"/>
      <c r="O1" s="26"/>
      <c r="P1" s="27"/>
    </row>
    <row r="2" hidden="1" spans="2:16">
      <c r="B2" s="3" t="s">
        <v>80</v>
      </c>
      <c r="C2" s="3" t="s">
        <v>81</v>
      </c>
      <c r="D2" s="2" t="str">
        <f t="shared" ref="D2:D33" si="1">IF(Report_Language=$B$1,B2,C2)</f>
        <v>JOB NO.:</v>
      </c>
      <c r="E2" s="47" t="s">
        <v>82</v>
      </c>
      <c r="F2" s="52" t="s">
        <v>83</v>
      </c>
      <c r="G2" s="2" t="str">
        <f t="shared" si="0"/>
        <v>Perform shore tank(s) open measurent</v>
      </c>
      <c r="H2" s="53" t="s">
        <v>1</v>
      </c>
      <c r="I2" s="53">
        <v>2</v>
      </c>
      <c r="J2" s="53" t="str">
        <f>INDEX(H26:H27,I2,0)</f>
        <v>正式报告 Official Report</v>
      </c>
      <c r="M2" s="25"/>
      <c r="N2" s="28"/>
      <c r="O2" s="28"/>
      <c r="P2" s="29"/>
    </row>
    <row r="3" hidden="1" spans="2:16">
      <c r="B3" s="4" t="s">
        <v>84</v>
      </c>
      <c r="C3" s="4" t="s">
        <v>85</v>
      </c>
      <c r="D3" s="2" t="str">
        <f t="shared" si="1"/>
        <v>DATE OF REPORT:</v>
      </c>
      <c r="E3" s="47" t="s">
        <v>86</v>
      </c>
      <c r="F3" s="52" t="s">
        <v>87</v>
      </c>
      <c r="G3" s="2" t="str">
        <f t="shared" si="0"/>
        <v>Obtaining shore tank(s) close sample</v>
      </c>
      <c r="H3" s="54" t="s">
        <v>88</v>
      </c>
      <c r="I3" s="53">
        <v>2</v>
      </c>
      <c r="J3" s="53" t="str">
        <f>INDEX(H28:H31,I3,0)</f>
        <v>B--成品油 Refined Products</v>
      </c>
      <c r="M3" s="25"/>
      <c r="N3" s="28"/>
      <c r="O3" s="28"/>
      <c r="P3" s="29"/>
    </row>
    <row r="4" hidden="1" spans="2:16">
      <c r="B4" s="3" t="s">
        <v>20</v>
      </c>
      <c r="C4" s="3" t="s">
        <v>21</v>
      </c>
      <c r="D4" s="2" t="str">
        <f t="shared" si="1"/>
        <v>APPLICANT</v>
      </c>
      <c r="E4" s="47" t="s">
        <v>89</v>
      </c>
      <c r="F4" s="52" t="s">
        <v>90</v>
      </c>
      <c r="G4" s="2" t="str">
        <f t="shared" si="0"/>
        <v>Perform shore tank(s) close measurent</v>
      </c>
      <c r="H4" s="54" t="s">
        <v>91</v>
      </c>
      <c r="I4" s="53">
        <v>14</v>
      </c>
      <c r="J4" s="53" t="str">
        <f>INDEX(H3:H20,I4,0)</f>
        <v>T-60B</v>
      </c>
      <c r="K4" t="str">
        <f>LEFT(J3,1)</f>
        <v>B</v>
      </c>
      <c r="M4" s="25"/>
      <c r="N4" s="28"/>
      <c r="O4" s="28"/>
      <c r="P4" s="29"/>
    </row>
    <row r="5" hidden="1" spans="2:16">
      <c r="B5" s="4" t="s">
        <v>23</v>
      </c>
      <c r="C5" s="4" t="s">
        <v>24</v>
      </c>
      <c r="D5" s="2" t="str">
        <f t="shared" si="1"/>
        <v>CLIENT'S REF. NO.</v>
      </c>
      <c r="E5" s="47"/>
      <c r="F5" s="47"/>
      <c r="G5" s="2">
        <f t="shared" si="0"/>
        <v>0</v>
      </c>
      <c r="H5" s="54" t="s">
        <v>92</v>
      </c>
      <c r="I5" s="53">
        <v>3</v>
      </c>
      <c r="J5" s="53">
        <f>INDEX(H23:H25,I5,0)</f>
        <v>2004</v>
      </c>
      <c r="M5" s="25"/>
      <c r="N5" s="28"/>
      <c r="O5" s="28"/>
      <c r="P5" s="29"/>
    </row>
    <row r="6" hidden="1" spans="2:16">
      <c r="B6" s="3" t="s">
        <v>25</v>
      </c>
      <c r="C6" s="3" t="s">
        <v>26</v>
      </c>
      <c r="D6" s="2" t="str">
        <f t="shared" si="1"/>
        <v>COMMODITY</v>
      </c>
      <c r="E6" s="55" t="s">
        <v>93</v>
      </c>
      <c r="F6" s="56" t="s">
        <v>94</v>
      </c>
      <c r="G6" s="2" t="str">
        <f t="shared" si="0"/>
        <v>End of sea passage</v>
      </c>
      <c r="H6" s="54" t="s">
        <v>95</v>
      </c>
      <c r="I6" s="53">
        <v>1</v>
      </c>
      <c r="J6" s="53" t="str">
        <f>INDEX(H21:H22,I6,0)</f>
        <v>ASTM D1250-1980</v>
      </c>
      <c r="M6" s="25"/>
      <c r="N6" s="28"/>
      <c r="O6" s="28"/>
      <c r="P6" s="29"/>
    </row>
    <row r="7" hidden="1" spans="2:16">
      <c r="B7" s="4" t="s">
        <v>28</v>
      </c>
      <c r="C7" s="4" t="s">
        <v>29</v>
      </c>
      <c r="D7" s="2" t="str">
        <f t="shared" si="1"/>
        <v>VESSEL</v>
      </c>
      <c r="E7" s="55" t="s">
        <v>96</v>
      </c>
      <c r="F7" s="55" t="s">
        <v>97</v>
      </c>
      <c r="G7" s="2" t="str">
        <f t="shared" si="0"/>
        <v>Notice of readiness tendered</v>
      </c>
      <c r="H7" s="54" t="s">
        <v>98</v>
      </c>
      <c r="I7" s="53">
        <v>4</v>
      </c>
      <c r="J7" s="53" t="str">
        <f>IF(I7=1,"Den15",IF(I7=2,"Den20",IF(I7=3,"API","SG")))</f>
        <v>SG</v>
      </c>
      <c r="M7" s="25"/>
      <c r="N7" s="28"/>
      <c r="O7" s="28"/>
      <c r="P7" s="29"/>
    </row>
    <row r="8" hidden="1" spans="2:16">
      <c r="B8" s="3" t="s">
        <v>31</v>
      </c>
      <c r="C8" s="3" t="s">
        <v>32</v>
      </c>
      <c r="D8" s="2" t="str">
        <f t="shared" si="1"/>
        <v>PORT</v>
      </c>
      <c r="E8" s="55" t="s">
        <v>99</v>
      </c>
      <c r="F8" s="55" t="s">
        <v>100</v>
      </c>
      <c r="G8" s="2" t="str">
        <f t="shared" si="0"/>
        <v>Notice of readiness accepted</v>
      </c>
      <c r="H8" s="54" t="s">
        <v>101</v>
      </c>
      <c r="I8" s="53"/>
      <c r="J8" s="53"/>
      <c r="M8" s="25"/>
      <c r="N8" s="28"/>
      <c r="O8" s="28"/>
      <c r="P8" s="29"/>
    </row>
    <row r="9" hidden="1" spans="2:16">
      <c r="B9" s="6" t="s">
        <v>34</v>
      </c>
      <c r="C9" s="4" t="s">
        <v>35</v>
      </c>
      <c r="D9" s="2" t="str">
        <f t="shared" si="1"/>
        <v>TERMINAL</v>
      </c>
      <c r="E9" s="55" t="s">
        <v>102</v>
      </c>
      <c r="F9" s="55" t="s">
        <v>103</v>
      </c>
      <c r="G9" s="2" t="str">
        <f t="shared" si="0"/>
        <v>Pilot on board</v>
      </c>
      <c r="H9" s="54" t="s">
        <v>104</v>
      </c>
      <c r="I9" s="53"/>
      <c r="J9" s="53"/>
      <c r="M9" s="25"/>
      <c r="N9" s="28"/>
      <c r="O9" s="28"/>
      <c r="P9" s="29"/>
    </row>
    <row r="10" ht="15" hidden="1" customHeight="1" spans="2:16">
      <c r="B10" s="4" t="s">
        <v>36</v>
      </c>
      <c r="C10" s="4" t="s">
        <v>37</v>
      </c>
      <c r="D10" s="2" t="str">
        <f t="shared" si="1"/>
        <v>DATE OF INSPECTION</v>
      </c>
      <c r="E10" s="55" t="s">
        <v>105</v>
      </c>
      <c r="F10" s="57" t="s">
        <v>106</v>
      </c>
      <c r="G10" s="2" t="str">
        <f t="shared" si="0"/>
        <v>First line ashore</v>
      </c>
      <c r="H10" s="54" t="s">
        <v>107</v>
      </c>
      <c r="I10" s="53"/>
      <c r="J10" s="53"/>
      <c r="M10" s="25"/>
      <c r="N10" s="28"/>
      <c r="O10" s="28"/>
      <c r="P10" s="29"/>
    </row>
    <row r="11" hidden="1" spans="2:16">
      <c r="B11" s="7" t="s">
        <v>44</v>
      </c>
      <c r="C11" s="2" t="str">
        <f>B11</f>
        <v>SG0020031202-I</v>
      </c>
      <c r="D11" s="2" t="s">
        <v>45</v>
      </c>
      <c r="E11" s="47" t="s">
        <v>108</v>
      </c>
      <c r="F11" s="58" t="s">
        <v>109</v>
      </c>
      <c r="G11" s="2" t="str">
        <f t="shared" si="0"/>
        <v>Docked (Gangway in place)</v>
      </c>
      <c r="H11" s="54" t="s">
        <v>110</v>
      </c>
      <c r="I11" s="53"/>
      <c r="J11" s="53"/>
      <c r="M11" s="25"/>
      <c r="N11" s="28"/>
      <c r="O11" s="28"/>
      <c r="P11" s="29"/>
    </row>
    <row r="12" hidden="1" spans="2:16">
      <c r="B12" s="8" t="s">
        <v>46</v>
      </c>
      <c r="C12" s="2" t="str">
        <f>B12</f>
        <v>YYYY-MM-DD</v>
      </c>
      <c r="D12" s="2" t="s">
        <v>46</v>
      </c>
      <c r="E12" s="47" t="s">
        <v>111</v>
      </c>
      <c r="F12" s="47" t="s">
        <v>112</v>
      </c>
      <c r="G12" s="2" t="str">
        <f t="shared" si="0"/>
        <v>All fast</v>
      </c>
      <c r="H12" s="54" t="s">
        <v>113</v>
      </c>
      <c r="I12" s="53"/>
      <c r="J12" s="53"/>
      <c r="M12" s="25"/>
      <c r="N12" s="28"/>
      <c r="O12" s="28"/>
      <c r="P12" s="29"/>
    </row>
    <row r="13" hidden="1" spans="2:16">
      <c r="B13" s="7" t="s">
        <v>48</v>
      </c>
      <c r="C13" s="9" t="s">
        <v>49</v>
      </c>
      <c r="D13" s="2" t="str">
        <f t="shared" si="1"/>
        <v>PETROCHINA </v>
      </c>
      <c r="E13" s="55" t="s">
        <v>114</v>
      </c>
      <c r="F13" s="58" t="s">
        <v>115</v>
      </c>
      <c r="G13" s="2" t="str">
        <f t="shared" si="0"/>
        <v>Vessel cleared by governmental official</v>
      </c>
      <c r="H13" s="54" t="s">
        <v>116</v>
      </c>
      <c r="I13" s="53"/>
      <c r="J13" s="53"/>
      <c r="M13" s="25"/>
      <c r="N13" s="28"/>
      <c r="O13" s="28"/>
      <c r="P13" s="29"/>
    </row>
    <row r="14" hidden="1" spans="2:16">
      <c r="B14" s="7" t="s">
        <v>50</v>
      </c>
      <c r="C14" s="7" t="s">
        <v>117</v>
      </c>
      <c r="D14" s="2" t="s">
        <v>51</v>
      </c>
      <c r="E14" s="47" t="s">
        <v>118</v>
      </c>
      <c r="F14" s="52" t="s">
        <v>119</v>
      </c>
      <c r="G14" s="2" t="str">
        <f t="shared" si="0"/>
        <v>Surveyor on board</v>
      </c>
      <c r="H14" s="54" t="s">
        <v>120</v>
      </c>
      <c r="I14" s="53"/>
      <c r="J14" s="53"/>
      <c r="K14" t="s">
        <v>381</v>
      </c>
      <c r="L14" t="s">
        <v>382</v>
      </c>
      <c r="M14" s="2" t="str">
        <f t="shared" ref="M14" si="2">IF(Report_Language=$B$1,K14,L14)</f>
        <v>Cubic Meters (Obsd. Temp.)</v>
      </c>
      <c r="N14" s="2" t="str">
        <f>IF(Report_Language=$B$1,O14,P14)</f>
        <v>Kiloliters (Obsd. Temp.)</v>
      </c>
      <c r="O14" t="s">
        <v>383</v>
      </c>
      <c r="P14" t="s">
        <v>384</v>
      </c>
    </row>
    <row r="15" hidden="1" spans="2:16">
      <c r="B15" s="7" t="s">
        <v>52</v>
      </c>
      <c r="C15" s="9" t="s">
        <v>53</v>
      </c>
      <c r="D15" s="2" t="str">
        <f t="shared" si="1"/>
        <v>Crude Oil6658</v>
      </c>
      <c r="E15" s="47" t="s">
        <v>121</v>
      </c>
      <c r="F15" s="52" t="s">
        <v>122</v>
      </c>
      <c r="G15" s="2" t="str">
        <f t="shared" si="0"/>
        <v>Key meeting held</v>
      </c>
      <c r="H15" s="54" t="s">
        <v>123</v>
      </c>
      <c r="I15" s="53"/>
      <c r="J15" s="53"/>
      <c r="K15" t="s">
        <v>385</v>
      </c>
      <c r="L15" t="s">
        <v>386</v>
      </c>
      <c r="M15" s="2" t="str">
        <f>IF(Report_Language=$B$1,K15,L15)</f>
        <v>Cubic Meters (15℃)</v>
      </c>
      <c r="N15" s="2" t="str">
        <f>IF(Report_Language=$B$1,O15,P15)</f>
        <v>Kiloliters (15℃)</v>
      </c>
      <c r="O15" t="s">
        <v>387</v>
      </c>
      <c r="P15" t="s">
        <v>388</v>
      </c>
    </row>
    <row r="16" hidden="1" spans="2:16">
      <c r="B16" s="7" t="s">
        <v>54</v>
      </c>
      <c r="C16" s="2" t="s">
        <v>55</v>
      </c>
      <c r="D16" s="2" t="str">
        <f t="shared" si="1"/>
        <v>MT ZhenYuanefdasdf</v>
      </c>
      <c r="E16" s="47" t="s">
        <v>124</v>
      </c>
      <c r="F16" s="52" t="s">
        <v>125</v>
      </c>
      <c r="G16" s="2" t="str">
        <f t="shared" si="0"/>
        <v>Vessel tanks sampling</v>
      </c>
      <c r="H16" s="54" t="s">
        <v>126</v>
      </c>
      <c r="I16" s="53"/>
      <c r="J16" s="53"/>
      <c r="K16" t="s">
        <v>389</v>
      </c>
      <c r="L16" t="s">
        <v>390</v>
      </c>
      <c r="M16" s="2" t="str">
        <f>IF(Report_Language=$B$1,K16,L16)</f>
        <v>Cubic Meters (20℃)</v>
      </c>
      <c r="N16" s="2" t="str">
        <f>IF(Report_Language=$B$1,O16,P16)</f>
        <v>Kiloliters (20℃)</v>
      </c>
      <c r="O16" t="s">
        <v>391</v>
      </c>
      <c r="P16" t="s">
        <v>392</v>
      </c>
    </row>
    <row r="17" ht="15.6" hidden="1" customHeight="1" spans="2:16">
      <c r="B17" s="7" t="s">
        <v>56</v>
      </c>
      <c r="C17" s="9" t="s">
        <v>57</v>
      </c>
      <c r="D17" s="2" t="str">
        <f t="shared" si="1"/>
        <v>Dalian, Chinafsadfa</v>
      </c>
      <c r="E17" s="47" t="s">
        <v>127</v>
      </c>
      <c r="F17" s="52" t="s">
        <v>128</v>
      </c>
      <c r="G17" s="2" t="str">
        <f t="shared" si="0"/>
        <v>Vessel tanks measurement</v>
      </c>
      <c r="H17" s="54" t="s">
        <v>129</v>
      </c>
      <c r="I17" s="53"/>
      <c r="J17" s="53"/>
      <c r="K17" t="s">
        <v>393</v>
      </c>
      <c r="L17" t="s">
        <v>394</v>
      </c>
      <c r="M17" s="2" t="str">
        <f>IF(Report_Language=$B$1,K17,L17)</f>
        <v>Cubic Meters (30℃)</v>
      </c>
      <c r="N17" s="2" t="str">
        <f>IF(Report_Language=$B$1,O17,P17)</f>
        <v>Kiloliters (30℃)</v>
      </c>
      <c r="O17" t="s">
        <v>395</v>
      </c>
      <c r="P17" t="s">
        <v>396</v>
      </c>
    </row>
    <row r="18" hidden="1" spans="2:10">
      <c r="B18" s="7" t="s">
        <v>58</v>
      </c>
      <c r="C18" s="9" t="s">
        <v>59</v>
      </c>
      <c r="D18" s="2" t="str">
        <f t="shared" si="1"/>
        <v>Dalian Chinaoil, China1325415</v>
      </c>
      <c r="E18" s="47" t="s">
        <v>130</v>
      </c>
      <c r="F18" s="52" t="s">
        <v>131</v>
      </c>
      <c r="G18" s="2" t="str">
        <f t="shared" si="0"/>
        <v>Calculation and figures agreed</v>
      </c>
      <c r="H18" s="54" t="s">
        <v>132</v>
      </c>
      <c r="I18" s="53"/>
      <c r="J18" s="53"/>
    </row>
    <row r="19" hidden="1" spans="2:10">
      <c r="B19" s="10" t="s">
        <v>133</v>
      </c>
      <c r="C19" s="11" t="str">
        <f>B19</f>
        <v>YYYY-MM-DD -- YYYY-MM-DD</v>
      </c>
      <c r="D19" s="2" t="s">
        <v>60</v>
      </c>
      <c r="E19" s="47" t="s">
        <v>134</v>
      </c>
      <c r="F19" s="47" t="s">
        <v>135</v>
      </c>
      <c r="G19" s="2" t="str">
        <f t="shared" si="0"/>
        <v>       Arms/          Hoses connected</v>
      </c>
      <c r="H19" s="59" t="s">
        <v>136</v>
      </c>
      <c r="I19" s="53"/>
      <c r="J19" s="53"/>
    </row>
    <row r="20" hidden="1" spans="2:16">
      <c r="B20" s="13" t="s">
        <v>137</v>
      </c>
      <c r="C20" s="13" t="s">
        <v>138</v>
      </c>
      <c r="D20" s="2" t="str">
        <f t="shared" si="1"/>
        <v>Density@15℃ (g/cm³)</v>
      </c>
      <c r="E20" s="47" t="s">
        <v>139</v>
      </c>
      <c r="F20" s="52" t="s">
        <v>140</v>
      </c>
      <c r="G20" s="2" t="str">
        <f t="shared" si="0"/>
        <v>Samples analysis passed</v>
      </c>
      <c r="H20" s="54" t="s">
        <v>141</v>
      </c>
      <c r="I20" s="53"/>
      <c r="J20" s="53"/>
      <c r="M20" s="25"/>
      <c r="N20" s="28"/>
      <c r="O20" s="28"/>
      <c r="P20" s="29"/>
    </row>
    <row r="21" hidden="1" spans="2:16">
      <c r="B21" s="14" t="s">
        <v>142</v>
      </c>
      <c r="C21" s="14" t="s">
        <v>143</v>
      </c>
      <c r="D21" s="2" t="str">
        <f t="shared" si="1"/>
        <v>Density@20℃ (g/cm³)</v>
      </c>
      <c r="E21" s="47" t="s">
        <v>144</v>
      </c>
      <c r="F21" s="52" t="s">
        <v>145</v>
      </c>
      <c r="G21" s="2" t="str">
        <f t="shared" si="0"/>
        <v>Commenced discharge</v>
      </c>
      <c r="H21" s="54" t="s">
        <v>5</v>
      </c>
      <c r="I21" s="53"/>
      <c r="J21" s="53"/>
      <c r="M21" s="25"/>
      <c r="N21" s="28"/>
      <c r="O21" s="28"/>
      <c r="P21" s="29"/>
    </row>
    <row r="22" ht="15" hidden="1" customHeight="1" spans="2:16">
      <c r="B22" s="13" t="s">
        <v>146</v>
      </c>
      <c r="C22" s="13" t="s">
        <v>146</v>
      </c>
      <c r="D22" s="2" t="str">
        <f t="shared" si="1"/>
        <v>API@60℉</v>
      </c>
      <c r="E22" s="47" t="s">
        <v>147</v>
      </c>
      <c r="F22" s="52" t="s">
        <v>148</v>
      </c>
      <c r="G22" s="2" t="str">
        <f t="shared" si="0"/>
        <v>Suspended discharge for line displacement verification</v>
      </c>
      <c r="H22" s="54" t="s">
        <v>6</v>
      </c>
      <c r="I22" s="53"/>
      <c r="J22" s="53"/>
      <c r="M22" s="25"/>
      <c r="N22" s="28"/>
      <c r="O22" s="28"/>
      <c r="P22" s="29"/>
    </row>
    <row r="23" hidden="1" spans="2:16">
      <c r="B23" s="14" t="s">
        <v>149</v>
      </c>
      <c r="C23" s="14" t="s">
        <v>150</v>
      </c>
      <c r="D23" s="2" t="str">
        <f t="shared" si="1"/>
        <v>S.G.@60℉/60℉</v>
      </c>
      <c r="E23" s="47" t="s">
        <v>151</v>
      </c>
      <c r="F23" s="52" t="s">
        <v>152</v>
      </c>
      <c r="G23" s="2" t="str">
        <f t="shared" si="0"/>
        <v>Resumed discharge</v>
      </c>
      <c r="H23" s="59">
        <v>1952</v>
      </c>
      <c r="I23" s="53"/>
      <c r="J23" s="53"/>
      <c r="M23" s="25"/>
      <c r="N23" s="28"/>
      <c r="O23" s="28"/>
      <c r="P23" s="29"/>
    </row>
    <row r="24" hidden="1" spans="2:16">
      <c r="B24" s="15" t="s">
        <v>153</v>
      </c>
      <c r="C24" s="15" t="s">
        <v>154</v>
      </c>
      <c r="D24" s="2" t="str">
        <f t="shared" si="1"/>
        <v>α60℉ (1/℉)</v>
      </c>
      <c r="E24" s="47" t="s">
        <v>155</v>
      </c>
      <c r="F24" s="52" t="s">
        <v>156</v>
      </c>
      <c r="G24" s="2" t="str">
        <f t="shared" si="0"/>
        <v>Completed discharge</v>
      </c>
      <c r="H24" s="59">
        <v>1980</v>
      </c>
      <c r="I24" s="53"/>
      <c r="J24" s="53"/>
      <c r="M24" s="25"/>
      <c r="N24" s="28"/>
      <c r="O24" s="28"/>
      <c r="P24" s="29"/>
    </row>
    <row r="25" hidden="1" spans="2:16">
      <c r="B25" s="15" t="s">
        <v>157</v>
      </c>
      <c r="C25" s="15" t="s">
        <v>158</v>
      </c>
      <c r="D25" s="2" t="str">
        <f t="shared" si="1"/>
        <v>α60℉ (1/℃)</v>
      </c>
      <c r="E25" s="47" t="s">
        <v>159</v>
      </c>
      <c r="F25" s="52" t="s">
        <v>160</v>
      </c>
      <c r="G25" s="2" t="str">
        <f t="shared" si="0"/>
        <v>Vessel tanks inspection</v>
      </c>
      <c r="H25" s="59">
        <v>2004</v>
      </c>
      <c r="I25" s="53"/>
      <c r="J25" s="53"/>
      <c r="M25" s="25"/>
      <c r="N25" s="28"/>
      <c r="O25" s="28"/>
      <c r="P25" s="29"/>
    </row>
    <row r="26" hidden="1" spans="2:16">
      <c r="B26" s="14" t="s">
        <v>161</v>
      </c>
      <c r="C26" s="14" t="s">
        <v>162</v>
      </c>
      <c r="D26" s="2" t="str">
        <f t="shared" si="1"/>
        <v>Density@15℃ (kg/m³)</v>
      </c>
      <c r="E26" s="47" t="s">
        <v>163</v>
      </c>
      <c r="F26" s="47" t="s">
        <v>164</v>
      </c>
      <c r="G26" s="2" t="str">
        <f t="shared" si="0"/>
        <v>       Arms/          Hoses disconnected</v>
      </c>
      <c r="H26" s="60" t="s">
        <v>165</v>
      </c>
      <c r="I26" s="53"/>
      <c r="J26" s="53"/>
      <c r="M26" s="25"/>
      <c r="N26" s="28"/>
      <c r="P26" s="29" t="s">
        <v>166</v>
      </c>
    </row>
    <row r="27" hidden="1" spans="2:16">
      <c r="B27" s="13" t="s">
        <v>167</v>
      </c>
      <c r="C27" s="13" t="s">
        <v>168</v>
      </c>
      <c r="D27" s="2" t="str">
        <f t="shared" si="1"/>
        <v>Density@20℃ (kg/m³)</v>
      </c>
      <c r="E27" s="55" t="s">
        <v>169</v>
      </c>
      <c r="F27" s="58" t="s">
        <v>170</v>
      </c>
      <c r="G27" s="2" t="str">
        <f t="shared" si="0"/>
        <v>Filling out documents and sign</v>
      </c>
      <c r="H27" s="60" t="s">
        <v>171</v>
      </c>
      <c r="I27" s="53"/>
      <c r="J27" s="53"/>
      <c r="M27" s="30"/>
      <c r="N27" s="28"/>
      <c r="P27" s="29" t="s">
        <v>172</v>
      </c>
    </row>
    <row r="28" hidden="1" spans="2:16">
      <c r="B28" s="14" t="s">
        <v>146</v>
      </c>
      <c r="C28" s="14" t="s">
        <v>173</v>
      </c>
      <c r="D28" s="2" t="str">
        <f t="shared" si="1"/>
        <v>API@60℉</v>
      </c>
      <c r="E28" s="47" t="s">
        <v>174</v>
      </c>
      <c r="F28" s="52" t="s">
        <v>175</v>
      </c>
      <c r="G28" s="2" t="str">
        <f t="shared" si="0"/>
        <v>Commenced load</v>
      </c>
      <c r="H28" s="54" t="s">
        <v>7</v>
      </c>
      <c r="I28" s="53"/>
      <c r="J28" s="53"/>
      <c r="M28" s="30"/>
      <c r="N28" s="28"/>
      <c r="P28" s="29" t="s">
        <v>176</v>
      </c>
    </row>
    <row r="29" ht="15" hidden="1" customHeight="1" spans="2:16">
      <c r="B29" s="13" t="s">
        <v>149</v>
      </c>
      <c r="C29" s="13" t="s">
        <v>177</v>
      </c>
      <c r="D29" s="2" t="str">
        <f t="shared" si="1"/>
        <v>S.G.@60℉/60℉</v>
      </c>
      <c r="E29" s="47" t="s">
        <v>178</v>
      </c>
      <c r="F29" s="52" t="s">
        <v>179</v>
      </c>
      <c r="G29" s="2" t="str">
        <f t="shared" si="0"/>
        <v>1st foot sampling</v>
      </c>
      <c r="H29" s="54" t="s">
        <v>8</v>
      </c>
      <c r="I29" s="53"/>
      <c r="J29" s="53"/>
      <c r="M29" s="25"/>
      <c r="N29" s="28"/>
      <c r="P29" s="29" t="s">
        <v>180</v>
      </c>
    </row>
    <row r="30" hidden="1" spans="2:16">
      <c r="B30" s="17" t="s">
        <v>181</v>
      </c>
      <c r="C30" s="18" t="s">
        <v>182</v>
      </c>
      <c r="D30" s="2" t="str">
        <f t="shared" si="1"/>
        <v>WCF MT(in air)/m³@15℃ [T-56]</v>
      </c>
      <c r="E30" s="47" t="s">
        <v>183</v>
      </c>
      <c r="F30" s="52" t="s">
        <v>184</v>
      </c>
      <c r="G30" s="2" t="str">
        <f t="shared" si="0"/>
        <v>1st foot samples analysis passed</v>
      </c>
      <c r="H30" s="54" t="s">
        <v>11</v>
      </c>
      <c r="I30" s="53"/>
      <c r="J30" s="53"/>
      <c r="M30" s="25"/>
      <c r="N30" s="28"/>
      <c r="P30" s="29" t="s">
        <v>185</v>
      </c>
    </row>
    <row r="31" hidden="1" spans="2:16">
      <c r="B31" s="17" t="s">
        <v>186</v>
      </c>
      <c r="C31" s="18" t="s">
        <v>187</v>
      </c>
      <c r="D31" s="2" t="str">
        <f t="shared" si="1"/>
        <v>WCF MT(in air)/m³@15℃</v>
      </c>
      <c r="E31" s="47" t="s">
        <v>188</v>
      </c>
      <c r="F31" s="52" t="s">
        <v>189</v>
      </c>
      <c r="G31" s="2" t="str">
        <f t="shared" si="0"/>
        <v>Suspended load for line displacement verification</v>
      </c>
      <c r="H31" s="54" t="s">
        <v>12</v>
      </c>
      <c r="I31" s="53"/>
      <c r="J31" s="53"/>
      <c r="M31" s="25"/>
      <c r="N31" s="28"/>
      <c r="P31" s="29" t="s">
        <v>190</v>
      </c>
    </row>
    <row r="32" hidden="1" spans="2:16">
      <c r="B32" s="17" t="s">
        <v>191</v>
      </c>
      <c r="C32" s="18" t="s">
        <v>192</v>
      </c>
      <c r="D32" s="2" t="str">
        <f t="shared" si="1"/>
        <v>WCF MT(in air)/m³@20℃</v>
      </c>
      <c r="E32" s="47" t="s">
        <v>193</v>
      </c>
      <c r="F32" s="52" t="s">
        <v>194</v>
      </c>
      <c r="G32" s="2" t="str">
        <f t="shared" si="0"/>
        <v>Resumed load</v>
      </c>
      <c r="M32" s="25"/>
      <c r="N32" s="28"/>
      <c r="P32" s="29" t="s">
        <v>195</v>
      </c>
    </row>
    <row r="33" hidden="1" spans="2:16">
      <c r="B33" s="19" t="s">
        <v>196</v>
      </c>
      <c r="C33" s="20" t="s">
        <v>197</v>
      </c>
      <c r="D33" s="2" t="str">
        <f t="shared" si="1"/>
        <v>MT/LT [T-1] </v>
      </c>
      <c r="E33" s="47" t="s">
        <v>198</v>
      </c>
      <c r="F33" s="52" t="s">
        <v>199</v>
      </c>
      <c r="G33" s="2" t="str">
        <f t="shared" ref="G33:G85" si="3">IF(Report_Language=$B$1,E33,F33)</f>
        <v>Completed load</v>
      </c>
      <c r="M33" s="25"/>
      <c r="N33" s="28"/>
      <c r="P33" s="29" t="s">
        <v>200</v>
      </c>
    </row>
    <row r="34" hidden="1" spans="2:16">
      <c r="B34" s="19" t="s">
        <v>201</v>
      </c>
      <c r="C34" s="21" t="s">
        <v>202</v>
      </c>
      <c r="D34" s="2" t="str">
        <f t="shared" ref="D34:D65" si="4">IF(Report_Language=$B$1,B34,C34)</f>
        <v>MT/LT</v>
      </c>
      <c r="E34" s="47" t="s">
        <v>203</v>
      </c>
      <c r="F34" s="52" t="s">
        <v>204</v>
      </c>
      <c r="G34" s="2" t="str">
        <f t="shared" si="3"/>
        <v>Estimated sailing time</v>
      </c>
      <c r="M34" s="25"/>
      <c r="N34" s="28"/>
      <c r="P34" s="29" t="s">
        <v>205</v>
      </c>
    </row>
    <row r="35" hidden="1" spans="2:16">
      <c r="B35" s="17" t="s">
        <v>206</v>
      </c>
      <c r="C35" s="18" t="s">
        <v>207</v>
      </c>
      <c r="D35" s="2" t="str">
        <f t="shared" si="4"/>
        <v>WCF MT(in air)/bbls@60℉ [T-13]</v>
      </c>
      <c r="E35" s="47" t="s">
        <v>208</v>
      </c>
      <c r="F35" s="52" t="s">
        <v>209</v>
      </c>
      <c r="G35" s="2" t="str">
        <f t="shared" si="3"/>
        <v>Date</v>
      </c>
      <c r="M35" s="25"/>
      <c r="N35" s="28"/>
      <c r="P35" s="29"/>
    </row>
    <row r="36" hidden="1" spans="2:16">
      <c r="B36" s="17" t="s">
        <v>210</v>
      </c>
      <c r="C36" s="18" t="s">
        <v>211</v>
      </c>
      <c r="D36" s="2" t="str">
        <f t="shared" si="4"/>
        <v>WCF MT(in air)/bbls@60℉</v>
      </c>
      <c r="E36" s="47" t="s">
        <v>212</v>
      </c>
      <c r="F36" s="52" t="s">
        <v>213</v>
      </c>
      <c r="G36" s="2" t="str">
        <f t="shared" si="3"/>
        <v>Time</v>
      </c>
      <c r="M36" s="25"/>
      <c r="N36" s="28" t="str">
        <f>I61</f>
        <v>Vessel Tank Quantity After Load</v>
      </c>
      <c r="O36" s="28">
        <v>6</v>
      </c>
      <c r="P36" s="29" t="str">
        <f>INDEX(N36:N47,O36)</f>
        <v>*Vessel Tanks Quantity Upon Arrival Applied VEF</v>
      </c>
    </row>
    <row r="37" hidden="1" spans="2:16">
      <c r="B37" s="14" t="s">
        <v>214</v>
      </c>
      <c r="C37" s="14" t="s">
        <v>215</v>
      </c>
      <c r="D37" s="2" t="str">
        <f t="shared" si="4"/>
        <v>Density@15℃ MT(Vacuo)/m³</v>
      </c>
      <c r="E37" s="47" t="s">
        <v>216</v>
      </c>
      <c r="F37" s="52" t="s">
        <v>217</v>
      </c>
      <c r="G37" s="2" t="str">
        <f t="shared" si="3"/>
        <v>FROM</v>
      </c>
      <c r="M37" s="25"/>
      <c r="N37" s="28" t="str">
        <f>J61</f>
        <v>*Vessel Tank Quantity After Load Applied VEF</v>
      </c>
      <c r="O37" s="28"/>
      <c r="P37" s="29"/>
    </row>
    <row r="38" hidden="1" spans="2:16">
      <c r="B38" s="14" t="s">
        <v>218</v>
      </c>
      <c r="C38" s="14" t="s">
        <v>219</v>
      </c>
      <c r="D38" s="2" t="str">
        <f t="shared" si="4"/>
        <v>Density@20℃ MT(Vacuo)/m³</v>
      </c>
      <c r="E38" s="47" t="s">
        <v>220</v>
      </c>
      <c r="F38" s="52" t="s">
        <v>221</v>
      </c>
      <c r="G38" s="2" t="str">
        <f t="shared" si="3"/>
        <v>TO</v>
      </c>
      <c r="M38" s="25"/>
      <c r="N38" s="28" t="str">
        <f>K61</f>
        <v>Vessel Loaded Quantity</v>
      </c>
      <c r="O38" s="28"/>
      <c r="P38" s="29"/>
    </row>
    <row r="39" ht="15" hidden="1" customHeight="1" spans="2:16">
      <c r="B39" s="17" t="s">
        <v>222</v>
      </c>
      <c r="C39" s="18" t="s">
        <v>223</v>
      </c>
      <c r="D39" s="2" t="str">
        <f t="shared" si="4"/>
        <v>WCF MT(in vacuo)/bbls@60℉ [T-13]</v>
      </c>
      <c r="E39" s="47" t="s">
        <v>224</v>
      </c>
      <c r="F39" s="52" t="s">
        <v>225</v>
      </c>
      <c r="G39" s="2" t="str">
        <f t="shared" si="3"/>
        <v>EVENTS</v>
      </c>
      <c r="M39" s="25"/>
      <c r="N39" s="28" t="str">
        <f>L61</f>
        <v>*Vessel Loaded Quantity Applied VEF</v>
      </c>
      <c r="O39" s="28"/>
      <c r="P39" s="29"/>
    </row>
    <row r="40" hidden="1" spans="2:16">
      <c r="B40" s="17" t="s">
        <v>226</v>
      </c>
      <c r="C40" s="18" t="s">
        <v>227</v>
      </c>
      <c r="D40" s="2" t="str">
        <f t="shared" si="4"/>
        <v>WCF MT(in vacuo)/bbls@60℉</v>
      </c>
      <c r="E40" s="47" t="s">
        <v>228</v>
      </c>
      <c r="F40" s="52" t="s">
        <v>229</v>
      </c>
      <c r="G40" s="2" t="str">
        <f t="shared" si="3"/>
        <v>TIME LOG</v>
      </c>
      <c r="M40" s="25"/>
      <c r="N40" s="28" t="str">
        <f>M61</f>
        <v>Vessel Tanks Quantity Upon Arrival</v>
      </c>
      <c r="O40" s="28"/>
      <c r="P40" s="29"/>
    </row>
    <row r="41" hidden="1" spans="2:16">
      <c r="B41" s="19" t="s">
        <v>196</v>
      </c>
      <c r="C41" s="20" t="s">
        <v>197</v>
      </c>
      <c r="D41" s="2" t="str">
        <f t="shared" si="4"/>
        <v>MT/LT [T-1] </v>
      </c>
      <c r="E41" s="47" t="s">
        <v>230</v>
      </c>
      <c r="F41" s="52" t="s">
        <v>231</v>
      </c>
      <c r="G41" s="2" t="str">
        <f t="shared" si="3"/>
        <v>REMARKS</v>
      </c>
      <c r="M41" s="25"/>
      <c r="N41" s="28" t="str">
        <f>N61</f>
        <v>*Vessel Tanks Quantity Upon Arrival Applied VEF</v>
      </c>
      <c r="O41" s="28"/>
      <c r="P41" s="29"/>
    </row>
    <row r="42" hidden="1" spans="2:16">
      <c r="B42" s="19" t="s">
        <v>201</v>
      </c>
      <c r="C42" s="21" t="s">
        <v>202</v>
      </c>
      <c r="D42" s="2" t="str">
        <f t="shared" si="4"/>
        <v>MT/LT</v>
      </c>
      <c r="E42" s="47" t="s">
        <v>34</v>
      </c>
      <c r="F42" s="52" t="s">
        <v>232</v>
      </c>
      <c r="G42" s="2" t="str">
        <f t="shared" si="3"/>
        <v>TERMINAL</v>
      </c>
      <c r="M42" s="25"/>
      <c r="N42" s="28" t="str">
        <f>O61</f>
        <v>Vessel Discharged Quantity</v>
      </c>
      <c r="O42" s="28"/>
      <c r="P42" s="29"/>
    </row>
    <row r="43" hidden="1" spans="2:16">
      <c r="B43" s="17" t="s">
        <v>233</v>
      </c>
      <c r="C43" s="18" t="s">
        <v>234</v>
      </c>
      <c r="D43" s="2" t="str">
        <f t="shared" si="4"/>
        <v>WCF LT(in air)/m³@15℃ [T-57]</v>
      </c>
      <c r="E43" s="47" t="s">
        <v>28</v>
      </c>
      <c r="F43" s="52" t="s">
        <v>235</v>
      </c>
      <c r="G43" s="2" t="str">
        <f t="shared" si="3"/>
        <v>VESSEL</v>
      </c>
      <c r="M43" s="25"/>
      <c r="N43" s="28" t="str">
        <f>P61</f>
        <v>*Vessel Discharged Quantity Applied VEF</v>
      </c>
      <c r="O43" s="28"/>
      <c r="P43" s="29"/>
    </row>
    <row r="44" ht="15" hidden="1" customHeight="1" spans="2:16">
      <c r="B44" s="17" t="s">
        <v>236</v>
      </c>
      <c r="C44" s="18" t="s">
        <v>237</v>
      </c>
      <c r="D44" s="2" t="str">
        <f t="shared" si="4"/>
        <v>WCF LT(in air)/m³@15℃</v>
      </c>
      <c r="E44" s="47" t="s">
        <v>238</v>
      </c>
      <c r="F44" s="52" t="s">
        <v>239</v>
      </c>
      <c r="G44" s="2" t="str">
        <f t="shared" si="3"/>
        <v>Arm(s) connected</v>
      </c>
      <c r="M44" s="25"/>
      <c r="N44" s="28" t="str">
        <f>Q61</f>
        <v>Shore Delivered Quantity (Flow Meter)</v>
      </c>
      <c r="O44" s="28"/>
      <c r="P44" s="29"/>
    </row>
    <row r="45" hidden="1" spans="2:16">
      <c r="B45" s="19" t="s">
        <v>240</v>
      </c>
      <c r="C45" s="20" t="s">
        <v>241</v>
      </c>
      <c r="D45" s="2" t="str">
        <f t="shared" si="4"/>
        <v>LT/MT [T-1] </v>
      </c>
      <c r="E45" s="47" t="s">
        <v>242</v>
      </c>
      <c r="F45" s="52" t="s">
        <v>243</v>
      </c>
      <c r="G45" s="2" t="str">
        <f t="shared" si="3"/>
        <v>Hose(s) connected</v>
      </c>
      <c r="M45" s="25"/>
      <c r="N45" s="28" t="str">
        <f>R61</f>
        <v>Shore Received Quantity (Flow Meter)</v>
      </c>
      <c r="O45" s="28"/>
      <c r="P45" s="29"/>
    </row>
    <row r="46" hidden="1" spans="2:16">
      <c r="B46" s="19" t="s">
        <v>244</v>
      </c>
      <c r="C46" s="20" t="s">
        <v>245</v>
      </c>
      <c r="D46" s="2" t="str">
        <f t="shared" si="4"/>
        <v>LT/MT</v>
      </c>
      <c r="E46" s="47" t="s">
        <v>246</v>
      </c>
      <c r="F46" s="52" t="s">
        <v>247</v>
      </c>
      <c r="G46" s="2" t="str">
        <f t="shared" si="3"/>
        <v>Arm(s) disconnected</v>
      </c>
      <c r="M46" s="25"/>
      <c r="N46" s="28" t="str">
        <f>S61</f>
        <v>Shore Tanks Delivered Quantity</v>
      </c>
      <c r="O46" s="28"/>
      <c r="P46" s="29"/>
    </row>
    <row r="47" hidden="1" spans="2:19">
      <c r="B47" s="17" t="s">
        <v>248</v>
      </c>
      <c r="C47" s="18" t="s">
        <v>249</v>
      </c>
      <c r="D47" s="2" t="str">
        <f t="shared" si="4"/>
        <v>WCF LT(in air)/bbls@60℉ [T-29] </v>
      </c>
      <c r="E47" s="47" t="s">
        <v>250</v>
      </c>
      <c r="F47" s="52" t="s">
        <v>251</v>
      </c>
      <c r="G47" s="2" t="str">
        <f t="shared" si="3"/>
        <v>Hose(s) disconnected</v>
      </c>
      <c r="M47" s="25"/>
      <c r="N47" s="28" t="str">
        <f>T61</f>
        <v>Shore Tanks Received Quantity</v>
      </c>
      <c r="O47" s="65" t="s">
        <v>252</v>
      </c>
      <c r="P47" s="65"/>
      <c r="Q47" s="65"/>
      <c r="R47" s="65"/>
      <c r="S47" s="65"/>
    </row>
    <row r="48" hidden="1" spans="2:19">
      <c r="B48" s="17" t="s">
        <v>253</v>
      </c>
      <c r="C48" s="18" t="s">
        <v>254</v>
      </c>
      <c r="D48" s="2" t="str">
        <f t="shared" si="4"/>
        <v>WCF LT(in air)/bbls@60℉</v>
      </c>
      <c r="E48" s="47" t="s">
        <v>255</v>
      </c>
      <c r="F48" s="52" t="s">
        <v>256</v>
      </c>
      <c r="G48" s="2" t="str">
        <f t="shared" si="3"/>
        <v>QUANTITIES</v>
      </c>
      <c r="J48" s="61"/>
      <c r="K48" s="61"/>
      <c r="L48" s="61"/>
      <c r="M48" s="61"/>
      <c r="N48" s="61"/>
      <c r="O48" s="61"/>
      <c r="P48" s="61"/>
      <c r="Q48" s="61"/>
      <c r="R48" s="61"/>
      <c r="S48" s="61"/>
    </row>
    <row r="49" hidden="1" spans="2:19">
      <c r="B49" s="17" t="s">
        <v>259</v>
      </c>
      <c r="C49" s="18" t="s">
        <v>260</v>
      </c>
      <c r="D49" s="2" t="str">
        <f t="shared" si="4"/>
        <v>WCF LT(in air)/bbls@60℉ [T-11] </v>
      </c>
      <c r="E49" s="28" t="s">
        <v>261</v>
      </c>
      <c r="F49" s="52" t="s">
        <v>262</v>
      </c>
      <c r="G49" s="61" t="str">
        <f t="shared" ref="G49" si="5">IF(Report_Language=$B$1,E49,F49)</f>
        <v>Bill of Lading</v>
      </c>
      <c r="H49" s="53"/>
      <c r="I49" s="53"/>
      <c r="J49" s="53"/>
      <c r="K49" s="53"/>
      <c r="L49" s="53"/>
      <c r="M49" s="53"/>
      <c r="N49" s="53"/>
      <c r="O49" s="53"/>
      <c r="P49" s="53"/>
      <c r="Q49" s="53"/>
      <c r="R49" s="53"/>
      <c r="S49" s="53"/>
    </row>
    <row r="50" ht="17.4" hidden="1" customHeight="1" spans="2:19">
      <c r="B50" s="17" t="s">
        <v>253</v>
      </c>
      <c r="C50" s="18" t="s">
        <v>254</v>
      </c>
      <c r="D50" s="2" t="str">
        <f t="shared" si="4"/>
        <v>WCF LT(in air)/bbls@60℉</v>
      </c>
      <c r="E50" s="47"/>
      <c r="F50" s="52"/>
      <c r="G50" s="61">
        <f t="shared" si="3"/>
        <v>0</v>
      </c>
      <c r="H50" s="53"/>
      <c r="I50" s="53"/>
      <c r="J50" s="53"/>
      <c r="K50" s="53"/>
      <c r="L50" s="53"/>
      <c r="M50" s="53"/>
      <c r="N50" s="53"/>
      <c r="O50" s="53"/>
      <c r="P50" s="53"/>
      <c r="Q50" s="53"/>
      <c r="R50" s="53"/>
      <c r="S50" s="53"/>
    </row>
    <row r="51" ht="13.2" hidden="1" customHeight="1" spans="2:19">
      <c r="B51" s="17" t="s">
        <v>265</v>
      </c>
      <c r="C51" s="18" t="s">
        <v>266</v>
      </c>
      <c r="D51" s="2" t="str">
        <f t="shared" si="4"/>
        <v>WCF LT(in vacuo)/m³@15℃ [T-57]</v>
      </c>
      <c r="E51" s="47" t="s">
        <v>263</v>
      </c>
      <c r="F51" s="52" t="s">
        <v>264</v>
      </c>
      <c r="G51" s="61" t="str">
        <f t="shared" si="3"/>
        <v>Vessel Tank Quantity After Load</v>
      </c>
      <c r="H51" s="62"/>
      <c r="I51" s="62"/>
      <c r="J51" s="28" t="s">
        <v>190</v>
      </c>
      <c r="K51" s="52" t="s">
        <v>267</v>
      </c>
      <c r="L51" s="61" t="str">
        <f t="shared" ref="L51:L56" si="6">IF(Report_Language=$B$1,J51,K51)</f>
        <v>Vessel Tanks Quantity Upon Arrival</v>
      </c>
      <c r="M51" s="62"/>
      <c r="N51" s="62"/>
      <c r="O51" s="62"/>
      <c r="P51" s="62"/>
      <c r="Q51" s="62"/>
      <c r="R51" s="62"/>
      <c r="S51" s="62"/>
    </row>
    <row r="52" hidden="1" spans="2:19">
      <c r="B52" s="17" t="s">
        <v>268</v>
      </c>
      <c r="C52" s="18" t="s">
        <v>269</v>
      </c>
      <c r="D52" s="2" t="str">
        <f t="shared" si="4"/>
        <v>WCF LT(in vacuo)/m³@15℃</v>
      </c>
      <c r="E52" s="28" t="s">
        <v>367</v>
      </c>
      <c r="F52" s="52" t="s">
        <v>368</v>
      </c>
      <c r="G52" s="61" t="str">
        <f t="shared" si="3"/>
        <v>*Vessel Tank Quantity After Load Applied VEF</v>
      </c>
      <c r="H52" s="62"/>
      <c r="I52" s="62"/>
      <c r="J52" s="28" t="s">
        <v>195</v>
      </c>
      <c r="K52" s="52" t="s">
        <v>270</v>
      </c>
      <c r="L52" s="61" t="str">
        <f t="shared" si="6"/>
        <v>*Vessel Tanks Quantity Upon Arrival Applied VEF</v>
      </c>
      <c r="M52" s="62"/>
      <c r="N52" s="62"/>
      <c r="O52" s="62"/>
      <c r="P52" s="62"/>
      <c r="Q52" s="62"/>
      <c r="R52" s="62"/>
      <c r="S52" s="62"/>
    </row>
    <row r="53" hidden="1" spans="2:19">
      <c r="B53" s="19" t="s">
        <v>240</v>
      </c>
      <c r="C53" s="20" t="s">
        <v>241</v>
      </c>
      <c r="D53" s="2" t="str">
        <f t="shared" si="4"/>
        <v>LT/MT [T-1] </v>
      </c>
      <c r="E53" s="63" t="s">
        <v>369</v>
      </c>
      <c r="F53" s="64" t="s">
        <v>370</v>
      </c>
      <c r="G53" s="61" t="str">
        <f t="shared" si="3"/>
        <v>Vessel Loaded Quantity</v>
      </c>
      <c r="H53" s="62"/>
      <c r="I53" s="62"/>
      <c r="J53" s="63" t="s">
        <v>200</v>
      </c>
      <c r="K53" s="64" t="s">
        <v>271</v>
      </c>
      <c r="L53" s="61" t="str">
        <f t="shared" si="6"/>
        <v>Vessel Discharged Quantity</v>
      </c>
      <c r="M53" s="62"/>
      <c r="N53" s="62"/>
      <c r="O53" s="62"/>
      <c r="P53" s="62"/>
      <c r="Q53" s="62"/>
      <c r="R53" s="62"/>
      <c r="S53" s="62"/>
    </row>
    <row r="54" hidden="1" spans="2:19">
      <c r="B54" s="19" t="s">
        <v>244</v>
      </c>
      <c r="C54" s="20" t="s">
        <v>245</v>
      </c>
      <c r="D54" s="2" t="str">
        <f t="shared" si="4"/>
        <v>LT/MT</v>
      </c>
      <c r="E54" s="28" t="s">
        <v>371</v>
      </c>
      <c r="F54" s="52" t="s">
        <v>372</v>
      </c>
      <c r="G54" s="61" t="str">
        <f t="shared" si="3"/>
        <v>*Vessel Loaded Quantity Applied VEF</v>
      </c>
      <c r="H54" s="62"/>
      <c r="I54" s="62"/>
      <c r="J54" s="28" t="s">
        <v>205</v>
      </c>
      <c r="K54" s="52" t="s">
        <v>272</v>
      </c>
      <c r="L54" s="61" t="str">
        <f t="shared" si="6"/>
        <v>*Vessel Discharged Quantity Applied VEF</v>
      </c>
      <c r="M54" s="62"/>
      <c r="N54" s="62"/>
      <c r="O54" s="62"/>
      <c r="P54" s="62"/>
      <c r="Q54" s="62"/>
      <c r="R54" s="62"/>
      <c r="S54" s="62"/>
    </row>
    <row r="55" hidden="1" spans="2:19">
      <c r="B55" s="17" t="s">
        <v>273</v>
      </c>
      <c r="C55" s="18" t="s">
        <v>274</v>
      </c>
      <c r="D55" s="2" t="str">
        <f t="shared" si="4"/>
        <v>WCF LT(in vacuo)/bbls@60℉ [T-29]</v>
      </c>
      <c r="E55" s="28" t="s">
        <v>373</v>
      </c>
      <c r="F55" s="52" t="s">
        <v>374</v>
      </c>
      <c r="G55" s="61" t="str">
        <f t="shared" si="3"/>
        <v>Shore Delivered Quantity (Flow Meter)</v>
      </c>
      <c r="H55" s="61"/>
      <c r="I55" s="61"/>
      <c r="J55" s="28" t="s">
        <v>166</v>
      </c>
      <c r="K55" s="52" t="s">
        <v>275</v>
      </c>
      <c r="L55" s="61" t="str">
        <f t="shared" si="6"/>
        <v>Shore Received Quantity (Flow Meter)</v>
      </c>
      <c r="M55" s="61"/>
      <c r="N55" s="61"/>
      <c r="O55" s="61"/>
      <c r="P55" s="61"/>
      <c r="Q55" s="61"/>
      <c r="R55" s="61"/>
      <c r="S55" s="61"/>
    </row>
    <row r="56" hidden="1" spans="2:19">
      <c r="B56" s="17" t="s">
        <v>276</v>
      </c>
      <c r="C56" s="18" t="s">
        <v>277</v>
      </c>
      <c r="D56" s="2" t="str">
        <f t="shared" si="4"/>
        <v>WCF LT(in vacuo)/bbls@60℉</v>
      </c>
      <c r="E56" s="28" t="s">
        <v>375</v>
      </c>
      <c r="F56" s="52" t="s">
        <v>376</v>
      </c>
      <c r="G56" s="61" t="str">
        <f t="shared" si="3"/>
        <v>Shore Tanks Delivered Quantity</v>
      </c>
      <c r="H56" s="61"/>
      <c r="I56" s="61"/>
      <c r="J56" s="28" t="s">
        <v>172</v>
      </c>
      <c r="K56" s="52" t="s">
        <v>278</v>
      </c>
      <c r="L56" s="61" t="str">
        <f t="shared" si="6"/>
        <v>Shore Tanks Received Quantity</v>
      </c>
      <c r="M56" s="61"/>
      <c r="N56" s="61"/>
      <c r="O56" s="61"/>
      <c r="P56" s="61"/>
      <c r="Q56" s="61"/>
      <c r="R56" s="61"/>
      <c r="S56" s="61"/>
    </row>
    <row r="57" hidden="1" spans="2:19">
      <c r="B57" s="17" t="s">
        <v>279</v>
      </c>
      <c r="C57" s="18" t="s">
        <v>280</v>
      </c>
      <c r="D57" s="2" t="str">
        <f t="shared" si="4"/>
        <v>WCF LT(in vacuo)/bbls@60℉ [T-11]</v>
      </c>
      <c r="E57" s="28" t="s">
        <v>176</v>
      </c>
      <c r="F57" s="52" t="s">
        <v>281</v>
      </c>
      <c r="G57" s="61" t="str">
        <f t="shared" si="3"/>
        <v>Total Lighter Received Quantity</v>
      </c>
      <c r="H57" s="61"/>
      <c r="I57" s="61"/>
      <c r="J57" s="61"/>
      <c r="K57" s="61"/>
      <c r="L57" s="61"/>
      <c r="M57" s="61"/>
      <c r="N57" s="61"/>
      <c r="O57" s="61"/>
      <c r="P57" s="61"/>
      <c r="Q57" s="61"/>
      <c r="R57" s="61"/>
      <c r="S57" s="61"/>
    </row>
    <row r="58" hidden="1" spans="2:19">
      <c r="B58" s="17" t="s">
        <v>276</v>
      </c>
      <c r="C58" s="18" t="s">
        <v>277</v>
      </c>
      <c r="D58" s="2" t="str">
        <f t="shared" si="4"/>
        <v>WCF LT(in vacuo)/bbls@60℉</v>
      </c>
      <c r="E58" s="28" t="s">
        <v>180</v>
      </c>
      <c r="F58" s="52" t="s">
        <v>282</v>
      </c>
      <c r="G58" s="61" t="str">
        <f t="shared" si="3"/>
        <v>Total Tank Cars received Quantity</v>
      </c>
      <c r="H58" s="61"/>
      <c r="I58" s="61"/>
      <c r="J58" s="61"/>
      <c r="K58" s="61"/>
      <c r="L58" s="61"/>
      <c r="M58" s="61"/>
      <c r="N58" s="61"/>
      <c r="O58" s="61"/>
      <c r="P58" s="61"/>
      <c r="Q58" s="61"/>
      <c r="R58" s="61"/>
      <c r="S58" s="61"/>
    </row>
    <row r="59" hidden="1" spans="2:19">
      <c r="B59" s="22" t="s">
        <v>283</v>
      </c>
      <c r="C59" s="21" t="s">
        <v>284</v>
      </c>
      <c r="D59" s="2" t="str">
        <f t="shared" si="4"/>
        <v>bbls@60℉/m³@15℃ [T-52]</v>
      </c>
      <c r="E59" s="28" t="s">
        <v>185</v>
      </c>
      <c r="F59" s="52" t="s">
        <v>285</v>
      </c>
      <c r="G59" s="61" t="str">
        <f t="shared" si="3"/>
        <v>Total Received Quantity</v>
      </c>
      <c r="H59" s="61"/>
      <c r="I59" s="61"/>
      <c r="J59" s="61"/>
      <c r="K59" s="61"/>
      <c r="L59" s="61"/>
      <c r="M59" s="61"/>
      <c r="N59" s="61"/>
      <c r="O59" s="61"/>
      <c r="P59" s="61"/>
      <c r="Q59" s="61"/>
      <c r="R59" s="61"/>
      <c r="S59" s="61"/>
    </row>
    <row r="60" hidden="1" spans="2:19">
      <c r="B60" s="22" t="s">
        <v>286</v>
      </c>
      <c r="C60" s="21" t="s">
        <v>287</v>
      </c>
      <c r="D60" s="2" t="str">
        <f t="shared" si="4"/>
        <v>bbls@60℉/m³@15℃</v>
      </c>
      <c r="E60" s="28" t="s">
        <v>288</v>
      </c>
      <c r="F60" s="52" t="s">
        <v>289</v>
      </c>
      <c r="G60" s="61" t="str">
        <f t="shared" si="3"/>
        <v>O.B.Q. Quantity</v>
      </c>
      <c r="H60" s="61">
        <f>IF(OBQ!R144="","",OBQ!R144)</f>
        <v>3764.991</v>
      </c>
      <c r="I60" s="61"/>
      <c r="J60" s="61"/>
      <c r="K60" s="61"/>
      <c r="L60" s="61"/>
      <c r="M60" s="61"/>
      <c r="N60" s="61"/>
      <c r="O60" s="61"/>
      <c r="P60" s="61"/>
      <c r="Q60" s="61"/>
      <c r="R60" s="61"/>
      <c r="S60" s="61"/>
    </row>
    <row r="61" hidden="1" spans="2:20">
      <c r="B61" s="23" t="s">
        <v>290</v>
      </c>
      <c r="C61" s="24" t="s">
        <v>291</v>
      </c>
      <c r="D61" s="2" t="str">
        <f t="shared" si="4"/>
        <v>bbls@60℉/MT(in air)</v>
      </c>
      <c r="E61" s="28" t="s">
        <v>292</v>
      </c>
      <c r="F61" s="52" t="s">
        <v>293</v>
      </c>
      <c r="G61" s="61" t="str">
        <f t="shared" si="3"/>
        <v>R.O.B. Quantity</v>
      </c>
      <c r="H61" s="61">
        <f>IF(ROB!R144="","",ROB!R144)</f>
        <v>23</v>
      </c>
      <c r="I61" t="str">
        <f>G51</f>
        <v>Vessel Tank Quantity After Load</v>
      </c>
      <c r="J61" s="61" t="str">
        <f>G52</f>
        <v>*Vessel Tank Quantity After Load Applied VEF</v>
      </c>
      <c r="K61" t="str">
        <f>G53</f>
        <v>Vessel Loaded Quantity</v>
      </c>
      <c r="L61" t="str">
        <f>G54</f>
        <v>*Vessel Loaded Quantity Applied VEF</v>
      </c>
      <c r="M61" s="61" t="str">
        <f>L51</f>
        <v>Vessel Tanks Quantity Upon Arrival</v>
      </c>
      <c r="N61" s="61" t="str">
        <f>L52</f>
        <v>*Vessel Tanks Quantity Upon Arrival Applied VEF</v>
      </c>
      <c r="O61" s="61" t="str">
        <f>L53</f>
        <v>Vessel Discharged Quantity</v>
      </c>
      <c r="P61" s="61" t="str">
        <f>L54</f>
        <v>*Vessel Discharged Quantity Applied VEF</v>
      </c>
      <c r="Q61" s="61" t="str">
        <f>G55</f>
        <v>Shore Delivered Quantity (Flow Meter)</v>
      </c>
      <c r="R61" s="61" t="str">
        <f>L55</f>
        <v>Shore Received Quantity (Flow Meter)</v>
      </c>
      <c r="S61" s="61" t="str">
        <f>G56</f>
        <v>Shore Tanks Delivered Quantity</v>
      </c>
      <c r="T61" t="str">
        <f>L56</f>
        <v>Shore Tanks Received Quantity</v>
      </c>
    </row>
    <row r="62" hidden="1" spans="2:18">
      <c r="B62" s="2" t="s">
        <v>294</v>
      </c>
      <c r="C62" s="9" t="s">
        <v>295</v>
      </c>
      <c r="D62" s="2" t="str">
        <f t="shared" si="4"/>
        <v>Standard Volume</v>
      </c>
      <c r="E62" t="s">
        <v>296</v>
      </c>
      <c r="F62" s="52" t="s">
        <v>297</v>
      </c>
      <c r="G62" s="2" t="str">
        <f t="shared" si="3"/>
        <v>In-transit Difference</v>
      </c>
      <c r="H62" s="61" t="s">
        <v>257</v>
      </c>
      <c r="I62">
        <f>Ullage!V131</f>
        <v>48120.731</v>
      </c>
      <c r="K62">
        <f>I62-H60</f>
        <v>44355.74</v>
      </c>
      <c r="M62">
        <f>Ullage!V131</f>
        <v>48120.731</v>
      </c>
      <c r="O62">
        <f>M62-H61</f>
        <v>48097.731</v>
      </c>
      <c r="Q62" s="28"/>
      <c r="R62" s="29"/>
    </row>
    <row r="63" ht="16.5" hidden="1" spans="2:18">
      <c r="B63" s="2" t="s">
        <v>298</v>
      </c>
      <c r="C63" s="2" t="s">
        <v>299</v>
      </c>
      <c r="D63" s="2" t="str">
        <f t="shared" si="4"/>
        <v>m³@15℃/m³@20℃ [1/VCF(15℃)]</v>
      </c>
      <c r="E63" t="s">
        <v>300</v>
      </c>
      <c r="F63" s="52" t="s">
        <v>301</v>
      </c>
      <c r="G63" s="2" t="str">
        <f t="shared" si="3"/>
        <v>Difference Percentage</v>
      </c>
      <c r="H63" s="61" t="s">
        <v>258</v>
      </c>
      <c r="I63">
        <f>Ullage!V135</f>
        <v>39386.818</v>
      </c>
      <c r="K63">
        <f>ROUND(K62*Ullage!V134,3)</f>
        <v>36305.173</v>
      </c>
      <c r="M63">
        <f>Ullage!V135</f>
        <v>39386.818</v>
      </c>
      <c r="O63">
        <f>ROUND(O62*Ullage!V134,3)</f>
        <v>39367.993</v>
      </c>
      <c r="Q63" s="28"/>
      <c r="R63" s="29"/>
    </row>
    <row r="64" hidden="1" spans="2:20">
      <c r="B64" s="22" t="s">
        <v>302</v>
      </c>
      <c r="C64" s="21" t="s">
        <v>303</v>
      </c>
      <c r="D64" s="2" t="str">
        <f t="shared" si="4"/>
        <v>m³@15℃/bbls@60℉ [T-22]</v>
      </c>
      <c r="E64" s="28" t="s">
        <v>304</v>
      </c>
      <c r="F64" s="52" t="s">
        <v>305</v>
      </c>
      <c r="G64" s="2" t="str">
        <f t="shared" si="3"/>
        <v>Outturn :</v>
      </c>
      <c r="I64" t="s">
        <v>397</v>
      </c>
      <c r="J64" t="s">
        <v>398</v>
      </c>
      <c r="K64" t="s">
        <v>399</v>
      </c>
      <c r="L64" t="s">
        <v>400</v>
      </c>
      <c r="M64" t="s">
        <v>401</v>
      </c>
      <c r="N64" t="s">
        <v>402</v>
      </c>
      <c r="O64" t="s">
        <v>403</v>
      </c>
      <c r="P64" t="s">
        <v>404</v>
      </c>
      <c r="Q64" t="s">
        <v>405</v>
      </c>
      <c r="R64" t="s">
        <v>406</v>
      </c>
      <c r="S64" s="28" t="s">
        <v>407</v>
      </c>
      <c r="T64" s="28" t="s">
        <v>408</v>
      </c>
    </row>
    <row r="65" ht="15" hidden="1" customHeight="1" spans="2:20">
      <c r="B65" s="22" t="s">
        <v>306</v>
      </c>
      <c r="C65" s="19" t="s">
        <v>307</v>
      </c>
      <c r="D65" s="2" t="str">
        <f t="shared" si="4"/>
        <v>m³@15℃/bbls@60℉</v>
      </c>
      <c r="E65" s="28" t="s">
        <v>308</v>
      </c>
      <c r="F65" s="52" t="s">
        <v>309</v>
      </c>
      <c r="G65" s="2" t="str">
        <f t="shared" si="3"/>
        <v>Shore/Vessel Difference at Discharge Port</v>
      </c>
      <c r="H65" t="str">
        <f>G75</f>
        <v>US Barrels (Obsd. Temp.)</v>
      </c>
      <c r="I65" s="39" t="str">
        <f>Ullage!N136</f>
        <v/>
      </c>
      <c r="J65" s="39" t="e">
        <f>ROUND(I65/VEF,2)</f>
        <v>#VALUE!</v>
      </c>
      <c r="K65" s="39" t="e">
        <f>ROUND(M65-OBQ!Z97,2)</f>
        <v>#VALUE!</v>
      </c>
      <c r="L65" s="39" t="e">
        <f>ROUND(K65/VEF,2)</f>
        <v>#VALUE!</v>
      </c>
      <c r="M65" s="39" t="str">
        <f>Ullage!N136</f>
        <v/>
      </c>
      <c r="N65" s="39" t="e">
        <f>ROUND(M65/VEF,2)</f>
        <v>#VALUE!</v>
      </c>
      <c r="O65" s="39" t="e">
        <f>ROUND(M65-ROB!Z97,2)</f>
        <v>#VALUE!</v>
      </c>
      <c r="P65" s="39" t="e">
        <f>ROUND(O65/VEF,2)</f>
        <v>#VALUE!</v>
      </c>
      <c r="Q65" s="28"/>
      <c r="R65" s="29"/>
      <c r="S65">
        <f>SUM('Shore Tk:Shore Tk (2)'!L197)</f>
        <v>0</v>
      </c>
      <c r="T65">
        <f>S65</f>
        <v>0</v>
      </c>
    </row>
    <row r="66" hidden="1" spans="2:20">
      <c r="B66" s="22" t="s">
        <v>310</v>
      </c>
      <c r="C66" s="21" t="s">
        <v>311</v>
      </c>
      <c r="D66" s="2" t="str">
        <f t="shared" ref="D66:D86" si="7">IF(Report_Language=$B$1,B66,C66)</f>
        <v>m³@15℃/bbls@60℉ [T-4] </v>
      </c>
      <c r="E66" s="28" t="s">
        <v>312</v>
      </c>
      <c r="F66" s="52" t="s">
        <v>313</v>
      </c>
      <c r="G66" s="2" t="str">
        <f t="shared" si="3"/>
        <v>Bbls (60℉)</v>
      </c>
      <c r="H66" t="str">
        <f t="shared" ref="H66:H75" si="8">G76</f>
        <v>Cubic Meters (Obsd. Temp.)</v>
      </c>
      <c r="I66" s="39" t="str">
        <f>Ullage!N137</f>
        <v/>
      </c>
      <c r="J66" s="39" t="e">
        <f>ROUND(I66/VEF,3)</f>
        <v>#VALUE!</v>
      </c>
      <c r="K66" s="39" t="e">
        <f>ROUND(M66-OBQ!Z96,3)</f>
        <v>#VALUE!</v>
      </c>
      <c r="L66" s="39" t="e">
        <f>ROUND(K66/VEF,3)</f>
        <v>#VALUE!</v>
      </c>
      <c r="M66" s="39" t="str">
        <f>Ullage!N137</f>
        <v/>
      </c>
      <c r="N66" s="39" t="e">
        <f>ROUND(M66/VEF,3)</f>
        <v>#VALUE!</v>
      </c>
      <c r="O66" s="39" t="e">
        <f>ROUND(M66-ROB!Z96,3)</f>
        <v>#VALUE!</v>
      </c>
      <c r="P66" s="39" t="e">
        <f>ROUND(O66/VEF,3)</f>
        <v>#VALUE!</v>
      </c>
      <c r="Q66" s="28"/>
      <c r="R66" s="29"/>
      <c r="S66">
        <f>SUM('Shore Tk:Shore Tk (2)'!L198)</f>
        <v>0</v>
      </c>
      <c r="T66">
        <f t="shared" ref="T66:T86" si="9">S66</f>
        <v>0</v>
      </c>
    </row>
    <row r="67" hidden="1" spans="2:20">
      <c r="B67" s="22" t="s">
        <v>306</v>
      </c>
      <c r="C67" s="21" t="s">
        <v>314</v>
      </c>
      <c r="D67" s="2" t="str">
        <f t="shared" si="7"/>
        <v>m³@15℃/bbls@60℉</v>
      </c>
      <c r="E67" s="28" t="s">
        <v>315</v>
      </c>
      <c r="F67" s="52" t="s">
        <v>316</v>
      </c>
      <c r="G67" s="2" t="str">
        <f t="shared" si="3"/>
        <v>m³ (15℃)</v>
      </c>
      <c r="H67" t="str">
        <f t="shared" si="8"/>
        <v>US Barrels (60℉)</v>
      </c>
      <c r="I67" s="39">
        <f>Ullage!N138</f>
        <v>301466.7</v>
      </c>
      <c r="J67" s="39">
        <f>ROUND(I67/VEF,2)</f>
        <v>301889.35</v>
      </c>
      <c r="K67" s="39">
        <f>ToBbls60F(vcfTab,WCF_Standard,Cargo_type,K62,K63,Ullage!$N$133,Ullage!$U$106)</f>
        <v>277879.79</v>
      </c>
      <c r="L67" s="39">
        <f>ROUND(K67/VEF,2)</f>
        <v>278269.37</v>
      </c>
      <c r="M67" s="39">
        <f>Ullage!N138</f>
        <v>301466.7</v>
      </c>
      <c r="N67" s="39">
        <f>ROUND(M67/VEF,2)</f>
        <v>301889.35</v>
      </c>
      <c r="O67" s="39">
        <f>ToBbls60F(vcfTab,WCF_Standard,Cargo_type,O62,O63,Ullage!$N$133,Ullage!$U$106)</f>
        <v>301322.62</v>
      </c>
      <c r="P67" s="39">
        <f>ROUND(O67/VEF,2)</f>
        <v>301745.06</v>
      </c>
      <c r="Q67" s="28"/>
      <c r="R67" s="29"/>
      <c r="S67" t="e">
        <f>SUM('Shore Tk:Shore Tk (2)'!L199)</f>
        <v>#NAME?</v>
      </c>
      <c r="T67" t="e">
        <f t="shared" si="9"/>
        <v>#NAME?</v>
      </c>
    </row>
    <row r="68" hidden="1" spans="2:20">
      <c r="B68" s="19" t="s">
        <v>317</v>
      </c>
      <c r="C68" s="19" t="s">
        <v>318</v>
      </c>
      <c r="D68" s="2" t="str">
        <f t="shared" si="7"/>
        <v>m³@20℃/m³@15℃ [1/VCF(20℃)]</v>
      </c>
      <c r="E68" s="28" t="s">
        <v>319</v>
      </c>
      <c r="F68" s="52" t="s">
        <v>320</v>
      </c>
      <c r="G68" s="2" t="str">
        <f t="shared" si="3"/>
        <v>m³ (20℃)</v>
      </c>
      <c r="H68" t="str">
        <f t="shared" si="8"/>
        <v>US Gallon (60℉)</v>
      </c>
      <c r="I68" s="39" t="str">
        <f>Ullage!N139</f>
        <v/>
      </c>
      <c r="J68" s="39" t="e">
        <f>ROUND(I68/VEF,2)</f>
        <v>#VALUE!</v>
      </c>
      <c r="K68" s="39">
        <f>ROUND(K67*42,2)</f>
        <v>11670951.18</v>
      </c>
      <c r="L68" s="39">
        <f>ROUND(K68/VEF,2)</f>
        <v>11687313.42</v>
      </c>
      <c r="M68" s="39" t="str">
        <f>Ullage!N139</f>
        <v/>
      </c>
      <c r="N68" s="39" t="e">
        <f>ROUND(M68/VEF,2)</f>
        <v>#VALUE!</v>
      </c>
      <c r="O68" s="39">
        <f>ROUND(O67*42,2)</f>
        <v>12655550.04</v>
      </c>
      <c r="P68" s="39">
        <f>ROUND(O68/VEF,2)</f>
        <v>12673292.65</v>
      </c>
      <c r="Q68" s="28"/>
      <c r="R68" s="29"/>
      <c r="S68">
        <f>SUM('Shore Tk:Shore Tk (2)'!L200)</f>
        <v>0</v>
      </c>
      <c r="T68">
        <f t="shared" si="9"/>
        <v>0</v>
      </c>
    </row>
    <row r="69" hidden="1" spans="2:20">
      <c r="B69" s="17" t="s">
        <v>321</v>
      </c>
      <c r="C69" s="17" t="s">
        <v>322</v>
      </c>
      <c r="D69" s="2" t="str">
        <f t="shared" si="7"/>
        <v>m³@20℃/bbls@60℉ [T-4] x VCF(59℉)/VCF(68℉)</v>
      </c>
      <c r="E69" s="28" t="s">
        <v>323</v>
      </c>
      <c r="F69" s="52" t="s">
        <v>324</v>
      </c>
      <c r="G69" s="2" t="str">
        <f t="shared" si="3"/>
        <v>MT (air)</v>
      </c>
      <c r="H69" t="str">
        <f t="shared" si="8"/>
        <v>Cubic Meters (15℃)</v>
      </c>
      <c r="I69" s="39" t="str">
        <f>Ullage!N140</f>
        <v/>
      </c>
      <c r="J69" s="39" t="e">
        <f t="shared" ref="J69:J75" si="10">ROUND(I69/VEF,3)</f>
        <v>#VALUE!</v>
      </c>
      <c r="K69" s="39">
        <f>ToCbm15C(vcfTab,WCF_Standard,Cargo_type,K62,Ullage!$N$133,Ullage!$U$106)</f>
        <v>44161.018</v>
      </c>
      <c r="L69" s="39">
        <f t="shared" ref="L69:L75" si="11">ROUND(K69/VEF,3)</f>
        <v>44222.93</v>
      </c>
      <c r="M69" s="39" t="str">
        <f>Ullage!N140</f>
        <v/>
      </c>
      <c r="N69" s="39" t="e">
        <f t="shared" ref="N69:N75" si="12">ROUND(M69/VEF,3)</f>
        <v>#VALUE!</v>
      </c>
      <c r="O69" s="39">
        <f>ToCbm15C(vcfTab,WCF_Standard,Cargo_type,O62,Ullage!$N$133,Ullage!$U$106)</f>
        <v>47886.582</v>
      </c>
      <c r="P69" s="39">
        <f t="shared" ref="P69:P75" si="13">ROUND(O69/VEF,3)</f>
        <v>47953.717</v>
      </c>
      <c r="Q69" s="28"/>
      <c r="R69" s="29"/>
      <c r="S69">
        <f>SUM('Shore Tk:Shore Tk (2)'!L201)</f>
        <v>0</v>
      </c>
      <c r="T69">
        <f t="shared" si="9"/>
        <v>0</v>
      </c>
    </row>
    <row r="70" hidden="1" spans="2:20">
      <c r="B70" s="17" t="s">
        <v>325</v>
      </c>
      <c r="C70" s="17" t="s">
        <v>326</v>
      </c>
      <c r="D70" s="2" t="str">
        <f t="shared" si="7"/>
        <v>m³@20℃/bbls@60℉</v>
      </c>
      <c r="E70" s="28" t="s">
        <v>327</v>
      </c>
      <c r="F70" s="52" t="s">
        <v>328</v>
      </c>
      <c r="G70" s="2" t="str">
        <f t="shared" si="3"/>
        <v>LT (air)</v>
      </c>
      <c r="H70" t="str">
        <f t="shared" si="8"/>
        <v>Cubic Meters (20℃)</v>
      </c>
      <c r="I70" s="39">
        <f>Ullage!N141</f>
        <v>48120.731</v>
      </c>
      <c r="J70" s="39">
        <f t="shared" si="10"/>
        <v>48188.194</v>
      </c>
      <c r="K70" s="39">
        <f>ToCbm20C(vcfTab,WCF_Standard,Cargo_type,K62,Ullage!$N$133,Ullage!$U$106)</f>
        <v>44355.74</v>
      </c>
      <c r="L70" s="39">
        <f t="shared" si="11"/>
        <v>44417.925</v>
      </c>
      <c r="M70" s="39">
        <f>Ullage!N141</f>
        <v>48120.731</v>
      </c>
      <c r="N70" s="39">
        <f t="shared" si="12"/>
        <v>48188.194</v>
      </c>
      <c r="O70" s="39">
        <f>ToCbm20C(vcfTab,WCF_Standard,Cargo_type,O62,Ullage!$N$133,Ullage!$U$106)</f>
        <v>48097.731</v>
      </c>
      <c r="P70" s="39">
        <f t="shared" si="13"/>
        <v>48165.162</v>
      </c>
      <c r="Q70" s="28"/>
      <c r="R70" s="29"/>
      <c r="S70" t="e">
        <f>SUM('Shore Tk:Shore Tk (2)'!L202)</f>
        <v>#NAME?</v>
      </c>
      <c r="T70" t="e">
        <f t="shared" si="9"/>
        <v>#NAME?</v>
      </c>
    </row>
    <row r="71" hidden="1" spans="2:20">
      <c r="B71" s="17" t="s">
        <v>329</v>
      </c>
      <c r="C71" s="17" t="s">
        <v>330</v>
      </c>
      <c r="D71" s="2" t="str">
        <f t="shared" si="7"/>
        <v>m³@20℃/bbls@60℉ [T-22] x VCF(59℉)/VCF(68℉)</v>
      </c>
      <c r="E71" s="69" t="s">
        <v>409</v>
      </c>
      <c r="F71" s="52" t="s">
        <v>377</v>
      </c>
      <c r="G71" s="2" t="str">
        <f t="shared" si="3"/>
        <v>Gross Quantity</v>
      </c>
      <c r="H71" t="str">
        <f t="shared" si="8"/>
        <v>Cubic Meters (30℃)</v>
      </c>
      <c r="I71" s="39" t="str">
        <f>Ullage!N142</f>
        <v/>
      </c>
      <c r="J71" s="39" t="e">
        <f t="shared" si="10"/>
        <v>#VALUE!</v>
      </c>
      <c r="K71" s="39">
        <f>ToCbm30C(vcfTab,WCF_Standard,Cargo_type,K62,Ullage!$N$133,Ullage!$U$106)</f>
        <v>44752.28</v>
      </c>
      <c r="L71" s="39">
        <f t="shared" si="11"/>
        <v>44815.021</v>
      </c>
      <c r="M71" s="39" t="str">
        <f>Ullage!N142</f>
        <v/>
      </c>
      <c r="N71" s="39" t="e">
        <f t="shared" si="12"/>
        <v>#VALUE!</v>
      </c>
      <c r="O71" s="39">
        <f>ToCbm30C(vcfTab,WCF_Standard,Cargo_type,O62,Ullage!$N$133,Ullage!$U$106)</f>
        <v>48527.725</v>
      </c>
      <c r="P71" s="39">
        <f t="shared" si="13"/>
        <v>48595.759</v>
      </c>
      <c r="Q71" s="28"/>
      <c r="R71" s="29"/>
      <c r="S71">
        <f>SUM('Shore Tk:Shore Tk (2)'!L203)</f>
        <v>0</v>
      </c>
      <c r="T71">
        <f t="shared" si="9"/>
        <v>0</v>
      </c>
    </row>
    <row r="72" hidden="1" spans="2:20">
      <c r="B72" s="17" t="s">
        <v>325</v>
      </c>
      <c r="C72" s="17" t="s">
        <v>333</v>
      </c>
      <c r="D72" s="2" t="str">
        <f t="shared" si="7"/>
        <v>m³@20℃/bbls@60℉</v>
      </c>
      <c r="E72" s="69" t="s">
        <v>410</v>
      </c>
      <c r="F72" s="52" t="s">
        <v>378</v>
      </c>
      <c r="G72" s="2" t="str">
        <f t="shared" si="3"/>
        <v>Net Quantity</v>
      </c>
      <c r="H72" t="str">
        <f t="shared" si="8"/>
        <v>Metric Tons (in vacuo)</v>
      </c>
      <c r="I72" s="39" t="str">
        <f>Ullage!N143</f>
        <v/>
      </c>
      <c r="J72" s="39" t="e">
        <f t="shared" si="10"/>
        <v>#VALUE!</v>
      </c>
      <c r="K72" s="39">
        <f>ToMTvacuo(vcfTab,WCF_Standard,K62,Ullage!$N$133)</f>
        <v>36353.965</v>
      </c>
      <c r="L72" s="39">
        <f t="shared" si="11"/>
        <v>36404.932</v>
      </c>
      <c r="M72" s="39" t="str">
        <f>Ullage!N143</f>
        <v/>
      </c>
      <c r="N72" s="39" t="e">
        <f t="shared" si="12"/>
        <v>#VALUE!</v>
      </c>
      <c r="O72" s="39">
        <f>ToMTvacuo(vcfTab,WCF_Standard,O62,Ullage!$N$133)</f>
        <v>39420.9</v>
      </c>
      <c r="P72" s="39">
        <f t="shared" si="13"/>
        <v>39476.167</v>
      </c>
      <c r="Q72" s="39"/>
      <c r="R72" s="29"/>
      <c r="S72">
        <f>SUM('Shore Tk:Shore Tk (2)'!L204)</f>
        <v>0</v>
      </c>
      <c r="T72">
        <f t="shared" si="9"/>
        <v>0</v>
      </c>
    </row>
    <row r="73" hidden="1" spans="2:20">
      <c r="B73" s="19" t="s">
        <v>336</v>
      </c>
      <c r="C73" s="21" t="s">
        <v>337</v>
      </c>
      <c r="D73" s="2" t="str">
        <f t="shared" si="7"/>
        <v>m³@30℃/m³@15℃ [1/VCF(30℃)]</v>
      </c>
      <c r="E73" s="70" t="s">
        <v>338</v>
      </c>
      <c r="F73" s="52" t="s">
        <v>339</v>
      </c>
      <c r="G73" s="2" t="str">
        <f t="shared" si="3"/>
        <v>VCF table used at discharge port</v>
      </c>
      <c r="H73" t="str">
        <f t="shared" si="8"/>
        <v>Metric Tons (in air)</v>
      </c>
      <c r="I73" s="39">
        <f>Ullage!N144</f>
        <v>39386.818</v>
      </c>
      <c r="J73" s="39">
        <f t="shared" si="10"/>
        <v>39442.037</v>
      </c>
      <c r="K73" s="39">
        <f>ToMTair(vcfTab,WCF_Standard,K62,Ullage!$N$133)</f>
        <v>36305.173</v>
      </c>
      <c r="L73" s="39">
        <f t="shared" si="11"/>
        <v>36356.072</v>
      </c>
      <c r="M73" s="39">
        <f>Ullage!N144</f>
        <v>39386.818</v>
      </c>
      <c r="N73" s="39">
        <f t="shared" si="12"/>
        <v>39442.037</v>
      </c>
      <c r="O73" s="39">
        <f>ToMTair(vcfTab,WCF_Standard,O62,Ullage!$N$133)</f>
        <v>39367.993</v>
      </c>
      <c r="P73" s="39">
        <f t="shared" si="13"/>
        <v>39423.185</v>
      </c>
      <c r="Q73" s="39"/>
      <c r="R73" s="29"/>
      <c r="S73" t="e">
        <f>SUM('Shore Tk:Shore Tk (2)'!L205)</f>
        <v>#NAME?</v>
      </c>
      <c r="T73" t="e">
        <f t="shared" si="9"/>
        <v>#NAME?</v>
      </c>
    </row>
    <row r="74" hidden="1" spans="2:20">
      <c r="B74" s="19" t="s">
        <v>340</v>
      </c>
      <c r="C74" s="21" t="s">
        <v>341</v>
      </c>
      <c r="D74" s="2" t="str">
        <f t="shared" si="7"/>
        <v>m³@30℃/m³@20℃ [1/VCF(30℃)]</v>
      </c>
      <c r="E74" t="s">
        <v>342</v>
      </c>
      <c r="F74" s="52" t="s">
        <v>343</v>
      </c>
      <c r="G74" s="2" t="str">
        <f t="shared" si="3"/>
        <v>VEF</v>
      </c>
      <c r="H74" t="str">
        <f t="shared" si="8"/>
        <v>Long Tons (in vacuo)</v>
      </c>
      <c r="I74" s="39" t="str">
        <f>Ullage!N145</f>
        <v/>
      </c>
      <c r="J74" s="39" t="e">
        <f t="shared" si="10"/>
        <v>#VALUE!</v>
      </c>
      <c r="K74" s="39">
        <f>ToLTvacuo(vcfTab,WCF_Standard,K62,Ullage!$N$133)</f>
        <v>35779.79</v>
      </c>
      <c r="L74" s="39">
        <f t="shared" si="11"/>
        <v>35829.952</v>
      </c>
      <c r="M74" s="39" t="str">
        <f>Ullage!N145</f>
        <v/>
      </c>
      <c r="N74" s="39" t="e">
        <f t="shared" si="12"/>
        <v>#VALUE!</v>
      </c>
      <c r="O74" s="39">
        <f>ToLTvacuo(vcfTab,WCF_Standard,O62,Ullage!$N$133)</f>
        <v>38798.287</v>
      </c>
      <c r="P74" s="39">
        <f t="shared" si="13"/>
        <v>38852.681</v>
      </c>
      <c r="Q74" s="39"/>
      <c r="S74">
        <f>SUM('Shore Tk:Shore Tk (2)'!L206)</f>
        <v>0</v>
      </c>
      <c r="T74">
        <f t="shared" si="9"/>
        <v>0</v>
      </c>
    </row>
    <row r="75" hidden="1" spans="2:20">
      <c r="B75" s="17" t="s">
        <v>344</v>
      </c>
      <c r="C75" s="17" t="s">
        <v>345</v>
      </c>
      <c r="D75" s="2" t="str">
        <f t="shared" si="7"/>
        <v>m³@30℃/bbls@60℉ [T-4] x VCF(59℉)/VCF(86℉)</v>
      </c>
      <c r="E75" t="s">
        <v>411</v>
      </c>
      <c r="F75" t="s">
        <v>412</v>
      </c>
      <c r="G75" s="2" t="str">
        <f t="shared" si="3"/>
        <v>US Barrels (Obsd. Temp.)</v>
      </c>
      <c r="H75" t="str">
        <f t="shared" si="8"/>
        <v>Long Tons (in air)</v>
      </c>
      <c r="I75" s="39">
        <f>Ullage!N146</f>
        <v>38764.743</v>
      </c>
      <c r="J75" s="39">
        <f t="shared" si="10"/>
        <v>38819.09</v>
      </c>
      <c r="K75" s="39">
        <f>ToLTair(vcfTab,WCF_Standard,K62,Ullage!$N$133)</f>
        <v>35731.769</v>
      </c>
      <c r="L75" s="39">
        <f t="shared" si="11"/>
        <v>35781.864</v>
      </c>
      <c r="M75" s="39">
        <f>Ullage!N146</f>
        <v>38764.743</v>
      </c>
      <c r="N75" s="39">
        <f t="shared" si="12"/>
        <v>38819.09</v>
      </c>
      <c r="O75" s="39">
        <f>ToLTair(vcfTab,WCF_Standard,O62,Ullage!$N$133)</f>
        <v>38746.215</v>
      </c>
      <c r="P75" s="39">
        <f t="shared" si="13"/>
        <v>38800.536</v>
      </c>
      <c r="Q75" s="28"/>
      <c r="R75" s="29"/>
      <c r="S75" t="e">
        <f>SUM('Shore Tk:Shore Tk (2)'!L207)</f>
        <v>#NAME?</v>
      </c>
      <c r="T75" t="e">
        <f t="shared" si="9"/>
        <v>#NAME?</v>
      </c>
    </row>
    <row r="76" hidden="1" spans="2:20">
      <c r="B76" s="17" t="s">
        <v>348</v>
      </c>
      <c r="C76" s="17" t="s">
        <v>349</v>
      </c>
      <c r="D76" s="2" t="str">
        <f t="shared" si="7"/>
        <v>m³@30℃/bbls@60℉</v>
      </c>
      <c r="E76" t="s">
        <v>381</v>
      </c>
      <c r="F76" t="s">
        <v>382</v>
      </c>
      <c r="G76" s="2" t="str">
        <f t="shared" si="3"/>
        <v>Cubic Meters (Obsd. Temp.)</v>
      </c>
      <c r="H76" t="str">
        <f>H65</f>
        <v>US Barrels (Obsd. Temp.)</v>
      </c>
      <c r="I76" s="39" t="str">
        <f>Ullage!P136</f>
        <v/>
      </c>
      <c r="J76" s="39" t="e">
        <f>ROUND(I76/VEF,2)</f>
        <v>#VALUE!</v>
      </c>
      <c r="K76" s="39" t="e">
        <f>ROUND(K65*(1-Ullage!$N$134%),2)</f>
        <v>#VALUE!</v>
      </c>
      <c r="L76" s="39" t="e">
        <f>ROUND(K76/VEF,2)</f>
        <v>#VALUE!</v>
      </c>
      <c r="M76" s="39" t="str">
        <f>Ullage!P136</f>
        <v/>
      </c>
      <c r="N76" s="39" t="e">
        <f>ROUND(M76/VEF,2)</f>
        <v>#VALUE!</v>
      </c>
      <c r="O76" s="39" t="e">
        <f>ROUND(O65*(1-Ullage!$N$134%),2)</f>
        <v>#VALUE!</v>
      </c>
      <c r="P76" s="39" t="e">
        <f>ROUND(O76/VEF,2)</f>
        <v>#VALUE!</v>
      </c>
      <c r="Q76" s="28"/>
      <c r="R76" s="29"/>
      <c r="S76">
        <f>SUM('Shore Tk:Shore Tk (2)'!M197)</f>
        <v>0</v>
      </c>
      <c r="T76">
        <f t="shared" si="9"/>
        <v>0</v>
      </c>
    </row>
    <row r="77" ht="15" hidden="1" customHeight="1" spans="2:20">
      <c r="B77" s="17" t="s">
        <v>350</v>
      </c>
      <c r="C77" s="17" t="s">
        <v>351</v>
      </c>
      <c r="D77" s="2" t="str">
        <f t="shared" si="7"/>
        <v>m³@30℃/bbls@60℉ [T-22] x VCF(59℉)/VCF(86℉)</v>
      </c>
      <c r="E77" t="s">
        <v>413</v>
      </c>
      <c r="F77" t="s">
        <v>414</v>
      </c>
      <c r="G77" s="2" t="str">
        <f t="shared" si="3"/>
        <v>US Barrels (60℉)</v>
      </c>
      <c r="H77" t="str">
        <f t="shared" ref="H77:H86" si="14">H66</f>
        <v>Cubic Meters (Obsd. Temp.)</v>
      </c>
      <c r="I77" s="39" t="str">
        <f>Ullage!P137</f>
        <v/>
      </c>
      <c r="J77" s="39" t="e">
        <f>ROUND(I77/VEF,3)</f>
        <v>#VALUE!</v>
      </c>
      <c r="K77" s="39" t="e">
        <f>ROUND(K66*(1-Ullage!$N$134%),3)</f>
        <v>#VALUE!</v>
      </c>
      <c r="L77" s="39" t="e">
        <f>ROUND(K77/VEF,3)</f>
        <v>#VALUE!</v>
      </c>
      <c r="M77" s="39" t="str">
        <f>Ullage!P137</f>
        <v/>
      </c>
      <c r="N77" s="39" t="e">
        <f>ROUND(M77/VEF,3)</f>
        <v>#VALUE!</v>
      </c>
      <c r="O77" s="39" t="e">
        <f>ROUND(O66*(1-Ullage!$N$134%),3)</f>
        <v>#VALUE!</v>
      </c>
      <c r="P77" s="39" t="e">
        <f>ROUND(O77/VEF,3)</f>
        <v>#VALUE!</v>
      </c>
      <c r="Q77" s="39"/>
      <c r="S77">
        <f>SUM('Shore Tk:Shore Tk (2)'!M198)</f>
        <v>0</v>
      </c>
      <c r="T77">
        <f t="shared" si="9"/>
        <v>0</v>
      </c>
    </row>
    <row r="78" hidden="1" spans="2:20">
      <c r="B78" s="17" t="s">
        <v>348</v>
      </c>
      <c r="C78" s="17" t="s">
        <v>352</v>
      </c>
      <c r="D78" s="2" t="str">
        <f t="shared" si="7"/>
        <v>m³@30℃/bbls@60℉</v>
      </c>
      <c r="E78" t="s">
        <v>415</v>
      </c>
      <c r="F78" t="s">
        <v>416</v>
      </c>
      <c r="G78" s="2" t="str">
        <f t="shared" si="3"/>
        <v>US Gallon (60℉)</v>
      </c>
      <c r="H78" t="str">
        <f t="shared" si="14"/>
        <v>US Barrels (60℉)</v>
      </c>
      <c r="I78" s="39">
        <f>Ullage!P138</f>
        <v>300492.96</v>
      </c>
      <c r="J78" s="39">
        <f>ROUND(I78/VEF,2)</f>
        <v>300914.24</v>
      </c>
      <c r="K78" s="39">
        <f>ROUND(K67*(1-Ullage!$N$134%),2)</f>
        <v>276982.24</v>
      </c>
      <c r="L78" s="39">
        <f>ROUND(K78/VEF,2)</f>
        <v>277370.56</v>
      </c>
      <c r="M78" s="39">
        <f>Ullage!P138</f>
        <v>300492.96</v>
      </c>
      <c r="N78" s="39">
        <f>ROUND(M78/VEF,2)</f>
        <v>300914.24</v>
      </c>
      <c r="O78" s="39">
        <f>ROUND(O67*(1-Ullage!$N$134%),2)</f>
        <v>300349.35</v>
      </c>
      <c r="P78" s="39">
        <f>ROUND(O78/VEF,2)</f>
        <v>300770.43</v>
      </c>
      <c r="Q78" s="39"/>
      <c r="S78">
        <f>SUM('Shore Tk:Shore Tk (2)'!M199)</f>
        <v>0</v>
      </c>
      <c r="T78">
        <f t="shared" si="9"/>
        <v>0</v>
      </c>
    </row>
    <row r="79" hidden="1" spans="2:20">
      <c r="B79" s="5" t="s">
        <v>353</v>
      </c>
      <c r="C79" s="32" t="s">
        <v>354</v>
      </c>
      <c r="D79" s="2" t="str">
        <f t="shared" si="7"/>
        <v>US Gallon/US Barrels [T-1]</v>
      </c>
      <c r="E79" t="s">
        <v>385</v>
      </c>
      <c r="F79" t="s">
        <v>386</v>
      </c>
      <c r="G79" s="2" t="str">
        <f t="shared" si="3"/>
        <v>Cubic Meters (15℃)</v>
      </c>
      <c r="H79" t="str">
        <f t="shared" si="14"/>
        <v>US Gallon (60℉)</v>
      </c>
      <c r="I79" s="39" t="str">
        <f>Ullage!P139</f>
        <v/>
      </c>
      <c r="J79" s="39" t="e">
        <f>ROUND(I79/VEF,2)</f>
        <v>#VALUE!</v>
      </c>
      <c r="K79" s="39">
        <f>ROUND(K68*(1-Ullage!$N$134%),2)</f>
        <v>11633254.01</v>
      </c>
      <c r="L79" s="39">
        <f>ROUND(K79/VEF,2)</f>
        <v>11649563.4</v>
      </c>
      <c r="M79" s="39" t="str">
        <f>Ullage!P139</f>
        <v/>
      </c>
      <c r="N79" s="39" t="e">
        <f>ROUND(M79/VEF,2)</f>
        <v>#VALUE!</v>
      </c>
      <c r="O79" s="39">
        <f>ROUND(O68*(1-Ullage!$N$134%),2)</f>
        <v>12614672.61</v>
      </c>
      <c r="P79" s="39">
        <f>ROUND(O79/VEF,2)</f>
        <v>12632357.91</v>
      </c>
      <c r="Q79" s="39"/>
      <c r="S79">
        <f>SUM('Shore Tk:Shore Tk (2)'!M200)</f>
        <v>0</v>
      </c>
      <c r="T79">
        <f t="shared" si="9"/>
        <v>0</v>
      </c>
    </row>
    <row r="80" hidden="1" spans="2:20">
      <c r="B80" s="33" t="s">
        <v>355</v>
      </c>
      <c r="C80" s="33" t="s">
        <v>356</v>
      </c>
      <c r="D80" s="2" t="str">
        <f t="shared" si="7"/>
        <v>Master/Chief Officer</v>
      </c>
      <c r="E80" t="s">
        <v>389</v>
      </c>
      <c r="F80" t="s">
        <v>390</v>
      </c>
      <c r="G80" s="2" t="str">
        <f t="shared" si="3"/>
        <v>Cubic Meters (20℃)</v>
      </c>
      <c r="H80" t="str">
        <f t="shared" si="14"/>
        <v>Cubic Meters (15℃)</v>
      </c>
      <c r="I80" s="39" t="str">
        <f>Ullage!P140</f>
        <v/>
      </c>
      <c r="J80" s="39" t="e">
        <f t="shared" ref="J80:J86" si="15">ROUND(I80/VEF,3)</f>
        <v>#VALUE!</v>
      </c>
      <c r="K80" s="39">
        <f>ROUND(K69*(1-Ullage!$N$134%),3)</f>
        <v>44018.378</v>
      </c>
      <c r="L80" s="39">
        <f t="shared" ref="L80:L86" si="16">ROUND(K80/VEF,3)</f>
        <v>44080.09</v>
      </c>
      <c r="M80" s="39" t="str">
        <f>Ullage!P140</f>
        <v/>
      </c>
      <c r="N80" s="39" t="e">
        <f t="shared" ref="N80:N86" si="17">ROUND(M80/VEF,3)</f>
        <v>#VALUE!</v>
      </c>
      <c r="O80" s="39">
        <f>ROUND(O69*(1-Ullage!$N$134%),3)</f>
        <v>47731.908</v>
      </c>
      <c r="P80" s="39">
        <f t="shared" ref="P80:P86" si="18">ROUND(O80/VEF,3)</f>
        <v>47798.826</v>
      </c>
      <c r="Q80" s="39"/>
      <c r="S80">
        <f>SUM('Shore Tk:Shore Tk (2)'!M201)</f>
        <v>0</v>
      </c>
      <c r="T80">
        <f t="shared" si="9"/>
        <v>0</v>
      </c>
    </row>
    <row r="81" hidden="1" spans="2:20">
      <c r="B81" s="34" t="s">
        <v>357</v>
      </c>
      <c r="C81" s="34" t="s">
        <v>358</v>
      </c>
      <c r="D81" s="2" t="str">
        <f t="shared" si="7"/>
        <v>CCIC Surveyor</v>
      </c>
      <c r="E81" t="s">
        <v>393</v>
      </c>
      <c r="F81" t="s">
        <v>394</v>
      </c>
      <c r="G81" s="2" t="str">
        <f t="shared" si="3"/>
        <v>Cubic Meters (30℃)</v>
      </c>
      <c r="H81" t="str">
        <f t="shared" si="14"/>
        <v>Cubic Meters (20℃)</v>
      </c>
      <c r="I81" s="39">
        <f>Ullage!P141</f>
        <v>47965.301</v>
      </c>
      <c r="J81" s="39">
        <f t="shared" si="15"/>
        <v>48032.547</v>
      </c>
      <c r="K81" s="39">
        <f>ROUND(K70*(1-Ullage!$N$134%),3)</f>
        <v>44212.471</v>
      </c>
      <c r="L81" s="39">
        <f t="shared" si="16"/>
        <v>44274.455</v>
      </c>
      <c r="M81" s="39">
        <f>Ullage!P141</f>
        <v>47965.301</v>
      </c>
      <c r="N81" s="39">
        <f t="shared" si="17"/>
        <v>48032.547</v>
      </c>
      <c r="O81" s="39">
        <f>ROUND(O70*(1-Ullage!$N$134%),3)</f>
        <v>47942.375</v>
      </c>
      <c r="P81" s="39">
        <f t="shared" si="18"/>
        <v>48009.588</v>
      </c>
      <c r="Q81" s="39"/>
      <c r="S81">
        <f>SUM('Shore Tk:Shore Tk (2)'!M202)</f>
        <v>0</v>
      </c>
      <c r="T81">
        <f t="shared" si="9"/>
        <v>0</v>
      </c>
    </row>
    <row r="82" hidden="1" spans="2:20">
      <c r="B82" s="33" t="s">
        <v>359</v>
      </c>
      <c r="C82" s="33" t="s">
        <v>360</v>
      </c>
      <c r="D82" s="2" t="str">
        <f t="shared" si="7"/>
        <v>Name</v>
      </c>
      <c r="E82" t="s">
        <v>417</v>
      </c>
      <c r="F82" t="s">
        <v>418</v>
      </c>
      <c r="G82" s="2" t="str">
        <f t="shared" si="3"/>
        <v>Metric Tons (in vacuo)</v>
      </c>
      <c r="H82" t="str">
        <f t="shared" si="14"/>
        <v>Cubic Meters (30℃)</v>
      </c>
      <c r="I82" s="39" t="str">
        <f>Ullage!P142</f>
        <v/>
      </c>
      <c r="J82" s="39" t="e">
        <f t="shared" si="15"/>
        <v>#VALUE!</v>
      </c>
      <c r="K82" s="39">
        <f>ROUND(K71*(1-Ullage!$N$134%),3)</f>
        <v>44607.73</v>
      </c>
      <c r="L82" s="39">
        <f t="shared" si="16"/>
        <v>44670.268</v>
      </c>
      <c r="M82" s="39" t="str">
        <f>Ullage!P142</f>
        <v/>
      </c>
      <c r="N82" s="39" t="e">
        <f t="shared" si="17"/>
        <v>#VALUE!</v>
      </c>
      <c r="O82" s="39">
        <f>ROUND(O71*(1-Ullage!$N$134%),3)</f>
        <v>48370.98</v>
      </c>
      <c r="P82" s="39">
        <f t="shared" si="18"/>
        <v>48438.794</v>
      </c>
      <c r="Q82" s="39"/>
      <c r="S82">
        <f>SUM('Shore Tk:Shore Tk (2)'!M203)</f>
        <v>0</v>
      </c>
      <c r="T82">
        <f t="shared" si="9"/>
        <v>0</v>
      </c>
    </row>
    <row r="83" hidden="1" spans="2:20">
      <c r="B83" s="34" t="s">
        <v>361</v>
      </c>
      <c r="C83" s="34" t="s">
        <v>362</v>
      </c>
      <c r="D83" s="2" t="str">
        <f t="shared" si="7"/>
        <v>Signature</v>
      </c>
      <c r="E83" t="s">
        <v>419</v>
      </c>
      <c r="F83" t="s">
        <v>420</v>
      </c>
      <c r="G83" s="2" t="str">
        <f t="shared" si="3"/>
        <v>Metric Tons (in air)</v>
      </c>
      <c r="H83" t="str">
        <f t="shared" si="14"/>
        <v>Metric Tons (in vacuo)</v>
      </c>
      <c r="I83" s="39" t="str">
        <f>Ullage!P143</f>
        <v/>
      </c>
      <c r="J83" s="39" t="e">
        <f t="shared" si="15"/>
        <v>#VALUE!</v>
      </c>
      <c r="K83" s="39">
        <f>ROUND(K72*(1-Ullage!$N$134%),3)</f>
        <v>36236.542</v>
      </c>
      <c r="L83" s="39">
        <f t="shared" si="16"/>
        <v>36287.344</v>
      </c>
      <c r="M83" s="39" t="str">
        <f>Ullage!P143</f>
        <v/>
      </c>
      <c r="N83" s="39" t="e">
        <f t="shared" si="17"/>
        <v>#VALUE!</v>
      </c>
      <c r="O83" s="39">
        <f>ROUND(O72*(1-Ullage!$N$134%),3)</f>
        <v>39293.57</v>
      </c>
      <c r="P83" s="39">
        <f t="shared" si="18"/>
        <v>39348.658</v>
      </c>
      <c r="Q83" s="39"/>
      <c r="S83">
        <f>SUM('Shore Tk:Shore Tk (2)'!M204)</f>
        <v>0</v>
      </c>
      <c r="T83">
        <f t="shared" si="9"/>
        <v>0</v>
      </c>
    </row>
    <row r="84" hidden="1" spans="2:20">
      <c r="B84" s="33" t="s">
        <v>363</v>
      </c>
      <c r="C84" s="33" t="s">
        <v>364</v>
      </c>
      <c r="D84" s="2" t="str">
        <f t="shared" si="7"/>
        <v>Authorized Signature (S)</v>
      </c>
      <c r="E84" t="s">
        <v>421</v>
      </c>
      <c r="F84" t="s">
        <v>422</v>
      </c>
      <c r="G84" s="2" t="str">
        <f t="shared" si="3"/>
        <v>Long Tons (in vacuo)</v>
      </c>
      <c r="H84" t="str">
        <f t="shared" si="14"/>
        <v>Metric Tons (in air)</v>
      </c>
      <c r="I84" s="39">
        <f>Ullage!P144</f>
        <v>39259.599</v>
      </c>
      <c r="J84" s="39">
        <f t="shared" si="15"/>
        <v>39314.639</v>
      </c>
      <c r="K84" s="39">
        <f>ROUND(K73*(1-Ullage!$N$134%),3)</f>
        <v>36187.907</v>
      </c>
      <c r="L84" s="39">
        <f t="shared" si="16"/>
        <v>36238.641</v>
      </c>
      <c r="M84" s="39">
        <f>Ullage!P144</f>
        <v>39259.599</v>
      </c>
      <c r="N84" s="39">
        <f t="shared" si="17"/>
        <v>39314.639</v>
      </c>
      <c r="O84" s="39">
        <f>ROUND(O73*(1-Ullage!$N$134%),3)</f>
        <v>39240.834</v>
      </c>
      <c r="P84" s="39">
        <f t="shared" si="18"/>
        <v>39295.848</v>
      </c>
      <c r="Q84" s="39"/>
      <c r="S84">
        <f>SUM('Shore Tk:Shore Tk (2)'!M205)</f>
        <v>0</v>
      </c>
      <c r="T84">
        <f t="shared" si="9"/>
        <v>0</v>
      </c>
    </row>
    <row r="85" hidden="1" spans="2:20">
      <c r="B85" s="34" t="s">
        <v>74</v>
      </c>
      <c r="C85" s="34" t="s">
        <v>75</v>
      </c>
      <c r="D85" s="2" t="str">
        <f t="shared" si="7"/>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E85" t="s">
        <v>423</v>
      </c>
      <c r="F85" t="s">
        <v>424</v>
      </c>
      <c r="G85" s="2" t="str">
        <f t="shared" si="3"/>
        <v>Long Tons (in air)</v>
      </c>
      <c r="H85" t="str">
        <f t="shared" si="14"/>
        <v>Long Tons (in vacuo)</v>
      </c>
      <c r="I85" s="39" t="str">
        <f>Ullage!P145</f>
        <v/>
      </c>
      <c r="J85" s="39" t="e">
        <f t="shared" si="15"/>
        <v>#VALUE!</v>
      </c>
      <c r="K85" s="39">
        <f>ROUND(K74*(1-Ullage!$N$134%),3)</f>
        <v>35664.221</v>
      </c>
      <c r="L85" s="39">
        <f t="shared" si="16"/>
        <v>35714.221</v>
      </c>
      <c r="M85" s="39" t="str">
        <f>Ullage!P145</f>
        <v/>
      </c>
      <c r="N85" s="39" t="e">
        <f t="shared" si="17"/>
        <v>#VALUE!</v>
      </c>
      <c r="O85" s="39">
        <f>ROUND(O74*(1-Ullage!$N$134%),3)</f>
        <v>38672.969</v>
      </c>
      <c r="P85" s="39">
        <f t="shared" si="18"/>
        <v>38727.187</v>
      </c>
      <c r="Q85" s="39"/>
      <c r="S85">
        <f>SUM('Shore Tk:Shore Tk (2)'!M206)</f>
        <v>0</v>
      </c>
      <c r="T85">
        <f t="shared" si="9"/>
        <v>0</v>
      </c>
    </row>
    <row r="86" hidden="1" spans="1:20">
      <c r="A86" s="27"/>
      <c r="B86" s="28" t="s">
        <v>425</v>
      </c>
      <c r="C86" s="714" t="s">
        <v>426</v>
      </c>
      <c r="D86" s="2" t="str">
        <f t="shared" si="7"/>
        <v>QUANTITY REPORT</v>
      </c>
      <c r="H86" t="str">
        <f t="shared" si="14"/>
        <v>Long Tons (in air)</v>
      </c>
      <c r="I86" s="39">
        <f>Ullage!P146</f>
        <v>38639.533</v>
      </c>
      <c r="J86" s="39">
        <f t="shared" si="15"/>
        <v>38693.704</v>
      </c>
      <c r="K86" s="39">
        <f>ROUND(K75*(1-Ullage!$N$134%),3)</f>
        <v>35616.355</v>
      </c>
      <c r="L86" s="39">
        <f t="shared" si="16"/>
        <v>35666.288</v>
      </c>
      <c r="M86" s="39">
        <f>Ullage!P146</f>
        <v>38639.533</v>
      </c>
      <c r="N86" s="39">
        <f t="shared" si="17"/>
        <v>38693.704</v>
      </c>
      <c r="O86" s="39">
        <f>ROUND(O75*(1-Ullage!$N$134%),3)</f>
        <v>38621.065</v>
      </c>
      <c r="P86" s="39">
        <f t="shared" si="18"/>
        <v>38675.21</v>
      </c>
      <c r="Q86" s="39"/>
      <c r="S86">
        <f>SUM('Shore Tk:Shore Tk (2)'!M207)</f>
        <v>0</v>
      </c>
      <c r="T86">
        <f t="shared" si="9"/>
        <v>0</v>
      </c>
    </row>
    <row r="87" hidden="1" spans="1:9">
      <c r="A87" s="27"/>
      <c r="B87" s="28"/>
      <c r="C87" s="29"/>
      <c r="I87" s="39"/>
    </row>
    <row r="88" hidden="1"/>
    <row r="89" spans="2:13">
      <c r="B89" s="47"/>
      <c r="C89" s="47"/>
      <c r="D89" s="47"/>
      <c r="E89" s="47"/>
      <c r="F89" s="47"/>
      <c r="G89" s="47"/>
      <c r="H89" s="47"/>
      <c r="I89" s="47"/>
      <c r="J89" s="47"/>
      <c r="K89" s="46" t="str">
        <f>D2</f>
        <v>JOB NO.:</v>
      </c>
      <c r="L89" s="47" t="str">
        <f>单号</f>
        <v>这就是爱</v>
      </c>
      <c r="M89" s="47"/>
    </row>
    <row r="90" spans="2:13">
      <c r="B90" s="47"/>
      <c r="C90" s="47"/>
      <c r="D90" s="47"/>
      <c r="E90" s="47"/>
      <c r="F90" s="47"/>
      <c r="G90" s="47"/>
      <c r="H90" s="47"/>
      <c r="I90" s="47"/>
      <c r="J90" s="47"/>
      <c r="K90" s="46" t="str">
        <f>D3</f>
        <v>DATE OF REPORT:</v>
      </c>
      <c r="L90" s="47" t="str">
        <f>报告日期</f>
        <v>YYYY-MM-DD</v>
      </c>
      <c r="M90" s="47"/>
    </row>
    <row r="91" ht="6" customHeight="1" spans="2:13">
      <c r="B91" s="47"/>
      <c r="C91" s="47"/>
      <c r="D91" s="47"/>
      <c r="E91" s="47"/>
      <c r="F91" s="47"/>
      <c r="G91" s="47"/>
      <c r="H91" s="47"/>
      <c r="I91" s="47"/>
      <c r="J91" s="47"/>
      <c r="K91" s="47"/>
      <c r="L91" s="47"/>
      <c r="M91" s="47"/>
    </row>
    <row r="92" ht="6" customHeight="1" spans="2:13">
      <c r="B92" s="47"/>
      <c r="C92" s="47"/>
      <c r="D92" s="47"/>
      <c r="E92" s="47"/>
      <c r="F92" s="47"/>
      <c r="G92" s="47"/>
      <c r="H92" s="47"/>
      <c r="I92" s="47"/>
      <c r="J92" s="47"/>
      <c r="K92" s="47"/>
      <c r="L92" s="47"/>
      <c r="M92" s="47"/>
    </row>
    <row r="93" spans="1:13">
      <c r="A93" t="b">
        <v>0</v>
      </c>
      <c r="B93" s="118" t="str">
        <f>D86</f>
        <v>QUANTITY REPORT</v>
      </c>
      <c r="C93" s="118"/>
      <c r="D93" s="118"/>
      <c r="E93" s="118"/>
      <c r="F93" s="119"/>
      <c r="G93" s="75" t="str">
        <f t="shared" ref="G93:G99" si="19">D4</f>
        <v>APPLICANT</v>
      </c>
      <c r="H93" s="76"/>
      <c r="I93" s="88" t="str">
        <f>客户名</f>
        <v>PETROCHINA </v>
      </c>
      <c r="J93" s="89"/>
      <c r="K93" s="89"/>
      <c r="L93" s="89"/>
      <c r="M93" s="90"/>
    </row>
    <row r="94" ht="15" customHeight="1" spans="1:14">
      <c r="A94" t="b">
        <v>0</v>
      </c>
      <c r="B94" s="118"/>
      <c r="C94" s="118"/>
      <c r="D94" s="118"/>
      <c r="E94" s="118"/>
      <c r="F94" s="119"/>
      <c r="G94" s="75" t="str">
        <f t="shared" si="19"/>
        <v>CLIENT'S REF. NO.</v>
      </c>
      <c r="H94" s="76"/>
      <c r="I94" s="88" t="str">
        <f>客户编号</f>
        <v>说也说不清楚</v>
      </c>
      <c r="J94" s="89"/>
      <c r="K94" s="89"/>
      <c r="L94" s="89"/>
      <c r="M94" s="90"/>
      <c r="N94" t="s">
        <v>365</v>
      </c>
    </row>
    <row r="95" spans="2:13">
      <c r="B95" s="118"/>
      <c r="C95" s="118"/>
      <c r="D95" s="118"/>
      <c r="E95" s="118"/>
      <c r="F95" s="119"/>
      <c r="G95" s="75" t="str">
        <f t="shared" si="19"/>
        <v>COMMODITY</v>
      </c>
      <c r="H95" s="76"/>
      <c r="I95" s="88" t="str">
        <f>品名</f>
        <v>Crude Oil6658</v>
      </c>
      <c r="J95" s="89"/>
      <c r="K95" s="89"/>
      <c r="L95" s="89"/>
      <c r="M95" s="90"/>
    </row>
    <row r="96" spans="1:13">
      <c r="A96" t="b">
        <v>0</v>
      </c>
      <c r="B96" s="118"/>
      <c r="C96" s="118"/>
      <c r="D96" s="118"/>
      <c r="E96" s="118"/>
      <c r="F96" s="119"/>
      <c r="G96" s="75" t="str">
        <f t="shared" si="19"/>
        <v>VESSEL</v>
      </c>
      <c r="H96" s="76"/>
      <c r="I96" s="88" t="str">
        <f>船名</f>
        <v>MT ZhenYuanefdasdf</v>
      </c>
      <c r="J96" s="89"/>
      <c r="K96" s="89"/>
      <c r="L96" s="89"/>
      <c r="M96" s="90"/>
    </row>
    <row r="97" spans="1:13">
      <c r="A97" t="b">
        <v>0</v>
      </c>
      <c r="B97" s="118"/>
      <c r="C97" s="118"/>
      <c r="D97" s="118"/>
      <c r="E97" s="118"/>
      <c r="F97" s="119"/>
      <c r="G97" s="75" t="str">
        <f t="shared" si="19"/>
        <v>PORT</v>
      </c>
      <c r="H97" s="76"/>
      <c r="I97" s="88" t="str">
        <f>港口名</f>
        <v>Dalian, Chinafsadfa</v>
      </c>
      <c r="J97" s="89"/>
      <c r="K97" s="89"/>
      <c r="L97" s="89"/>
      <c r="M97" s="90"/>
    </row>
    <row r="98" spans="1:13">
      <c r="A98" t="b">
        <v>0</v>
      </c>
      <c r="B98" s="118"/>
      <c r="C98" s="118"/>
      <c r="D98" s="118"/>
      <c r="E98" s="118"/>
      <c r="F98" s="119"/>
      <c r="G98" s="75" t="str">
        <f t="shared" si="19"/>
        <v>TERMINAL</v>
      </c>
      <c r="H98" s="76"/>
      <c r="I98" s="88" t="str">
        <f>油库名</f>
        <v>Dalian Chinaoil, China1325415</v>
      </c>
      <c r="J98" s="89"/>
      <c r="K98" s="89"/>
      <c r="L98" s="89"/>
      <c r="M98" s="90"/>
    </row>
    <row r="99" spans="2:13">
      <c r="B99" s="118"/>
      <c r="C99" s="118"/>
      <c r="D99" s="118"/>
      <c r="E99" s="118"/>
      <c r="F99" s="119"/>
      <c r="G99" s="75" t="str">
        <f t="shared" si="19"/>
        <v>DATE OF INSPECTION</v>
      </c>
      <c r="H99" s="76"/>
      <c r="I99" s="88" t="str">
        <f>检验日期</f>
        <v>YYYY-MM-DD To YYYY-MM-DD</v>
      </c>
      <c r="J99" s="89"/>
      <c r="K99" s="89"/>
      <c r="L99" s="89"/>
      <c r="M99" s="90"/>
    </row>
    <row r="100" ht="6" customHeight="1" spans="2:25">
      <c r="B100" s="47"/>
      <c r="C100" s="47"/>
      <c r="D100" s="47"/>
      <c r="E100" s="47"/>
      <c r="F100" s="47"/>
      <c r="G100" s="47"/>
      <c r="H100" s="47"/>
      <c r="I100" s="47"/>
      <c r="J100" s="47"/>
      <c r="K100" s="47"/>
      <c r="L100" s="47"/>
      <c r="M100" s="47"/>
      <c r="V100" s="101"/>
      <c r="W100" s="101"/>
      <c r="X100" s="101"/>
      <c r="Y100" s="101"/>
    </row>
    <row r="101" spans="2:25">
      <c r="B101" s="47"/>
      <c r="C101" s="47"/>
      <c r="D101" s="47"/>
      <c r="E101" s="47"/>
      <c r="F101" s="47"/>
      <c r="G101" s="47"/>
      <c r="H101" s="715"/>
      <c r="I101" s="715"/>
      <c r="J101" s="715"/>
      <c r="K101" s="715"/>
      <c r="L101" s="47"/>
      <c r="M101" s="47"/>
      <c r="V101" s="101"/>
      <c r="W101" s="101"/>
      <c r="X101" s="101"/>
      <c r="Y101" s="101"/>
    </row>
    <row r="102" s="39" customFormat="1" ht="11.25" spans="3:25">
      <c r="C102" s="78"/>
      <c r="D102" s="47"/>
      <c r="E102" s="47"/>
      <c r="F102" s="47"/>
      <c r="G102" s="47"/>
      <c r="H102" s="77"/>
      <c r="I102" s="77"/>
      <c r="J102" s="77"/>
      <c r="K102" s="77"/>
      <c r="L102" s="47"/>
      <c r="M102" s="47"/>
      <c r="S102" s="102"/>
      <c r="V102" s="103"/>
      <c r="W102" s="103"/>
      <c r="X102" s="103"/>
      <c r="Y102" s="103"/>
    </row>
    <row r="103" ht="15.75" spans="3:25">
      <c r="C103" s="716" t="str">
        <f>P36</f>
        <v>*Vessel Tanks Quantity Upon Arrival Applied VEF</v>
      </c>
      <c r="D103" s="47"/>
      <c r="E103" s="47"/>
      <c r="F103" s="47"/>
      <c r="G103" s="47"/>
      <c r="H103" s="717"/>
      <c r="I103" s="717"/>
      <c r="J103" s="717"/>
      <c r="K103" s="717"/>
      <c r="L103" s="47"/>
      <c r="M103" s="47"/>
      <c r="V103" s="101"/>
      <c r="W103" s="101"/>
      <c r="X103" s="101"/>
      <c r="Y103" s="101"/>
    </row>
    <row r="104" ht="12.45" customHeight="1" spans="3:25">
      <c r="C104" s="80"/>
      <c r="D104" s="47"/>
      <c r="E104" s="47"/>
      <c r="F104" s="47"/>
      <c r="G104" s="47"/>
      <c r="H104" s="717"/>
      <c r="I104" s="717"/>
      <c r="J104" s="717"/>
      <c r="K104" s="717"/>
      <c r="L104" s="47"/>
      <c r="M104" s="47"/>
      <c r="V104" s="101"/>
      <c r="W104" s="101"/>
      <c r="X104" s="101"/>
      <c r="Y104" s="101"/>
    </row>
    <row r="105" ht="18" customHeight="1" spans="3:19">
      <c r="C105" s="80"/>
      <c r="D105" s="47"/>
      <c r="E105" s="47"/>
      <c r="F105" s="47"/>
      <c r="G105" s="47"/>
      <c r="H105" s="718" t="str">
        <f>IF(Cargo_type&lt;&gt;"A","",G71)</f>
        <v/>
      </c>
      <c r="I105" s="727"/>
      <c r="J105" s="718" t="str">
        <f>IF(Cargo_type&lt;&gt;"A","",G72)</f>
        <v/>
      </c>
      <c r="K105" s="717"/>
      <c r="L105" s="47"/>
      <c r="M105" s="47"/>
      <c r="S105" s="50"/>
    </row>
    <row r="106" ht="16.05" hidden="1" customHeight="1" spans="1:14">
      <c r="A106" s="719" t="str">
        <f>H65</f>
        <v>US Barrels (Obsd. Temp.)</v>
      </c>
      <c r="C106" s="80"/>
      <c r="D106" s="720" t="str">
        <f>A106</f>
        <v>US Barrels (Obsd. Temp.)</v>
      </c>
      <c r="E106" s="720"/>
      <c r="F106" s="720"/>
      <c r="G106" s="47"/>
      <c r="H106" s="721" t="e">
        <f>INDEX($I$65:$T$75,MATCH($A106,$H$65:$H$75,0),MATCH($C$103,$I$61:$T$61,0))</f>
        <v>#VALUE!</v>
      </c>
      <c r="I106" s="717"/>
      <c r="J106" s="721" t="str">
        <f t="shared" ref="J106:J116" si="20">IF(Cargo_type&lt;&gt;"A","",INDEX($I$76:$T$86,MATCH($A106,$H$76:$H$86,0),MATCH($C$103,$I$61:$T$61,0)))</f>
        <v/>
      </c>
      <c r="K106" s="717"/>
      <c r="L106" s="47"/>
      <c r="M106" s="47"/>
      <c r="N106" t="b">
        <v>0</v>
      </c>
    </row>
    <row r="107" ht="16.05" hidden="1" customHeight="1" spans="1:14">
      <c r="A107" s="719" t="str">
        <f t="shared" ref="A107:A116" si="21">H66</f>
        <v>Cubic Meters (Obsd. Temp.)</v>
      </c>
      <c r="C107" s="80"/>
      <c r="D107" s="720" t="s">
        <v>383</v>
      </c>
      <c r="E107" s="720"/>
      <c r="F107" s="720"/>
      <c r="G107" s="47"/>
      <c r="H107" s="722" t="e">
        <f t="shared" ref="H107:H116" si="22">INDEX($I$65:$T$75,MATCH($A107,$H$65:$H$75,0),MATCH($C$103,$I$61:$T$61,0))</f>
        <v>#VALUE!</v>
      </c>
      <c r="I107" s="717"/>
      <c r="J107" s="722" t="str">
        <f t="shared" si="20"/>
        <v/>
      </c>
      <c r="K107" s="717"/>
      <c r="L107" s="47"/>
      <c r="M107" s="47"/>
      <c r="N107" t="b">
        <v>0</v>
      </c>
    </row>
    <row r="108" ht="16.05" customHeight="1" spans="1:14">
      <c r="A108" s="719" t="str">
        <f t="shared" si="21"/>
        <v>US Barrels (60℉)</v>
      </c>
      <c r="C108" s="80"/>
      <c r="D108" s="720" t="str">
        <f t="shared" ref="D108:D116" si="23">A108</f>
        <v>US Barrels (60℉)</v>
      </c>
      <c r="E108" s="720"/>
      <c r="F108" s="720"/>
      <c r="G108" s="47"/>
      <c r="H108" s="721">
        <f t="shared" si="22"/>
        <v>301889.35</v>
      </c>
      <c r="I108" s="717"/>
      <c r="J108" s="721" t="str">
        <f t="shared" si="20"/>
        <v/>
      </c>
      <c r="K108" s="717"/>
      <c r="L108" s="47"/>
      <c r="M108" s="47"/>
      <c r="N108" t="b">
        <v>1</v>
      </c>
    </row>
    <row r="109" ht="16.05" hidden="1" customHeight="1" spans="1:14">
      <c r="A109" s="719" t="str">
        <f t="shared" si="21"/>
        <v>US Gallon (60℉)</v>
      </c>
      <c r="C109" s="80"/>
      <c r="D109" s="720" t="str">
        <f t="shared" si="23"/>
        <v>US Gallon (60℉)</v>
      </c>
      <c r="E109" s="720"/>
      <c r="F109" s="720"/>
      <c r="G109" s="47"/>
      <c r="H109" s="721" t="e">
        <f t="shared" si="22"/>
        <v>#VALUE!</v>
      </c>
      <c r="I109" s="717"/>
      <c r="J109" s="721" t="str">
        <f t="shared" si="20"/>
        <v/>
      </c>
      <c r="K109" s="717"/>
      <c r="L109" s="47"/>
      <c r="M109" s="47"/>
      <c r="N109" t="b">
        <v>0</v>
      </c>
    </row>
    <row r="110" ht="16.05" hidden="1" customHeight="1" spans="1:14">
      <c r="A110" s="719" t="str">
        <f t="shared" si="21"/>
        <v>Cubic Meters (15℃)</v>
      </c>
      <c r="C110" s="80"/>
      <c r="D110" s="720" t="s">
        <v>385</v>
      </c>
      <c r="E110" s="720"/>
      <c r="F110" s="720"/>
      <c r="G110" s="47"/>
      <c r="H110" s="722" t="e">
        <f t="shared" si="22"/>
        <v>#VALUE!</v>
      </c>
      <c r="I110" s="717"/>
      <c r="J110" s="722" t="str">
        <f t="shared" si="20"/>
        <v/>
      </c>
      <c r="K110" s="717"/>
      <c r="L110" s="47"/>
      <c r="M110" s="47"/>
      <c r="N110" t="b">
        <v>0</v>
      </c>
    </row>
    <row r="111" ht="16.05" customHeight="1" spans="1:14">
      <c r="A111" s="719" t="str">
        <f t="shared" si="21"/>
        <v>Cubic Meters (20℃)</v>
      </c>
      <c r="C111" s="80"/>
      <c r="D111" s="720" t="s">
        <v>389</v>
      </c>
      <c r="E111" s="720"/>
      <c r="F111" s="720"/>
      <c r="G111" s="47"/>
      <c r="H111" s="722">
        <f t="shared" si="22"/>
        <v>48188.194</v>
      </c>
      <c r="I111" s="717"/>
      <c r="J111" s="722" t="str">
        <f t="shared" si="20"/>
        <v/>
      </c>
      <c r="K111" s="717"/>
      <c r="L111" s="47"/>
      <c r="M111" s="47"/>
      <c r="N111" t="b">
        <v>1</v>
      </c>
    </row>
    <row r="112" ht="16.05" hidden="1" customHeight="1" spans="1:14">
      <c r="A112" s="719" t="str">
        <f t="shared" si="21"/>
        <v>Cubic Meters (30℃)</v>
      </c>
      <c r="C112" s="80"/>
      <c r="D112" s="720" t="s">
        <v>393</v>
      </c>
      <c r="E112" s="720"/>
      <c r="F112" s="720"/>
      <c r="H112" s="722" t="e">
        <f t="shared" si="22"/>
        <v>#VALUE!</v>
      </c>
      <c r="I112" s="717"/>
      <c r="J112" s="722" t="str">
        <f t="shared" si="20"/>
        <v/>
      </c>
      <c r="K112" s="717"/>
      <c r="L112" s="47"/>
      <c r="M112" s="47"/>
      <c r="N112" t="b">
        <v>0</v>
      </c>
    </row>
    <row r="113" ht="16.05" hidden="1" customHeight="1" spans="1:14">
      <c r="A113" s="719" t="str">
        <f t="shared" si="21"/>
        <v>Metric Tons (in vacuo)</v>
      </c>
      <c r="C113" s="70"/>
      <c r="D113" s="720" t="str">
        <f t="shared" si="23"/>
        <v>Metric Tons (in vacuo)</v>
      </c>
      <c r="E113" s="720"/>
      <c r="F113" s="720"/>
      <c r="G113" s="47"/>
      <c r="H113" s="722" t="e">
        <f t="shared" si="22"/>
        <v>#VALUE!</v>
      </c>
      <c r="I113" s="728"/>
      <c r="J113" s="722" t="str">
        <f t="shared" si="20"/>
        <v/>
      </c>
      <c r="K113" s="309"/>
      <c r="L113" s="47"/>
      <c r="M113" s="47"/>
      <c r="N113" t="b">
        <v>0</v>
      </c>
    </row>
    <row r="114" ht="16.05" customHeight="1" spans="1:14">
      <c r="A114" s="719" t="str">
        <f t="shared" si="21"/>
        <v>Metric Tons (in air)</v>
      </c>
      <c r="C114" s="80"/>
      <c r="D114" s="720" t="str">
        <f t="shared" si="23"/>
        <v>Metric Tons (in air)</v>
      </c>
      <c r="E114" s="720"/>
      <c r="F114" s="720"/>
      <c r="G114" s="83"/>
      <c r="H114" s="722">
        <f t="shared" si="22"/>
        <v>39442.037</v>
      </c>
      <c r="I114" s="729"/>
      <c r="J114" s="722" t="str">
        <f t="shared" si="20"/>
        <v/>
      </c>
      <c r="K114" s="309"/>
      <c r="L114" s="47"/>
      <c r="M114" s="47"/>
      <c r="N114" t="b">
        <v>1</v>
      </c>
    </row>
    <row r="115" ht="16.05" hidden="1" customHeight="1" spans="1:14">
      <c r="A115" s="719" t="str">
        <f t="shared" si="21"/>
        <v>Long Tons (in vacuo)</v>
      </c>
      <c r="C115" s="70"/>
      <c r="D115" s="720" t="str">
        <f t="shared" si="23"/>
        <v>Long Tons (in vacuo)</v>
      </c>
      <c r="E115" s="720"/>
      <c r="F115" s="720"/>
      <c r="G115" s="47"/>
      <c r="H115" s="722" t="e">
        <f t="shared" si="22"/>
        <v>#VALUE!</v>
      </c>
      <c r="I115" s="77"/>
      <c r="J115" s="722" t="str">
        <f t="shared" si="20"/>
        <v/>
      </c>
      <c r="K115" s="77"/>
      <c r="L115" s="47"/>
      <c r="M115" s="47"/>
      <c r="N115" t="b">
        <v>0</v>
      </c>
    </row>
    <row r="116" ht="16.05" customHeight="1" spans="1:14">
      <c r="A116" s="719" t="str">
        <f t="shared" si="21"/>
        <v>Long Tons (in air)</v>
      </c>
      <c r="C116" s="80"/>
      <c r="D116" s="720" t="str">
        <f t="shared" si="23"/>
        <v>Long Tons (in air)</v>
      </c>
      <c r="E116" s="720"/>
      <c r="F116" s="720"/>
      <c r="G116" s="47"/>
      <c r="H116" s="722">
        <f t="shared" si="22"/>
        <v>38819.09</v>
      </c>
      <c r="I116" s="726"/>
      <c r="J116" s="722" t="str">
        <f t="shared" si="20"/>
        <v/>
      </c>
      <c r="K116" s="726"/>
      <c r="L116" s="47"/>
      <c r="M116" s="47"/>
      <c r="N116" t="b">
        <v>1</v>
      </c>
    </row>
    <row r="117" ht="12" customHeight="1" spans="3:13">
      <c r="C117" s="80"/>
      <c r="D117" s="47"/>
      <c r="E117" s="47"/>
      <c r="F117" s="47"/>
      <c r="G117" s="47"/>
      <c r="H117" s="723"/>
      <c r="I117" s="723"/>
      <c r="J117" s="723"/>
      <c r="K117" s="723"/>
      <c r="L117" s="47"/>
      <c r="M117" s="47"/>
    </row>
    <row r="118" ht="12" customHeight="1" spans="3:13">
      <c r="C118" s="80"/>
      <c r="D118" s="47"/>
      <c r="E118" s="47"/>
      <c r="F118" s="47"/>
      <c r="G118" s="47"/>
      <c r="H118" s="723"/>
      <c r="I118" s="726"/>
      <c r="J118" s="726"/>
      <c r="K118" s="726"/>
      <c r="L118" s="47"/>
      <c r="M118" s="47"/>
    </row>
    <row r="119" ht="12" customHeight="1" spans="3:13">
      <c r="C119" s="80"/>
      <c r="D119" s="47"/>
      <c r="E119" s="47"/>
      <c r="F119" s="47"/>
      <c r="G119" s="47"/>
      <c r="H119" s="723"/>
      <c r="I119" s="723"/>
      <c r="J119" s="723"/>
      <c r="K119" s="723"/>
      <c r="L119" s="47"/>
      <c r="M119" s="47"/>
    </row>
    <row r="120" spans="3:13">
      <c r="C120" s="724" t="str">
        <f>G41</f>
        <v>REMARKS</v>
      </c>
      <c r="D120" s="47"/>
      <c r="E120" s="47"/>
      <c r="F120" s="47"/>
      <c r="G120" s="47"/>
      <c r="H120" s="723"/>
      <c r="I120" s="723"/>
      <c r="J120" s="723"/>
      <c r="K120" s="723"/>
      <c r="L120" s="47"/>
      <c r="M120" s="47"/>
    </row>
    <row r="121" ht="12" customHeight="1" spans="3:13">
      <c r="C121" s="80" t="str">
        <f>IF(ISERROR(FIND("VEF",C103)),"","- VEF = "&amp;VEF)</f>
        <v>- VEF = 0.9986</v>
      </c>
      <c r="D121" s="47"/>
      <c r="E121" s="47"/>
      <c r="F121" s="47"/>
      <c r="G121" s="47"/>
      <c r="H121" s="723"/>
      <c r="I121" s="723"/>
      <c r="J121" s="723"/>
      <c r="K121" s="723"/>
      <c r="L121" s="47"/>
      <c r="M121" s="47"/>
    </row>
    <row r="122" ht="12" customHeight="1" spans="3:13">
      <c r="C122" s="80"/>
      <c r="D122" s="47"/>
      <c r="E122" s="47"/>
      <c r="F122" s="47"/>
      <c r="G122" s="47"/>
      <c r="H122" s="725"/>
      <c r="I122" s="725"/>
      <c r="J122" s="725"/>
      <c r="K122" s="725"/>
      <c r="L122" s="47"/>
      <c r="M122" s="47"/>
    </row>
    <row r="123" ht="12" customHeight="1" spans="3:13">
      <c r="C123" s="80"/>
      <c r="D123" s="47"/>
      <c r="E123" s="47"/>
      <c r="F123" s="47"/>
      <c r="G123" s="47"/>
      <c r="H123" s="725"/>
      <c r="I123" s="725"/>
      <c r="J123" s="725"/>
      <c r="K123" s="725"/>
      <c r="L123" s="47"/>
      <c r="M123" s="47"/>
    </row>
    <row r="124" spans="2:13">
      <c r="B124" s="47"/>
      <c r="C124" s="70"/>
      <c r="D124" s="47"/>
      <c r="E124" s="47"/>
      <c r="F124" s="47"/>
      <c r="G124" s="47"/>
      <c r="H124" s="77"/>
      <c r="I124" s="77"/>
      <c r="J124" s="77"/>
      <c r="K124" s="77"/>
      <c r="L124" s="47"/>
      <c r="M124" s="47"/>
    </row>
    <row r="125" ht="12" customHeight="1" spans="2:13">
      <c r="B125" s="47"/>
      <c r="C125" s="80"/>
      <c r="D125" s="47"/>
      <c r="E125" s="47"/>
      <c r="F125" s="47"/>
      <c r="G125" s="47"/>
      <c r="H125" s="726"/>
      <c r="I125" s="726"/>
      <c r="J125" s="726"/>
      <c r="K125" s="726"/>
      <c r="L125" s="47"/>
      <c r="M125" s="47"/>
    </row>
    <row r="126" ht="12" customHeight="1" spans="2:13">
      <c r="B126" s="47"/>
      <c r="C126" s="80"/>
      <c r="D126" s="47"/>
      <c r="E126" s="47"/>
      <c r="F126" s="47"/>
      <c r="G126" s="47"/>
      <c r="H126" s="723"/>
      <c r="I126" s="723"/>
      <c r="J126" s="723"/>
      <c r="K126" s="723"/>
      <c r="L126" s="47"/>
      <c r="M126" s="47"/>
    </row>
    <row r="127" ht="12" customHeight="1" spans="2:13">
      <c r="B127" s="47"/>
      <c r="C127" s="80"/>
      <c r="D127" s="47"/>
      <c r="E127" s="47"/>
      <c r="F127" s="47"/>
      <c r="G127" s="47"/>
      <c r="H127" s="723"/>
      <c r="I127" s="723"/>
      <c r="J127" s="723"/>
      <c r="K127" s="723"/>
      <c r="L127" s="47"/>
      <c r="M127" s="47"/>
    </row>
    <row r="128" ht="12" customHeight="1" spans="2:13">
      <c r="B128" s="47"/>
      <c r="C128" s="80"/>
      <c r="D128" s="47"/>
      <c r="E128" s="47"/>
      <c r="F128" s="47"/>
      <c r="G128" s="47"/>
      <c r="H128" s="723"/>
      <c r="I128" s="723"/>
      <c r="J128" s="723"/>
      <c r="K128" s="723"/>
      <c r="L128" s="47"/>
      <c r="M128" s="47"/>
    </row>
    <row r="129" ht="12" customHeight="1" spans="2:13">
      <c r="B129" s="47"/>
      <c r="C129" s="80"/>
      <c r="D129" s="47"/>
      <c r="E129" s="47"/>
      <c r="F129" s="47"/>
      <c r="G129" s="47"/>
      <c r="H129" s="723"/>
      <c r="I129" s="723"/>
      <c r="J129" s="723"/>
      <c r="K129" s="723"/>
      <c r="L129" s="47"/>
      <c r="M129" s="47"/>
    </row>
    <row r="130" ht="12" customHeight="1" spans="2:13">
      <c r="B130" s="47"/>
      <c r="C130" s="80"/>
      <c r="D130" s="47"/>
      <c r="E130" s="47"/>
      <c r="F130" s="47"/>
      <c r="G130" s="47"/>
      <c r="H130" s="725"/>
      <c r="I130" s="725"/>
      <c r="J130" s="725"/>
      <c r="K130" s="725"/>
      <c r="L130" s="47"/>
      <c r="M130" s="47"/>
    </row>
    <row r="131" ht="12" customHeight="1" spans="2:13">
      <c r="B131" s="47"/>
      <c r="C131" s="80"/>
      <c r="D131" s="47"/>
      <c r="E131" s="47"/>
      <c r="F131" s="47"/>
      <c r="G131" s="47"/>
      <c r="H131" s="723"/>
      <c r="I131" s="723"/>
      <c r="J131" s="723"/>
      <c r="K131" s="723"/>
      <c r="L131" s="47"/>
      <c r="M131" s="47"/>
    </row>
    <row r="132" ht="12" customHeight="1" spans="2:13">
      <c r="B132" s="47"/>
      <c r="C132" s="80"/>
      <c r="D132" s="47"/>
      <c r="E132" s="47"/>
      <c r="F132" s="47"/>
      <c r="G132" s="47"/>
      <c r="H132" s="725"/>
      <c r="I132" s="725"/>
      <c r="J132" s="725"/>
      <c r="K132" s="725"/>
      <c r="L132" s="47"/>
      <c r="M132" s="47"/>
    </row>
    <row r="133" ht="12" customHeight="1" spans="2:13">
      <c r="B133" s="47"/>
      <c r="C133" s="80"/>
      <c r="D133" s="47"/>
      <c r="E133" s="47"/>
      <c r="F133" s="47"/>
      <c r="G133" s="47"/>
      <c r="H133" s="723"/>
      <c r="I133" s="723"/>
      <c r="J133" s="723"/>
      <c r="K133" s="723"/>
      <c r="L133" s="47"/>
      <c r="M133" s="47"/>
    </row>
    <row r="134" ht="12" customHeight="1" spans="2:13">
      <c r="B134" s="47"/>
      <c r="C134" s="80"/>
      <c r="D134" s="47"/>
      <c r="E134" s="47"/>
      <c r="F134" s="47"/>
      <c r="G134" s="47"/>
      <c r="H134" s="723"/>
      <c r="I134" s="723"/>
      <c r="J134" s="723"/>
      <c r="K134" s="723"/>
      <c r="L134" s="47"/>
      <c r="M134" s="47"/>
    </row>
    <row r="135" ht="12" customHeight="1" spans="2:13">
      <c r="B135" s="47"/>
      <c r="C135" s="80"/>
      <c r="D135" s="47"/>
      <c r="E135" s="47"/>
      <c r="F135" s="47"/>
      <c r="G135" s="47"/>
      <c r="H135" s="725"/>
      <c r="I135" s="725"/>
      <c r="J135" s="725"/>
      <c r="K135" s="725"/>
      <c r="L135" s="47"/>
      <c r="M135" s="47"/>
    </row>
    <row r="136" ht="12" customHeight="1" spans="2:13">
      <c r="B136" s="47"/>
      <c r="C136" s="80"/>
      <c r="D136" s="47"/>
      <c r="E136" s="47"/>
      <c r="F136" s="47"/>
      <c r="G136" s="47"/>
      <c r="H136" s="723"/>
      <c r="I136" s="723"/>
      <c r="J136" s="723"/>
      <c r="K136" s="723"/>
      <c r="L136" s="47"/>
      <c r="M136" s="47"/>
    </row>
    <row r="137" ht="12" customHeight="1" spans="2:13">
      <c r="B137" s="47"/>
      <c r="C137" s="80"/>
      <c r="D137" s="47"/>
      <c r="E137" s="47"/>
      <c r="F137" s="47"/>
      <c r="G137" s="47"/>
      <c r="H137" s="725"/>
      <c r="I137" s="725"/>
      <c r="J137" s="725"/>
      <c r="K137" s="725"/>
      <c r="L137" s="47"/>
      <c r="M137" s="47"/>
    </row>
    <row r="138" spans="2:13">
      <c r="B138" s="47"/>
      <c r="C138" s="47"/>
      <c r="D138" s="47"/>
      <c r="E138" s="47"/>
      <c r="F138" s="47"/>
      <c r="G138" s="47"/>
      <c r="H138" s="47"/>
      <c r="I138" s="47"/>
      <c r="J138" s="47"/>
      <c r="K138" s="47"/>
      <c r="L138" s="47"/>
      <c r="M138" s="47"/>
    </row>
    <row r="139" spans="2:13">
      <c r="B139" s="47"/>
      <c r="C139" s="47"/>
      <c r="D139" s="47"/>
      <c r="E139" s="47"/>
      <c r="F139" s="47"/>
      <c r="G139" s="47"/>
      <c r="H139" s="47"/>
      <c r="I139" s="47"/>
      <c r="J139" s="47"/>
      <c r="K139" s="47"/>
      <c r="L139" s="47"/>
      <c r="M139" s="47"/>
    </row>
    <row r="140" spans="2:13">
      <c r="B140" s="47"/>
      <c r="C140" s="47"/>
      <c r="D140" s="47"/>
      <c r="E140" s="47"/>
      <c r="F140" s="47"/>
      <c r="G140" s="47"/>
      <c r="H140" s="47"/>
      <c r="I140" s="47"/>
      <c r="J140" s="47"/>
      <c r="K140" s="47"/>
      <c r="L140" s="47"/>
      <c r="M140" s="47"/>
    </row>
    <row r="141" spans="2:13">
      <c r="B141" s="47"/>
      <c r="C141" s="47"/>
      <c r="D141" s="47"/>
      <c r="E141" s="47"/>
      <c r="F141" s="47"/>
      <c r="G141" s="47"/>
      <c r="H141" s="47"/>
      <c r="I141" s="47"/>
      <c r="J141" s="47"/>
      <c r="K141" s="47"/>
      <c r="L141" s="47"/>
      <c r="M141" s="47"/>
    </row>
    <row r="142" hidden="1" spans="2:13">
      <c r="B142" s="47"/>
      <c r="D142" s="47" t="str">
        <f>D80</f>
        <v>Master/Chief Officer</v>
      </c>
      <c r="E142" s="47"/>
      <c r="F142" s="47"/>
      <c r="G142" s="47"/>
      <c r="H142" s="47"/>
      <c r="I142" s="47" t="str">
        <f>D81</f>
        <v>CCIC Surveyor</v>
      </c>
      <c r="J142" s="47"/>
      <c r="K142" s="47"/>
      <c r="L142" s="47"/>
      <c r="M142" s="47"/>
    </row>
    <row r="143" hidden="1" spans="2:13">
      <c r="B143" s="47"/>
      <c r="D143" s="47" t="str">
        <f>D82</f>
        <v>Name</v>
      </c>
      <c r="E143" s="104"/>
      <c r="F143" s="104"/>
      <c r="G143" s="104"/>
      <c r="H143" s="47"/>
      <c r="I143" s="47" t="str">
        <f>D82</f>
        <v>Name</v>
      </c>
      <c r="J143" s="107" t="s">
        <v>10</v>
      </c>
      <c r="K143" s="107"/>
      <c r="L143" s="107"/>
      <c r="M143" s="47"/>
    </row>
    <row r="144" hidden="1" spans="2:13">
      <c r="B144" s="47"/>
      <c r="D144" s="47" t="str">
        <f>D83</f>
        <v>Signature</v>
      </c>
      <c r="E144" s="105"/>
      <c r="F144" s="105"/>
      <c r="G144" s="105"/>
      <c r="H144" s="47"/>
      <c r="I144" s="47" t="str">
        <f>D83</f>
        <v>Signature</v>
      </c>
      <c r="J144" s="105"/>
      <c r="K144" s="105"/>
      <c r="L144" s="105"/>
      <c r="M144" s="47"/>
    </row>
    <row r="145" ht="6.6" customHeight="1" spans="2:13">
      <c r="B145" s="47"/>
      <c r="C145" s="47"/>
      <c r="D145" s="47"/>
      <c r="E145" s="47"/>
      <c r="F145" s="47"/>
      <c r="G145" s="47"/>
      <c r="H145" s="47"/>
      <c r="I145" s="47"/>
      <c r="J145" s="47"/>
      <c r="K145" s="47"/>
      <c r="L145" s="47"/>
      <c r="M145" s="47"/>
    </row>
    <row r="146" ht="6.6" customHeight="1" spans="2:13">
      <c r="B146" s="47"/>
      <c r="C146" s="47"/>
      <c r="D146" s="47"/>
      <c r="E146" s="47"/>
      <c r="F146" s="47"/>
      <c r="G146" s="47"/>
      <c r="H146" s="47"/>
      <c r="I146" s="47"/>
      <c r="J146" s="47"/>
      <c r="K146" s="47"/>
      <c r="L146" s="47"/>
      <c r="M146" s="47"/>
    </row>
    <row r="147" spans="2:13">
      <c r="B147" s="47"/>
      <c r="C147" s="47"/>
      <c r="D147" s="47"/>
      <c r="E147" s="47"/>
      <c r="F147" s="47"/>
      <c r="G147" s="47"/>
      <c r="H147" s="47"/>
      <c r="I147" s="47"/>
      <c r="J147" s="47"/>
      <c r="K147" s="47"/>
      <c r="L147" s="47"/>
      <c r="M147" s="47"/>
    </row>
    <row r="148" spans="2:13">
      <c r="B148" s="47"/>
      <c r="C148" s="47"/>
      <c r="D148" s="47"/>
      <c r="E148" s="47"/>
      <c r="F148" s="47"/>
      <c r="G148" s="47"/>
      <c r="H148" s="47"/>
      <c r="I148" s="108" t="str">
        <f>D84</f>
        <v>Authorized Signature (S)</v>
      </c>
      <c r="J148" s="108"/>
      <c r="K148" s="108"/>
      <c r="L148" s="47"/>
      <c r="M148" s="47"/>
    </row>
    <row r="149" ht="5.4" customHeight="1" spans="2:13">
      <c r="B149" s="47"/>
      <c r="C149" s="47"/>
      <c r="D149" s="47"/>
      <c r="E149" s="47"/>
      <c r="F149" s="47"/>
      <c r="G149" s="47"/>
      <c r="H149" s="47"/>
      <c r="I149" s="47"/>
      <c r="J149" s="47"/>
      <c r="K149" s="47"/>
      <c r="L149" s="47"/>
      <c r="M149" s="47"/>
    </row>
    <row r="150" ht="5.4" customHeight="1" spans="2:13">
      <c r="B150" s="47"/>
      <c r="C150" s="47"/>
      <c r="D150" s="47"/>
      <c r="E150" s="47"/>
      <c r="F150" s="47"/>
      <c r="G150" s="47"/>
      <c r="H150" s="47"/>
      <c r="I150" s="47"/>
      <c r="J150" s="47"/>
      <c r="K150" s="47"/>
      <c r="L150" s="47"/>
      <c r="M150" s="47"/>
    </row>
    <row r="151" ht="23.4" customHeight="1" spans="2:13">
      <c r="B151" s="106" t="str">
        <f>D85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51" s="106"/>
      <c r="D151" s="106"/>
      <c r="E151" s="106"/>
      <c r="F151" s="106"/>
      <c r="G151" s="106"/>
      <c r="H151" s="106"/>
      <c r="I151" s="106"/>
      <c r="J151" s="106"/>
      <c r="K151" s="106"/>
      <c r="L151" s="106"/>
      <c r="M151" s="106"/>
    </row>
  </sheetData>
  <mergeCells count="22">
    <mergeCell ref="O47:S47"/>
    <mergeCell ref="I93:M93"/>
    <mergeCell ref="I94:M94"/>
    <mergeCell ref="I95:M95"/>
    <mergeCell ref="I96:M96"/>
    <mergeCell ref="I97:M97"/>
    <mergeCell ref="I98:M98"/>
    <mergeCell ref="I99:M99"/>
    <mergeCell ref="D106:F106"/>
    <mergeCell ref="D107:F107"/>
    <mergeCell ref="D108:F108"/>
    <mergeCell ref="D109:F109"/>
    <mergeCell ref="D110:F110"/>
    <mergeCell ref="D111:F111"/>
    <mergeCell ref="D112:F112"/>
    <mergeCell ref="D113:F113"/>
    <mergeCell ref="D114:F114"/>
    <mergeCell ref="D115:F115"/>
    <mergeCell ref="D116:F116"/>
    <mergeCell ref="J143:L143"/>
    <mergeCell ref="B151:M151"/>
    <mergeCell ref="B93:F99"/>
  </mergeCells>
  <dataValidations count="4">
    <dataValidation type="list" allowBlank="1" showInputMessage="1" showErrorMessage="1" sqref="D112:F112">
      <formula1>$M$17:$N$17</formula1>
    </dataValidation>
    <dataValidation type="list" allowBlank="1" showInputMessage="1" showErrorMessage="1" sqref="D107:F107">
      <formula1>$M$14:$N$14</formula1>
    </dataValidation>
    <dataValidation type="list" allowBlank="1" showInputMessage="1" showErrorMessage="1" sqref="D110:F110">
      <formula1>$M$15:$N$15</formula1>
    </dataValidation>
    <dataValidation type="list" allowBlank="1" showInputMessage="1" showErrorMessage="1" sqref="D111:F111">
      <formula1>$M$16:$N$16</formula1>
    </dataValidation>
  </dataValidations>
  <pageMargins left="0.52" right="0.46" top="0.75" bottom="0.75" header="0.3" footer="0.3"/>
  <pageSetup paperSize="9" orientation="portrait"/>
  <headerFooter>
    <oddHeader>&amp;L&amp;G
</oddHeader>
  </headerFooter>
  <drawing r:id="rId1"/>
  <legacyDrawing r:id="rId2"/>
  <legacyDrawingHF r:id="rId6"/>
  <mc:AlternateContent xmlns:mc="http://schemas.openxmlformats.org/markup-compatibility/2006">
    <mc:Choice Requires="x14">
      <controls>
        <mc:AlternateContent xmlns:mc="http://schemas.openxmlformats.org/markup-compatibility/2006">
          <mc:Choice Requires="x14">
            <control shapeId="30733" name="Drop Down 13" r:id="rId3">
              <controlPr print="0" defaultSize="0">
                <anchor moveWithCells="1">
                  <from>
                    <xdr:col>2</xdr:col>
                    <xdr:colOff>45720</xdr:colOff>
                    <xdr:row>102</xdr:row>
                    <xdr:rowOff>0</xdr:rowOff>
                  </from>
                  <to>
                    <xdr:col>7</xdr:col>
                    <xdr:colOff>670560</xdr:colOff>
                    <xdr:row>103</xdr:row>
                    <xdr:rowOff>22860</xdr:rowOff>
                  </to>
                </anchor>
              </controlPr>
            </control>
          </mc:Choice>
        </mc:AlternateContent>
        <mc:AlternateContent xmlns:mc="http://schemas.openxmlformats.org/markup-compatibility/2006">
          <mc:Choice Requires="x14">
            <control shapeId="30734" name="Button 14" r:id="rId4">
              <controlPr print="0" defaultSize="0">
                <anchor moveWithCells="1">
                  <from>
                    <xdr:col>21</xdr:col>
                    <xdr:colOff>106680</xdr:colOff>
                    <xdr:row>102</xdr:row>
                    <xdr:rowOff>7620</xdr:rowOff>
                  </from>
                  <to>
                    <xdr:col>24</xdr:col>
                    <xdr:colOff>480060</xdr:colOff>
                    <xdr:row>103</xdr:row>
                    <xdr:rowOff>60960</xdr:rowOff>
                  </to>
                </anchor>
              </controlPr>
            </control>
          </mc:Choice>
        </mc:AlternateContent>
        <mc:AlternateContent xmlns:mc="http://schemas.openxmlformats.org/markup-compatibility/2006">
          <mc:Choice Requires="x14">
            <control shapeId="30735" name="Button 15" r:id="rId5">
              <controlPr print="0" defaultSize="0">
                <anchor moveWithCells="1">
                  <from>
                    <xdr:col>21</xdr:col>
                    <xdr:colOff>106680</xdr:colOff>
                    <xdr:row>100</xdr:row>
                    <xdr:rowOff>22860</xdr:rowOff>
                  </from>
                  <to>
                    <xdr:col>24</xdr:col>
                    <xdr:colOff>480060</xdr:colOff>
                    <xdr:row>101</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AK182"/>
  <sheetViews>
    <sheetView showGridLines="0" zoomScale="99" zoomScaleNormal="99" topLeftCell="N103" workbookViewId="0">
      <selection activeCell="AH108" sqref="AH108"/>
    </sheetView>
  </sheetViews>
  <sheetFormatPr defaultColWidth="9" defaultRowHeight="11.25"/>
  <cols>
    <col min="1" max="13" width="8.88333333333333" style="357" hidden="1" customWidth="1"/>
    <col min="14" max="14" width="5" style="357" customWidth="1"/>
    <col min="15" max="15" width="5.10833333333333" style="357" customWidth="1"/>
    <col min="16" max="17" width="2.775" style="357" customWidth="1"/>
    <col min="18" max="19" width="5.33333333333333" style="357" customWidth="1"/>
    <col min="20" max="20" width="7.66666666666667" style="357" customWidth="1"/>
    <col min="21" max="22" width="7.55833333333333" style="357" customWidth="1"/>
    <col min="23" max="23" width="2.775" style="357" customWidth="1"/>
    <col min="24" max="24" width="5.33333333333333" style="357" customWidth="1"/>
    <col min="25" max="27" width="7.55833333333333" style="357" customWidth="1"/>
    <col min="28" max="28" width="4.775" style="357" customWidth="1"/>
    <col min="29" max="29" width="7.10833333333333" style="357" customWidth="1"/>
    <col min="30" max="30" width="7.33333333333333" style="357" customWidth="1"/>
    <col min="31" max="31" width="0.558333333333333" style="357" customWidth="1"/>
    <col min="32" max="32" width="8.88333333333333" style="357"/>
    <col min="33" max="33" width="16.4416666666667" style="357" customWidth="1"/>
    <col min="34" max="34" width="12.1083333333333" style="357" customWidth="1"/>
    <col min="35" max="35" width="13.3333333333333" style="357" customWidth="1"/>
    <col min="36" max="36" width="9.775" style="357" customWidth="1"/>
    <col min="37" max="37" width="11.5583333333333" style="357" customWidth="1"/>
    <col min="38" max="38" width="11" style="357" customWidth="1"/>
    <col min="39" max="39" width="13.8833333333333" style="357" customWidth="1"/>
    <col min="40" max="40" width="12.775" style="357" customWidth="1"/>
    <col min="41" max="41" width="8.88333333333333" style="357"/>
    <col min="42" max="42" width="10" style="357" customWidth="1"/>
    <col min="43" max="43" width="10.6666666666667" style="357" customWidth="1"/>
    <col min="44" max="44" width="8.88333333333333" style="357"/>
    <col min="45" max="74" width="8.88333333333333" style="357" customWidth="1"/>
    <col min="75" max="269" width="8.88333333333333" style="357"/>
    <col min="270" max="270" width="5" style="357" customWidth="1"/>
    <col min="271" max="271" width="5.10833333333333" style="357" customWidth="1"/>
    <col min="272" max="273" width="2.775" style="357" customWidth="1"/>
    <col min="274" max="275" width="5.33333333333333" style="357" customWidth="1"/>
    <col min="276" max="278" width="7.55833333333333" style="357" customWidth="1"/>
    <col min="279" max="279" width="2.775" style="357" customWidth="1"/>
    <col min="280" max="280" width="5.33333333333333" style="357" customWidth="1"/>
    <col min="281" max="283" width="7.55833333333333" style="357" customWidth="1"/>
    <col min="284" max="284" width="4.775" style="357" customWidth="1"/>
    <col min="285" max="285" width="6.775" style="357" customWidth="1"/>
    <col min="286" max="286" width="7.33333333333333" style="357" customWidth="1"/>
    <col min="287" max="287" width="0.558333333333333" style="357" customWidth="1"/>
    <col min="288" max="288" width="8.88333333333333" style="357"/>
    <col min="289" max="289" width="16.4416666666667" style="357" customWidth="1"/>
    <col min="290" max="290" width="12.1083333333333" style="357" customWidth="1"/>
    <col min="291" max="291" width="13.3333333333333" style="357" customWidth="1"/>
    <col min="292" max="292" width="9.775" style="357" customWidth="1"/>
    <col min="293" max="293" width="11.5583333333333" style="357" customWidth="1"/>
    <col min="294" max="294" width="11" style="357" customWidth="1"/>
    <col min="295" max="295" width="13.8833333333333" style="357" customWidth="1"/>
    <col min="296" max="296" width="12.775" style="357" customWidth="1"/>
    <col min="297" max="297" width="8.88333333333333" style="357"/>
    <col min="298" max="298" width="10" style="357" customWidth="1"/>
    <col min="299" max="299" width="10.6666666666667" style="357" customWidth="1"/>
    <col min="300" max="525" width="8.88333333333333" style="357"/>
    <col min="526" max="526" width="5" style="357" customWidth="1"/>
    <col min="527" max="527" width="5.10833333333333" style="357" customWidth="1"/>
    <col min="528" max="529" width="2.775" style="357" customWidth="1"/>
    <col min="530" max="531" width="5.33333333333333" style="357" customWidth="1"/>
    <col min="532" max="534" width="7.55833333333333" style="357" customWidth="1"/>
    <col min="535" max="535" width="2.775" style="357" customWidth="1"/>
    <col min="536" max="536" width="5.33333333333333" style="357" customWidth="1"/>
    <col min="537" max="539" width="7.55833333333333" style="357" customWidth="1"/>
    <col min="540" max="540" width="4.775" style="357" customWidth="1"/>
    <col min="541" max="541" width="6.775" style="357" customWidth="1"/>
    <col min="542" max="542" width="7.33333333333333" style="357" customWidth="1"/>
    <col min="543" max="543" width="0.558333333333333" style="357" customWidth="1"/>
    <col min="544" max="544" width="8.88333333333333" style="357"/>
    <col min="545" max="545" width="16.4416666666667" style="357" customWidth="1"/>
    <col min="546" max="546" width="12.1083333333333" style="357" customWidth="1"/>
    <col min="547" max="547" width="13.3333333333333" style="357" customWidth="1"/>
    <col min="548" max="548" width="9.775" style="357" customWidth="1"/>
    <col min="549" max="549" width="11.5583333333333" style="357" customWidth="1"/>
    <col min="550" max="550" width="11" style="357" customWidth="1"/>
    <col min="551" max="551" width="13.8833333333333" style="357" customWidth="1"/>
    <col min="552" max="552" width="12.775" style="357" customWidth="1"/>
    <col min="553" max="553" width="8.88333333333333" style="357"/>
    <col min="554" max="554" width="10" style="357" customWidth="1"/>
    <col min="555" max="555" width="10.6666666666667" style="357" customWidth="1"/>
    <col min="556" max="781" width="8.88333333333333" style="357"/>
    <col min="782" max="782" width="5" style="357" customWidth="1"/>
    <col min="783" max="783" width="5.10833333333333" style="357" customWidth="1"/>
    <col min="784" max="785" width="2.775" style="357" customWidth="1"/>
    <col min="786" max="787" width="5.33333333333333" style="357" customWidth="1"/>
    <col min="788" max="790" width="7.55833333333333" style="357" customWidth="1"/>
    <col min="791" max="791" width="2.775" style="357" customWidth="1"/>
    <col min="792" max="792" width="5.33333333333333" style="357" customWidth="1"/>
    <col min="793" max="795" width="7.55833333333333" style="357" customWidth="1"/>
    <col min="796" max="796" width="4.775" style="357" customWidth="1"/>
    <col min="797" max="797" width="6.775" style="357" customWidth="1"/>
    <col min="798" max="798" width="7.33333333333333" style="357" customWidth="1"/>
    <col min="799" max="799" width="0.558333333333333" style="357" customWidth="1"/>
    <col min="800" max="800" width="8.88333333333333" style="357"/>
    <col min="801" max="801" width="16.4416666666667" style="357" customWidth="1"/>
    <col min="802" max="802" width="12.1083333333333" style="357" customWidth="1"/>
    <col min="803" max="803" width="13.3333333333333" style="357" customWidth="1"/>
    <col min="804" max="804" width="9.775" style="357" customWidth="1"/>
    <col min="805" max="805" width="11.5583333333333" style="357" customWidth="1"/>
    <col min="806" max="806" width="11" style="357" customWidth="1"/>
    <col min="807" max="807" width="13.8833333333333" style="357" customWidth="1"/>
    <col min="808" max="808" width="12.775" style="357" customWidth="1"/>
    <col min="809" max="809" width="8.88333333333333" style="357"/>
    <col min="810" max="810" width="10" style="357" customWidth="1"/>
    <col min="811" max="811" width="10.6666666666667" style="357" customWidth="1"/>
    <col min="812" max="1037" width="8.88333333333333" style="357"/>
    <col min="1038" max="1038" width="5" style="357" customWidth="1"/>
    <col min="1039" max="1039" width="5.10833333333333" style="357" customWidth="1"/>
    <col min="1040" max="1041" width="2.775" style="357" customWidth="1"/>
    <col min="1042" max="1043" width="5.33333333333333" style="357" customWidth="1"/>
    <col min="1044" max="1046" width="7.55833333333333" style="357" customWidth="1"/>
    <col min="1047" max="1047" width="2.775" style="357" customWidth="1"/>
    <col min="1048" max="1048" width="5.33333333333333" style="357" customWidth="1"/>
    <col min="1049" max="1051" width="7.55833333333333" style="357" customWidth="1"/>
    <col min="1052" max="1052" width="4.775" style="357" customWidth="1"/>
    <col min="1053" max="1053" width="6.775" style="357" customWidth="1"/>
    <col min="1054" max="1054" width="7.33333333333333" style="357" customWidth="1"/>
    <col min="1055" max="1055" width="0.558333333333333" style="357" customWidth="1"/>
    <col min="1056" max="1056" width="8.88333333333333" style="357"/>
    <col min="1057" max="1057" width="16.4416666666667" style="357" customWidth="1"/>
    <col min="1058" max="1058" width="12.1083333333333" style="357" customWidth="1"/>
    <col min="1059" max="1059" width="13.3333333333333" style="357" customWidth="1"/>
    <col min="1060" max="1060" width="9.775" style="357" customWidth="1"/>
    <col min="1061" max="1061" width="11.5583333333333" style="357" customWidth="1"/>
    <col min="1062" max="1062" width="11" style="357" customWidth="1"/>
    <col min="1063" max="1063" width="13.8833333333333" style="357" customWidth="1"/>
    <col min="1064" max="1064" width="12.775" style="357" customWidth="1"/>
    <col min="1065" max="1065" width="8.88333333333333" style="357"/>
    <col min="1066" max="1066" width="10" style="357" customWidth="1"/>
    <col min="1067" max="1067" width="10.6666666666667" style="357" customWidth="1"/>
    <col min="1068" max="1293" width="8.88333333333333" style="357"/>
    <col min="1294" max="1294" width="5" style="357" customWidth="1"/>
    <col min="1295" max="1295" width="5.10833333333333" style="357" customWidth="1"/>
    <col min="1296" max="1297" width="2.775" style="357" customWidth="1"/>
    <col min="1298" max="1299" width="5.33333333333333" style="357" customWidth="1"/>
    <col min="1300" max="1302" width="7.55833333333333" style="357" customWidth="1"/>
    <col min="1303" max="1303" width="2.775" style="357" customWidth="1"/>
    <col min="1304" max="1304" width="5.33333333333333" style="357" customWidth="1"/>
    <col min="1305" max="1307" width="7.55833333333333" style="357" customWidth="1"/>
    <col min="1308" max="1308" width="4.775" style="357" customWidth="1"/>
    <col min="1309" max="1309" width="6.775" style="357" customWidth="1"/>
    <col min="1310" max="1310" width="7.33333333333333" style="357" customWidth="1"/>
    <col min="1311" max="1311" width="0.558333333333333" style="357" customWidth="1"/>
    <col min="1312" max="1312" width="8.88333333333333" style="357"/>
    <col min="1313" max="1313" width="16.4416666666667" style="357" customWidth="1"/>
    <col min="1314" max="1314" width="12.1083333333333" style="357" customWidth="1"/>
    <col min="1315" max="1315" width="13.3333333333333" style="357" customWidth="1"/>
    <col min="1316" max="1316" width="9.775" style="357" customWidth="1"/>
    <col min="1317" max="1317" width="11.5583333333333" style="357" customWidth="1"/>
    <col min="1318" max="1318" width="11" style="357" customWidth="1"/>
    <col min="1319" max="1319" width="13.8833333333333" style="357" customWidth="1"/>
    <col min="1320" max="1320" width="12.775" style="357" customWidth="1"/>
    <col min="1321" max="1321" width="8.88333333333333" style="357"/>
    <col min="1322" max="1322" width="10" style="357" customWidth="1"/>
    <col min="1323" max="1323" width="10.6666666666667" style="357" customWidth="1"/>
    <col min="1324" max="1549" width="8.88333333333333" style="357"/>
    <col min="1550" max="1550" width="5" style="357" customWidth="1"/>
    <col min="1551" max="1551" width="5.10833333333333" style="357" customWidth="1"/>
    <col min="1552" max="1553" width="2.775" style="357" customWidth="1"/>
    <col min="1554" max="1555" width="5.33333333333333" style="357" customWidth="1"/>
    <col min="1556" max="1558" width="7.55833333333333" style="357" customWidth="1"/>
    <col min="1559" max="1559" width="2.775" style="357" customWidth="1"/>
    <col min="1560" max="1560" width="5.33333333333333" style="357" customWidth="1"/>
    <col min="1561" max="1563" width="7.55833333333333" style="357" customWidth="1"/>
    <col min="1564" max="1564" width="4.775" style="357" customWidth="1"/>
    <col min="1565" max="1565" width="6.775" style="357" customWidth="1"/>
    <col min="1566" max="1566" width="7.33333333333333" style="357" customWidth="1"/>
    <col min="1567" max="1567" width="0.558333333333333" style="357" customWidth="1"/>
    <col min="1568" max="1568" width="8.88333333333333" style="357"/>
    <col min="1569" max="1569" width="16.4416666666667" style="357" customWidth="1"/>
    <col min="1570" max="1570" width="12.1083333333333" style="357" customWidth="1"/>
    <col min="1571" max="1571" width="13.3333333333333" style="357" customWidth="1"/>
    <col min="1572" max="1572" width="9.775" style="357" customWidth="1"/>
    <col min="1573" max="1573" width="11.5583333333333" style="357" customWidth="1"/>
    <col min="1574" max="1574" width="11" style="357" customWidth="1"/>
    <col min="1575" max="1575" width="13.8833333333333" style="357" customWidth="1"/>
    <col min="1576" max="1576" width="12.775" style="357" customWidth="1"/>
    <col min="1577" max="1577" width="8.88333333333333" style="357"/>
    <col min="1578" max="1578" width="10" style="357" customWidth="1"/>
    <col min="1579" max="1579" width="10.6666666666667" style="357" customWidth="1"/>
    <col min="1580" max="1805" width="8.88333333333333" style="357"/>
    <col min="1806" max="1806" width="5" style="357" customWidth="1"/>
    <col min="1807" max="1807" width="5.10833333333333" style="357" customWidth="1"/>
    <col min="1808" max="1809" width="2.775" style="357" customWidth="1"/>
    <col min="1810" max="1811" width="5.33333333333333" style="357" customWidth="1"/>
    <col min="1812" max="1814" width="7.55833333333333" style="357" customWidth="1"/>
    <col min="1815" max="1815" width="2.775" style="357" customWidth="1"/>
    <col min="1816" max="1816" width="5.33333333333333" style="357" customWidth="1"/>
    <col min="1817" max="1819" width="7.55833333333333" style="357" customWidth="1"/>
    <col min="1820" max="1820" width="4.775" style="357" customWidth="1"/>
    <col min="1821" max="1821" width="6.775" style="357" customWidth="1"/>
    <col min="1822" max="1822" width="7.33333333333333" style="357" customWidth="1"/>
    <col min="1823" max="1823" width="0.558333333333333" style="357" customWidth="1"/>
    <col min="1824" max="1824" width="8.88333333333333" style="357"/>
    <col min="1825" max="1825" width="16.4416666666667" style="357" customWidth="1"/>
    <col min="1826" max="1826" width="12.1083333333333" style="357" customWidth="1"/>
    <col min="1827" max="1827" width="13.3333333333333" style="357" customWidth="1"/>
    <col min="1828" max="1828" width="9.775" style="357" customWidth="1"/>
    <col min="1829" max="1829" width="11.5583333333333" style="357" customWidth="1"/>
    <col min="1830" max="1830" width="11" style="357" customWidth="1"/>
    <col min="1831" max="1831" width="13.8833333333333" style="357" customWidth="1"/>
    <col min="1832" max="1832" width="12.775" style="357" customWidth="1"/>
    <col min="1833" max="1833" width="8.88333333333333" style="357"/>
    <col min="1834" max="1834" width="10" style="357" customWidth="1"/>
    <col min="1835" max="1835" width="10.6666666666667" style="357" customWidth="1"/>
    <col min="1836" max="2061" width="8.88333333333333" style="357"/>
    <col min="2062" max="2062" width="5" style="357" customWidth="1"/>
    <col min="2063" max="2063" width="5.10833333333333" style="357" customWidth="1"/>
    <col min="2064" max="2065" width="2.775" style="357" customWidth="1"/>
    <col min="2066" max="2067" width="5.33333333333333" style="357" customWidth="1"/>
    <col min="2068" max="2070" width="7.55833333333333" style="357" customWidth="1"/>
    <col min="2071" max="2071" width="2.775" style="357" customWidth="1"/>
    <col min="2072" max="2072" width="5.33333333333333" style="357" customWidth="1"/>
    <col min="2073" max="2075" width="7.55833333333333" style="357" customWidth="1"/>
    <col min="2076" max="2076" width="4.775" style="357" customWidth="1"/>
    <col min="2077" max="2077" width="6.775" style="357" customWidth="1"/>
    <col min="2078" max="2078" width="7.33333333333333" style="357" customWidth="1"/>
    <col min="2079" max="2079" width="0.558333333333333" style="357" customWidth="1"/>
    <col min="2080" max="2080" width="8.88333333333333" style="357"/>
    <col min="2081" max="2081" width="16.4416666666667" style="357" customWidth="1"/>
    <col min="2082" max="2082" width="12.1083333333333" style="357" customWidth="1"/>
    <col min="2083" max="2083" width="13.3333333333333" style="357" customWidth="1"/>
    <col min="2084" max="2084" width="9.775" style="357" customWidth="1"/>
    <col min="2085" max="2085" width="11.5583333333333" style="357" customWidth="1"/>
    <col min="2086" max="2086" width="11" style="357" customWidth="1"/>
    <col min="2087" max="2087" width="13.8833333333333" style="357" customWidth="1"/>
    <col min="2088" max="2088" width="12.775" style="357" customWidth="1"/>
    <col min="2089" max="2089" width="8.88333333333333" style="357"/>
    <col min="2090" max="2090" width="10" style="357" customWidth="1"/>
    <col min="2091" max="2091" width="10.6666666666667" style="357" customWidth="1"/>
    <col min="2092" max="2317" width="8.88333333333333" style="357"/>
    <col min="2318" max="2318" width="5" style="357" customWidth="1"/>
    <col min="2319" max="2319" width="5.10833333333333" style="357" customWidth="1"/>
    <col min="2320" max="2321" width="2.775" style="357" customWidth="1"/>
    <col min="2322" max="2323" width="5.33333333333333" style="357" customWidth="1"/>
    <col min="2324" max="2326" width="7.55833333333333" style="357" customWidth="1"/>
    <col min="2327" max="2327" width="2.775" style="357" customWidth="1"/>
    <col min="2328" max="2328" width="5.33333333333333" style="357" customWidth="1"/>
    <col min="2329" max="2331" width="7.55833333333333" style="357" customWidth="1"/>
    <col min="2332" max="2332" width="4.775" style="357" customWidth="1"/>
    <col min="2333" max="2333" width="6.775" style="357" customWidth="1"/>
    <col min="2334" max="2334" width="7.33333333333333" style="357" customWidth="1"/>
    <col min="2335" max="2335" width="0.558333333333333" style="357" customWidth="1"/>
    <col min="2336" max="2336" width="8.88333333333333" style="357"/>
    <col min="2337" max="2337" width="16.4416666666667" style="357" customWidth="1"/>
    <col min="2338" max="2338" width="12.1083333333333" style="357" customWidth="1"/>
    <col min="2339" max="2339" width="13.3333333333333" style="357" customWidth="1"/>
    <col min="2340" max="2340" width="9.775" style="357" customWidth="1"/>
    <col min="2341" max="2341" width="11.5583333333333" style="357" customWidth="1"/>
    <col min="2342" max="2342" width="11" style="357" customWidth="1"/>
    <col min="2343" max="2343" width="13.8833333333333" style="357" customWidth="1"/>
    <col min="2344" max="2344" width="12.775" style="357" customWidth="1"/>
    <col min="2345" max="2345" width="8.88333333333333" style="357"/>
    <col min="2346" max="2346" width="10" style="357" customWidth="1"/>
    <col min="2347" max="2347" width="10.6666666666667" style="357" customWidth="1"/>
    <col min="2348" max="2573" width="8.88333333333333" style="357"/>
    <col min="2574" max="2574" width="5" style="357" customWidth="1"/>
    <col min="2575" max="2575" width="5.10833333333333" style="357" customWidth="1"/>
    <col min="2576" max="2577" width="2.775" style="357" customWidth="1"/>
    <col min="2578" max="2579" width="5.33333333333333" style="357" customWidth="1"/>
    <col min="2580" max="2582" width="7.55833333333333" style="357" customWidth="1"/>
    <col min="2583" max="2583" width="2.775" style="357" customWidth="1"/>
    <col min="2584" max="2584" width="5.33333333333333" style="357" customWidth="1"/>
    <col min="2585" max="2587" width="7.55833333333333" style="357" customWidth="1"/>
    <col min="2588" max="2588" width="4.775" style="357" customWidth="1"/>
    <col min="2589" max="2589" width="6.775" style="357" customWidth="1"/>
    <col min="2590" max="2590" width="7.33333333333333" style="357" customWidth="1"/>
    <col min="2591" max="2591" width="0.558333333333333" style="357" customWidth="1"/>
    <col min="2592" max="2592" width="8.88333333333333" style="357"/>
    <col min="2593" max="2593" width="16.4416666666667" style="357" customWidth="1"/>
    <col min="2594" max="2594" width="12.1083333333333" style="357" customWidth="1"/>
    <col min="2595" max="2595" width="13.3333333333333" style="357" customWidth="1"/>
    <col min="2596" max="2596" width="9.775" style="357" customWidth="1"/>
    <col min="2597" max="2597" width="11.5583333333333" style="357" customWidth="1"/>
    <col min="2598" max="2598" width="11" style="357" customWidth="1"/>
    <col min="2599" max="2599" width="13.8833333333333" style="357" customWidth="1"/>
    <col min="2600" max="2600" width="12.775" style="357" customWidth="1"/>
    <col min="2601" max="2601" width="8.88333333333333" style="357"/>
    <col min="2602" max="2602" width="10" style="357" customWidth="1"/>
    <col min="2603" max="2603" width="10.6666666666667" style="357" customWidth="1"/>
    <col min="2604" max="2829" width="8.88333333333333" style="357"/>
    <col min="2830" max="2830" width="5" style="357" customWidth="1"/>
    <col min="2831" max="2831" width="5.10833333333333" style="357" customWidth="1"/>
    <col min="2832" max="2833" width="2.775" style="357" customWidth="1"/>
    <col min="2834" max="2835" width="5.33333333333333" style="357" customWidth="1"/>
    <col min="2836" max="2838" width="7.55833333333333" style="357" customWidth="1"/>
    <col min="2839" max="2839" width="2.775" style="357" customWidth="1"/>
    <col min="2840" max="2840" width="5.33333333333333" style="357" customWidth="1"/>
    <col min="2841" max="2843" width="7.55833333333333" style="357" customWidth="1"/>
    <col min="2844" max="2844" width="4.775" style="357" customWidth="1"/>
    <col min="2845" max="2845" width="6.775" style="357" customWidth="1"/>
    <col min="2846" max="2846" width="7.33333333333333" style="357" customWidth="1"/>
    <col min="2847" max="2847" width="0.558333333333333" style="357" customWidth="1"/>
    <col min="2848" max="2848" width="8.88333333333333" style="357"/>
    <col min="2849" max="2849" width="16.4416666666667" style="357" customWidth="1"/>
    <col min="2850" max="2850" width="12.1083333333333" style="357" customWidth="1"/>
    <col min="2851" max="2851" width="13.3333333333333" style="357" customWidth="1"/>
    <col min="2852" max="2852" width="9.775" style="357" customWidth="1"/>
    <col min="2853" max="2853" width="11.5583333333333" style="357" customWidth="1"/>
    <col min="2854" max="2854" width="11" style="357" customWidth="1"/>
    <col min="2855" max="2855" width="13.8833333333333" style="357" customWidth="1"/>
    <col min="2856" max="2856" width="12.775" style="357" customWidth="1"/>
    <col min="2857" max="2857" width="8.88333333333333" style="357"/>
    <col min="2858" max="2858" width="10" style="357" customWidth="1"/>
    <col min="2859" max="2859" width="10.6666666666667" style="357" customWidth="1"/>
    <col min="2860" max="3085" width="8.88333333333333" style="357"/>
    <col min="3086" max="3086" width="5" style="357" customWidth="1"/>
    <col min="3087" max="3087" width="5.10833333333333" style="357" customWidth="1"/>
    <col min="3088" max="3089" width="2.775" style="357" customWidth="1"/>
    <col min="3090" max="3091" width="5.33333333333333" style="357" customWidth="1"/>
    <col min="3092" max="3094" width="7.55833333333333" style="357" customWidth="1"/>
    <col min="3095" max="3095" width="2.775" style="357" customWidth="1"/>
    <col min="3096" max="3096" width="5.33333333333333" style="357" customWidth="1"/>
    <col min="3097" max="3099" width="7.55833333333333" style="357" customWidth="1"/>
    <col min="3100" max="3100" width="4.775" style="357" customWidth="1"/>
    <col min="3101" max="3101" width="6.775" style="357" customWidth="1"/>
    <col min="3102" max="3102" width="7.33333333333333" style="357" customWidth="1"/>
    <col min="3103" max="3103" width="0.558333333333333" style="357" customWidth="1"/>
    <col min="3104" max="3104" width="8.88333333333333" style="357"/>
    <col min="3105" max="3105" width="16.4416666666667" style="357" customWidth="1"/>
    <col min="3106" max="3106" width="12.1083333333333" style="357" customWidth="1"/>
    <col min="3107" max="3107" width="13.3333333333333" style="357" customWidth="1"/>
    <col min="3108" max="3108" width="9.775" style="357" customWidth="1"/>
    <col min="3109" max="3109" width="11.5583333333333" style="357" customWidth="1"/>
    <col min="3110" max="3110" width="11" style="357" customWidth="1"/>
    <col min="3111" max="3111" width="13.8833333333333" style="357" customWidth="1"/>
    <col min="3112" max="3112" width="12.775" style="357" customWidth="1"/>
    <col min="3113" max="3113" width="8.88333333333333" style="357"/>
    <col min="3114" max="3114" width="10" style="357" customWidth="1"/>
    <col min="3115" max="3115" width="10.6666666666667" style="357" customWidth="1"/>
    <col min="3116" max="3341" width="8.88333333333333" style="357"/>
    <col min="3342" max="3342" width="5" style="357" customWidth="1"/>
    <col min="3343" max="3343" width="5.10833333333333" style="357" customWidth="1"/>
    <col min="3344" max="3345" width="2.775" style="357" customWidth="1"/>
    <col min="3346" max="3347" width="5.33333333333333" style="357" customWidth="1"/>
    <col min="3348" max="3350" width="7.55833333333333" style="357" customWidth="1"/>
    <col min="3351" max="3351" width="2.775" style="357" customWidth="1"/>
    <col min="3352" max="3352" width="5.33333333333333" style="357" customWidth="1"/>
    <col min="3353" max="3355" width="7.55833333333333" style="357" customWidth="1"/>
    <col min="3356" max="3356" width="4.775" style="357" customWidth="1"/>
    <col min="3357" max="3357" width="6.775" style="357" customWidth="1"/>
    <col min="3358" max="3358" width="7.33333333333333" style="357" customWidth="1"/>
    <col min="3359" max="3359" width="0.558333333333333" style="357" customWidth="1"/>
    <col min="3360" max="3360" width="8.88333333333333" style="357"/>
    <col min="3361" max="3361" width="16.4416666666667" style="357" customWidth="1"/>
    <col min="3362" max="3362" width="12.1083333333333" style="357" customWidth="1"/>
    <col min="3363" max="3363" width="13.3333333333333" style="357" customWidth="1"/>
    <col min="3364" max="3364" width="9.775" style="357" customWidth="1"/>
    <col min="3365" max="3365" width="11.5583333333333" style="357" customWidth="1"/>
    <col min="3366" max="3366" width="11" style="357" customWidth="1"/>
    <col min="3367" max="3367" width="13.8833333333333" style="357" customWidth="1"/>
    <col min="3368" max="3368" width="12.775" style="357" customWidth="1"/>
    <col min="3369" max="3369" width="8.88333333333333" style="357"/>
    <col min="3370" max="3370" width="10" style="357" customWidth="1"/>
    <col min="3371" max="3371" width="10.6666666666667" style="357" customWidth="1"/>
    <col min="3372" max="3597" width="8.88333333333333" style="357"/>
    <col min="3598" max="3598" width="5" style="357" customWidth="1"/>
    <col min="3599" max="3599" width="5.10833333333333" style="357" customWidth="1"/>
    <col min="3600" max="3601" width="2.775" style="357" customWidth="1"/>
    <col min="3602" max="3603" width="5.33333333333333" style="357" customWidth="1"/>
    <col min="3604" max="3606" width="7.55833333333333" style="357" customWidth="1"/>
    <col min="3607" max="3607" width="2.775" style="357" customWidth="1"/>
    <col min="3608" max="3608" width="5.33333333333333" style="357" customWidth="1"/>
    <col min="3609" max="3611" width="7.55833333333333" style="357" customWidth="1"/>
    <col min="3612" max="3612" width="4.775" style="357" customWidth="1"/>
    <col min="3613" max="3613" width="6.775" style="357" customWidth="1"/>
    <col min="3614" max="3614" width="7.33333333333333" style="357" customWidth="1"/>
    <col min="3615" max="3615" width="0.558333333333333" style="357" customWidth="1"/>
    <col min="3616" max="3616" width="8.88333333333333" style="357"/>
    <col min="3617" max="3617" width="16.4416666666667" style="357" customWidth="1"/>
    <col min="3618" max="3618" width="12.1083333333333" style="357" customWidth="1"/>
    <col min="3619" max="3619" width="13.3333333333333" style="357" customWidth="1"/>
    <col min="3620" max="3620" width="9.775" style="357" customWidth="1"/>
    <col min="3621" max="3621" width="11.5583333333333" style="357" customWidth="1"/>
    <col min="3622" max="3622" width="11" style="357" customWidth="1"/>
    <col min="3623" max="3623" width="13.8833333333333" style="357" customWidth="1"/>
    <col min="3624" max="3624" width="12.775" style="357" customWidth="1"/>
    <col min="3625" max="3625" width="8.88333333333333" style="357"/>
    <col min="3626" max="3626" width="10" style="357" customWidth="1"/>
    <col min="3627" max="3627" width="10.6666666666667" style="357" customWidth="1"/>
    <col min="3628" max="3853" width="8.88333333333333" style="357"/>
    <col min="3854" max="3854" width="5" style="357" customWidth="1"/>
    <col min="3855" max="3855" width="5.10833333333333" style="357" customWidth="1"/>
    <col min="3856" max="3857" width="2.775" style="357" customWidth="1"/>
    <col min="3858" max="3859" width="5.33333333333333" style="357" customWidth="1"/>
    <col min="3860" max="3862" width="7.55833333333333" style="357" customWidth="1"/>
    <col min="3863" max="3863" width="2.775" style="357" customWidth="1"/>
    <col min="3864" max="3864" width="5.33333333333333" style="357" customWidth="1"/>
    <col min="3865" max="3867" width="7.55833333333333" style="357" customWidth="1"/>
    <col min="3868" max="3868" width="4.775" style="357" customWidth="1"/>
    <col min="3869" max="3869" width="6.775" style="357" customWidth="1"/>
    <col min="3870" max="3870" width="7.33333333333333" style="357" customWidth="1"/>
    <col min="3871" max="3871" width="0.558333333333333" style="357" customWidth="1"/>
    <col min="3872" max="3872" width="8.88333333333333" style="357"/>
    <col min="3873" max="3873" width="16.4416666666667" style="357" customWidth="1"/>
    <col min="3874" max="3874" width="12.1083333333333" style="357" customWidth="1"/>
    <col min="3875" max="3875" width="13.3333333333333" style="357" customWidth="1"/>
    <col min="3876" max="3876" width="9.775" style="357" customWidth="1"/>
    <col min="3877" max="3877" width="11.5583333333333" style="357" customWidth="1"/>
    <col min="3878" max="3878" width="11" style="357" customWidth="1"/>
    <col min="3879" max="3879" width="13.8833333333333" style="357" customWidth="1"/>
    <col min="3880" max="3880" width="12.775" style="357" customWidth="1"/>
    <col min="3881" max="3881" width="8.88333333333333" style="357"/>
    <col min="3882" max="3882" width="10" style="357" customWidth="1"/>
    <col min="3883" max="3883" width="10.6666666666667" style="357" customWidth="1"/>
    <col min="3884" max="4109" width="8.88333333333333" style="357"/>
    <col min="4110" max="4110" width="5" style="357" customWidth="1"/>
    <col min="4111" max="4111" width="5.10833333333333" style="357" customWidth="1"/>
    <col min="4112" max="4113" width="2.775" style="357" customWidth="1"/>
    <col min="4114" max="4115" width="5.33333333333333" style="357" customWidth="1"/>
    <col min="4116" max="4118" width="7.55833333333333" style="357" customWidth="1"/>
    <col min="4119" max="4119" width="2.775" style="357" customWidth="1"/>
    <col min="4120" max="4120" width="5.33333333333333" style="357" customWidth="1"/>
    <col min="4121" max="4123" width="7.55833333333333" style="357" customWidth="1"/>
    <col min="4124" max="4124" width="4.775" style="357" customWidth="1"/>
    <col min="4125" max="4125" width="6.775" style="357" customWidth="1"/>
    <col min="4126" max="4126" width="7.33333333333333" style="357" customWidth="1"/>
    <col min="4127" max="4127" width="0.558333333333333" style="357" customWidth="1"/>
    <col min="4128" max="4128" width="8.88333333333333" style="357"/>
    <col min="4129" max="4129" width="16.4416666666667" style="357" customWidth="1"/>
    <col min="4130" max="4130" width="12.1083333333333" style="357" customWidth="1"/>
    <col min="4131" max="4131" width="13.3333333333333" style="357" customWidth="1"/>
    <col min="4132" max="4132" width="9.775" style="357" customWidth="1"/>
    <col min="4133" max="4133" width="11.5583333333333" style="357" customWidth="1"/>
    <col min="4134" max="4134" width="11" style="357" customWidth="1"/>
    <col min="4135" max="4135" width="13.8833333333333" style="357" customWidth="1"/>
    <col min="4136" max="4136" width="12.775" style="357" customWidth="1"/>
    <col min="4137" max="4137" width="8.88333333333333" style="357"/>
    <col min="4138" max="4138" width="10" style="357" customWidth="1"/>
    <col min="4139" max="4139" width="10.6666666666667" style="357" customWidth="1"/>
    <col min="4140" max="4365" width="8.88333333333333" style="357"/>
    <col min="4366" max="4366" width="5" style="357" customWidth="1"/>
    <col min="4367" max="4367" width="5.10833333333333" style="357" customWidth="1"/>
    <col min="4368" max="4369" width="2.775" style="357" customWidth="1"/>
    <col min="4370" max="4371" width="5.33333333333333" style="357" customWidth="1"/>
    <col min="4372" max="4374" width="7.55833333333333" style="357" customWidth="1"/>
    <col min="4375" max="4375" width="2.775" style="357" customWidth="1"/>
    <col min="4376" max="4376" width="5.33333333333333" style="357" customWidth="1"/>
    <col min="4377" max="4379" width="7.55833333333333" style="357" customWidth="1"/>
    <col min="4380" max="4380" width="4.775" style="357" customWidth="1"/>
    <col min="4381" max="4381" width="6.775" style="357" customWidth="1"/>
    <col min="4382" max="4382" width="7.33333333333333" style="357" customWidth="1"/>
    <col min="4383" max="4383" width="0.558333333333333" style="357" customWidth="1"/>
    <col min="4384" max="4384" width="8.88333333333333" style="357"/>
    <col min="4385" max="4385" width="16.4416666666667" style="357" customWidth="1"/>
    <col min="4386" max="4386" width="12.1083333333333" style="357" customWidth="1"/>
    <col min="4387" max="4387" width="13.3333333333333" style="357" customWidth="1"/>
    <col min="4388" max="4388" width="9.775" style="357" customWidth="1"/>
    <col min="4389" max="4389" width="11.5583333333333" style="357" customWidth="1"/>
    <col min="4390" max="4390" width="11" style="357" customWidth="1"/>
    <col min="4391" max="4391" width="13.8833333333333" style="357" customWidth="1"/>
    <col min="4392" max="4392" width="12.775" style="357" customWidth="1"/>
    <col min="4393" max="4393" width="8.88333333333333" style="357"/>
    <col min="4394" max="4394" width="10" style="357" customWidth="1"/>
    <col min="4395" max="4395" width="10.6666666666667" style="357" customWidth="1"/>
    <col min="4396" max="4621" width="8.88333333333333" style="357"/>
    <col min="4622" max="4622" width="5" style="357" customWidth="1"/>
    <col min="4623" max="4623" width="5.10833333333333" style="357" customWidth="1"/>
    <col min="4624" max="4625" width="2.775" style="357" customWidth="1"/>
    <col min="4626" max="4627" width="5.33333333333333" style="357" customWidth="1"/>
    <col min="4628" max="4630" width="7.55833333333333" style="357" customWidth="1"/>
    <col min="4631" max="4631" width="2.775" style="357" customWidth="1"/>
    <col min="4632" max="4632" width="5.33333333333333" style="357" customWidth="1"/>
    <col min="4633" max="4635" width="7.55833333333333" style="357" customWidth="1"/>
    <col min="4636" max="4636" width="4.775" style="357" customWidth="1"/>
    <col min="4637" max="4637" width="6.775" style="357" customWidth="1"/>
    <col min="4638" max="4638" width="7.33333333333333" style="357" customWidth="1"/>
    <col min="4639" max="4639" width="0.558333333333333" style="357" customWidth="1"/>
    <col min="4640" max="4640" width="8.88333333333333" style="357"/>
    <col min="4641" max="4641" width="16.4416666666667" style="357" customWidth="1"/>
    <col min="4642" max="4642" width="12.1083333333333" style="357" customWidth="1"/>
    <col min="4643" max="4643" width="13.3333333333333" style="357" customWidth="1"/>
    <col min="4644" max="4644" width="9.775" style="357" customWidth="1"/>
    <col min="4645" max="4645" width="11.5583333333333" style="357" customWidth="1"/>
    <col min="4646" max="4646" width="11" style="357" customWidth="1"/>
    <col min="4647" max="4647" width="13.8833333333333" style="357" customWidth="1"/>
    <col min="4648" max="4648" width="12.775" style="357" customWidth="1"/>
    <col min="4649" max="4649" width="8.88333333333333" style="357"/>
    <col min="4650" max="4650" width="10" style="357" customWidth="1"/>
    <col min="4651" max="4651" width="10.6666666666667" style="357" customWidth="1"/>
    <col min="4652" max="4877" width="8.88333333333333" style="357"/>
    <col min="4878" max="4878" width="5" style="357" customWidth="1"/>
    <col min="4879" max="4879" width="5.10833333333333" style="357" customWidth="1"/>
    <col min="4880" max="4881" width="2.775" style="357" customWidth="1"/>
    <col min="4882" max="4883" width="5.33333333333333" style="357" customWidth="1"/>
    <col min="4884" max="4886" width="7.55833333333333" style="357" customWidth="1"/>
    <col min="4887" max="4887" width="2.775" style="357" customWidth="1"/>
    <col min="4888" max="4888" width="5.33333333333333" style="357" customWidth="1"/>
    <col min="4889" max="4891" width="7.55833333333333" style="357" customWidth="1"/>
    <col min="4892" max="4892" width="4.775" style="357" customWidth="1"/>
    <col min="4893" max="4893" width="6.775" style="357" customWidth="1"/>
    <col min="4894" max="4894" width="7.33333333333333" style="357" customWidth="1"/>
    <col min="4895" max="4895" width="0.558333333333333" style="357" customWidth="1"/>
    <col min="4896" max="4896" width="8.88333333333333" style="357"/>
    <col min="4897" max="4897" width="16.4416666666667" style="357" customWidth="1"/>
    <col min="4898" max="4898" width="12.1083333333333" style="357" customWidth="1"/>
    <col min="4899" max="4899" width="13.3333333333333" style="357" customWidth="1"/>
    <col min="4900" max="4900" width="9.775" style="357" customWidth="1"/>
    <col min="4901" max="4901" width="11.5583333333333" style="357" customWidth="1"/>
    <col min="4902" max="4902" width="11" style="357" customWidth="1"/>
    <col min="4903" max="4903" width="13.8833333333333" style="357" customWidth="1"/>
    <col min="4904" max="4904" width="12.775" style="357" customWidth="1"/>
    <col min="4905" max="4905" width="8.88333333333333" style="357"/>
    <col min="4906" max="4906" width="10" style="357" customWidth="1"/>
    <col min="4907" max="4907" width="10.6666666666667" style="357" customWidth="1"/>
    <col min="4908" max="5133" width="8.88333333333333" style="357"/>
    <col min="5134" max="5134" width="5" style="357" customWidth="1"/>
    <col min="5135" max="5135" width="5.10833333333333" style="357" customWidth="1"/>
    <col min="5136" max="5137" width="2.775" style="357" customWidth="1"/>
    <col min="5138" max="5139" width="5.33333333333333" style="357" customWidth="1"/>
    <col min="5140" max="5142" width="7.55833333333333" style="357" customWidth="1"/>
    <col min="5143" max="5143" width="2.775" style="357" customWidth="1"/>
    <col min="5144" max="5144" width="5.33333333333333" style="357" customWidth="1"/>
    <col min="5145" max="5147" width="7.55833333333333" style="357" customWidth="1"/>
    <col min="5148" max="5148" width="4.775" style="357" customWidth="1"/>
    <col min="5149" max="5149" width="6.775" style="357" customWidth="1"/>
    <col min="5150" max="5150" width="7.33333333333333" style="357" customWidth="1"/>
    <col min="5151" max="5151" width="0.558333333333333" style="357" customWidth="1"/>
    <col min="5152" max="5152" width="8.88333333333333" style="357"/>
    <col min="5153" max="5153" width="16.4416666666667" style="357" customWidth="1"/>
    <col min="5154" max="5154" width="12.1083333333333" style="357" customWidth="1"/>
    <col min="5155" max="5155" width="13.3333333333333" style="357" customWidth="1"/>
    <col min="5156" max="5156" width="9.775" style="357" customWidth="1"/>
    <col min="5157" max="5157" width="11.5583333333333" style="357" customWidth="1"/>
    <col min="5158" max="5158" width="11" style="357" customWidth="1"/>
    <col min="5159" max="5159" width="13.8833333333333" style="357" customWidth="1"/>
    <col min="5160" max="5160" width="12.775" style="357" customWidth="1"/>
    <col min="5161" max="5161" width="8.88333333333333" style="357"/>
    <col min="5162" max="5162" width="10" style="357" customWidth="1"/>
    <col min="5163" max="5163" width="10.6666666666667" style="357" customWidth="1"/>
    <col min="5164" max="5389" width="8.88333333333333" style="357"/>
    <col min="5390" max="5390" width="5" style="357" customWidth="1"/>
    <col min="5391" max="5391" width="5.10833333333333" style="357" customWidth="1"/>
    <col min="5392" max="5393" width="2.775" style="357" customWidth="1"/>
    <col min="5394" max="5395" width="5.33333333333333" style="357" customWidth="1"/>
    <col min="5396" max="5398" width="7.55833333333333" style="357" customWidth="1"/>
    <col min="5399" max="5399" width="2.775" style="357" customWidth="1"/>
    <col min="5400" max="5400" width="5.33333333333333" style="357" customWidth="1"/>
    <col min="5401" max="5403" width="7.55833333333333" style="357" customWidth="1"/>
    <col min="5404" max="5404" width="4.775" style="357" customWidth="1"/>
    <col min="5405" max="5405" width="6.775" style="357" customWidth="1"/>
    <col min="5406" max="5406" width="7.33333333333333" style="357" customWidth="1"/>
    <col min="5407" max="5407" width="0.558333333333333" style="357" customWidth="1"/>
    <col min="5408" max="5408" width="8.88333333333333" style="357"/>
    <col min="5409" max="5409" width="16.4416666666667" style="357" customWidth="1"/>
    <col min="5410" max="5410" width="12.1083333333333" style="357" customWidth="1"/>
    <col min="5411" max="5411" width="13.3333333333333" style="357" customWidth="1"/>
    <col min="5412" max="5412" width="9.775" style="357" customWidth="1"/>
    <col min="5413" max="5413" width="11.5583333333333" style="357" customWidth="1"/>
    <col min="5414" max="5414" width="11" style="357" customWidth="1"/>
    <col min="5415" max="5415" width="13.8833333333333" style="357" customWidth="1"/>
    <col min="5416" max="5416" width="12.775" style="357" customWidth="1"/>
    <col min="5417" max="5417" width="8.88333333333333" style="357"/>
    <col min="5418" max="5418" width="10" style="357" customWidth="1"/>
    <col min="5419" max="5419" width="10.6666666666667" style="357" customWidth="1"/>
    <col min="5420" max="5645" width="8.88333333333333" style="357"/>
    <col min="5646" max="5646" width="5" style="357" customWidth="1"/>
    <col min="5647" max="5647" width="5.10833333333333" style="357" customWidth="1"/>
    <col min="5648" max="5649" width="2.775" style="357" customWidth="1"/>
    <col min="5650" max="5651" width="5.33333333333333" style="357" customWidth="1"/>
    <col min="5652" max="5654" width="7.55833333333333" style="357" customWidth="1"/>
    <col min="5655" max="5655" width="2.775" style="357" customWidth="1"/>
    <col min="5656" max="5656" width="5.33333333333333" style="357" customWidth="1"/>
    <col min="5657" max="5659" width="7.55833333333333" style="357" customWidth="1"/>
    <col min="5660" max="5660" width="4.775" style="357" customWidth="1"/>
    <col min="5661" max="5661" width="6.775" style="357" customWidth="1"/>
    <col min="5662" max="5662" width="7.33333333333333" style="357" customWidth="1"/>
    <col min="5663" max="5663" width="0.558333333333333" style="357" customWidth="1"/>
    <col min="5664" max="5664" width="8.88333333333333" style="357"/>
    <col min="5665" max="5665" width="16.4416666666667" style="357" customWidth="1"/>
    <col min="5666" max="5666" width="12.1083333333333" style="357" customWidth="1"/>
    <col min="5667" max="5667" width="13.3333333333333" style="357" customWidth="1"/>
    <col min="5668" max="5668" width="9.775" style="357" customWidth="1"/>
    <col min="5669" max="5669" width="11.5583333333333" style="357" customWidth="1"/>
    <col min="5670" max="5670" width="11" style="357" customWidth="1"/>
    <col min="5671" max="5671" width="13.8833333333333" style="357" customWidth="1"/>
    <col min="5672" max="5672" width="12.775" style="357" customWidth="1"/>
    <col min="5673" max="5673" width="8.88333333333333" style="357"/>
    <col min="5674" max="5674" width="10" style="357" customWidth="1"/>
    <col min="5675" max="5675" width="10.6666666666667" style="357" customWidth="1"/>
    <col min="5676" max="5901" width="8.88333333333333" style="357"/>
    <col min="5902" max="5902" width="5" style="357" customWidth="1"/>
    <col min="5903" max="5903" width="5.10833333333333" style="357" customWidth="1"/>
    <col min="5904" max="5905" width="2.775" style="357" customWidth="1"/>
    <col min="5906" max="5907" width="5.33333333333333" style="357" customWidth="1"/>
    <col min="5908" max="5910" width="7.55833333333333" style="357" customWidth="1"/>
    <col min="5911" max="5911" width="2.775" style="357" customWidth="1"/>
    <col min="5912" max="5912" width="5.33333333333333" style="357" customWidth="1"/>
    <col min="5913" max="5915" width="7.55833333333333" style="357" customWidth="1"/>
    <col min="5916" max="5916" width="4.775" style="357" customWidth="1"/>
    <col min="5917" max="5917" width="6.775" style="357" customWidth="1"/>
    <col min="5918" max="5918" width="7.33333333333333" style="357" customWidth="1"/>
    <col min="5919" max="5919" width="0.558333333333333" style="357" customWidth="1"/>
    <col min="5920" max="5920" width="8.88333333333333" style="357"/>
    <col min="5921" max="5921" width="16.4416666666667" style="357" customWidth="1"/>
    <col min="5922" max="5922" width="12.1083333333333" style="357" customWidth="1"/>
    <col min="5923" max="5923" width="13.3333333333333" style="357" customWidth="1"/>
    <col min="5924" max="5924" width="9.775" style="357" customWidth="1"/>
    <col min="5925" max="5925" width="11.5583333333333" style="357" customWidth="1"/>
    <col min="5926" max="5926" width="11" style="357" customWidth="1"/>
    <col min="5927" max="5927" width="13.8833333333333" style="357" customWidth="1"/>
    <col min="5928" max="5928" width="12.775" style="357" customWidth="1"/>
    <col min="5929" max="5929" width="8.88333333333333" style="357"/>
    <col min="5930" max="5930" width="10" style="357" customWidth="1"/>
    <col min="5931" max="5931" width="10.6666666666667" style="357" customWidth="1"/>
    <col min="5932" max="6157" width="8.88333333333333" style="357"/>
    <col min="6158" max="6158" width="5" style="357" customWidth="1"/>
    <col min="6159" max="6159" width="5.10833333333333" style="357" customWidth="1"/>
    <col min="6160" max="6161" width="2.775" style="357" customWidth="1"/>
    <col min="6162" max="6163" width="5.33333333333333" style="357" customWidth="1"/>
    <col min="6164" max="6166" width="7.55833333333333" style="357" customWidth="1"/>
    <col min="6167" max="6167" width="2.775" style="357" customWidth="1"/>
    <col min="6168" max="6168" width="5.33333333333333" style="357" customWidth="1"/>
    <col min="6169" max="6171" width="7.55833333333333" style="357" customWidth="1"/>
    <col min="6172" max="6172" width="4.775" style="357" customWidth="1"/>
    <col min="6173" max="6173" width="6.775" style="357" customWidth="1"/>
    <col min="6174" max="6174" width="7.33333333333333" style="357" customWidth="1"/>
    <col min="6175" max="6175" width="0.558333333333333" style="357" customWidth="1"/>
    <col min="6176" max="6176" width="8.88333333333333" style="357"/>
    <col min="6177" max="6177" width="16.4416666666667" style="357" customWidth="1"/>
    <col min="6178" max="6178" width="12.1083333333333" style="357" customWidth="1"/>
    <col min="6179" max="6179" width="13.3333333333333" style="357" customWidth="1"/>
    <col min="6180" max="6180" width="9.775" style="357" customWidth="1"/>
    <col min="6181" max="6181" width="11.5583333333333" style="357" customWidth="1"/>
    <col min="6182" max="6182" width="11" style="357" customWidth="1"/>
    <col min="6183" max="6183" width="13.8833333333333" style="357" customWidth="1"/>
    <col min="6184" max="6184" width="12.775" style="357" customWidth="1"/>
    <col min="6185" max="6185" width="8.88333333333333" style="357"/>
    <col min="6186" max="6186" width="10" style="357" customWidth="1"/>
    <col min="6187" max="6187" width="10.6666666666667" style="357" customWidth="1"/>
    <col min="6188" max="6413" width="8.88333333333333" style="357"/>
    <col min="6414" max="6414" width="5" style="357" customWidth="1"/>
    <col min="6415" max="6415" width="5.10833333333333" style="357" customWidth="1"/>
    <col min="6416" max="6417" width="2.775" style="357" customWidth="1"/>
    <col min="6418" max="6419" width="5.33333333333333" style="357" customWidth="1"/>
    <col min="6420" max="6422" width="7.55833333333333" style="357" customWidth="1"/>
    <col min="6423" max="6423" width="2.775" style="357" customWidth="1"/>
    <col min="6424" max="6424" width="5.33333333333333" style="357" customWidth="1"/>
    <col min="6425" max="6427" width="7.55833333333333" style="357" customWidth="1"/>
    <col min="6428" max="6428" width="4.775" style="357" customWidth="1"/>
    <col min="6429" max="6429" width="6.775" style="357" customWidth="1"/>
    <col min="6430" max="6430" width="7.33333333333333" style="357" customWidth="1"/>
    <col min="6431" max="6431" width="0.558333333333333" style="357" customWidth="1"/>
    <col min="6432" max="6432" width="8.88333333333333" style="357"/>
    <col min="6433" max="6433" width="16.4416666666667" style="357" customWidth="1"/>
    <col min="6434" max="6434" width="12.1083333333333" style="357" customWidth="1"/>
    <col min="6435" max="6435" width="13.3333333333333" style="357" customWidth="1"/>
    <col min="6436" max="6436" width="9.775" style="357" customWidth="1"/>
    <col min="6437" max="6437" width="11.5583333333333" style="357" customWidth="1"/>
    <col min="6438" max="6438" width="11" style="357" customWidth="1"/>
    <col min="6439" max="6439" width="13.8833333333333" style="357" customWidth="1"/>
    <col min="6440" max="6440" width="12.775" style="357" customWidth="1"/>
    <col min="6441" max="6441" width="8.88333333333333" style="357"/>
    <col min="6442" max="6442" width="10" style="357" customWidth="1"/>
    <col min="6443" max="6443" width="10.6666666666667" style="357" customWidth="1"/>
    <col min="6444" max="6669" width="8.88333333333333" style="357"/>
    <col min="6670" max="6670" width="5" style="357" customWidth="1"/>
    <col min="6671" max="6671" width="5.10833333333333" style="357" customWidth="1"/>
    <col min="6672" max="6673" width="2.775" style="357" customWidth="1"/>
    <col min="6674" max="6675" width="5.33333333333333" style="357" customWidth="1"/>
    <col min="6676" max="6678" width="7.55833333333333" style="357" customWidth="1"/>
    <col min="6679" max="6679" width="2.775" style="357" customWidth="1"/>
    <col min="6680" max="6680" width="5.33333333333333" style="357" customWidth="1"/>
    <col min="6681" max="6683" width="7.55833333333333" style="357" customWidth="1"/>
    <col min="6684" max="6684" width="4.775" style="357" customWidth="1"/>
    <col min="6685" max="6685" width="6.775" style="357" customWidth="1"/>
    <col min="6686" max="6686" width="7.33333333333333" style="357" customWidth="1"/>
    <col min="6687" max="6687" width="0.558333333333333" style="357" customWidth="1"/>
    <col min="6688" max="6688" width="8.88333333333333" style="357"/>
    <col min="6689" max="6689" width="16.4416666666667" style="357" customWidth="1"/>
    <col min="6690" max="6690" width="12.1083333333333" style="357" customWidth="1"/>
    <col min="6691" max="6691" width="13.3333333333333" style="357" customWidth="1"/>
    <col min="6692" max="6692" width="9.775" style="357" customWidth="1"/>
    <col min="6693" max="6693" width="11.5583333333333" style="357" customWidth="1"/>
    <col min="6694" max="6694" width="11" style="357" customWidth="1"/>
    <col min="6695" max="6695" width="13.8833333333333" style="357" customWidth="1"/>
    <col min="6696" max="6696" width="12.775" style="357" customWidth="1"/>
    <col min="6697" max="6697" width="8.88333333333333" style="357"/>
    <col min="6698" max="6698" width="10" style="357" customWidth="1"/>
    <col min="6699" max="6699" width="10.6666666666667" style="357" customWidth="1"/>
    <col min="6700" max="6925" width="8.88333333333333" style="357"/>
    <col min="6926" max="6926" width="5" style="357" customWidth="1"/>
    <col min="6927" max="6927" width="5.10833333333333" style="357" customWidth="1"/>
    <col min="6928" max="6929" width="2.775" style="357" customWidth="1"/>
    <col min="6930" max="6931" width="5.33333333333333" style="357" customWidth="1"/>
    <col min="6932" max="6934" width="7.55833333333333" style="357" customWidth="1"/>
    <col min="6935" max="6935" width="2.775" style="357" customWidth="1"/>
    <col min="6936" max="6936" width="5.33333333333333" style="357" customWidth="1"/>
    <col min="6937" max="6939" width="7.55833333333333" style="357" customWidth="1"/>
    <col min="6940" max="6940" width="4.775" style="357" customWidth="1"/>
    <col min="6941" max="6941" width="6.775" style="357" customWidth="1"/>
    <col min="6942" max="6942" width="7.33333333333333" style="357" customWidth="1"/>
    <col min="6943" max="6943" width="0.558333333333333" style="357" customWidth="1"/>
    <col min="6944" max="6944" width="8.88333333333333" style="357"/>
    <col min="6945" max="6945" width="16.4416666666667" style="357" customWidth="1"/>
    <col min="6946" max="6946" width="12.1083333333333" style="357" customWidth="1"/>
    <col min="6947" max="6947" width="13.3333333333333" style="357" customWidth="1"/>
    <col min="6948" max="6948" width="9.775" style="357" customWidth="1"/>
    <col min="6949" max="6949" width="11.5583333333333" style="357" customWidth="1"/>
    <col min="6950" max="6950" width="11" style="357" customWidth="1"/>
    <col min="6951" max="6951" width="13.8833333333333" style="357" customWidth="1"/>
    <col min="6952" max="6952" width="12.775" style="357" customWidth="1"/>
    <col min="6953" max="6953" width="8.88333333333333" style="357"/>
    <col min="6954" max="6954" width="10" style="357" customWidth="1"/>
    <col min="6955" max="6955" width="10.6666666666667" style="357" customWidth="1"/>
    <col min="6956" max="7181" width="8.88333333333333" style="357"/>
    <col min="7182" max="7182" width="5" style="357" customWidth="1"/>
    <col min="7183" max="7183" width="5.10833333333333" style="357" customWidth="1"/>
    <col min="7184" max="7185" width="2.775" style="357" customWidth="1"/>
    <col min="7186" max="7187" width="5.33333333333333" style="357" customWidth="1"/>
    <col min="7188" max="7190" width="7.55833333333333" style="357" customWidth="1"/>
    <col min="7191" max="7191" width="2.775" style="357" customWidth="1"/>
    <col min="7192" max="7192" width="5.33333333333333" style="357" customWidth="1"/>
    <col min="7193" max="7195" width="7.55833333333333" style="357" customWidth="1"/>
    <col min="7196" max="7196" width="4.775" style="357" customWidth="1"/>
    <col min="7197" max="7197" width="6.775" style="357" customWidth="1"/>
    <col min="7198" max="7198" width="7.33333333333333" style="357" customWidth="1"/>
    <col min="7199" max="7199" width="0.558333333333333" style="357" customWidth="1"/>
    <col min="7200" max="7200" width="8.88333333333333" style="357"/>
    <col min="7201" max="7201" width="16.4416666666667" style="357" customWidth="1"/>
    <col min="7202" max="7202" width="12.1083333333333" style="357" customWidth="1"/>
    <col min="7203" max="7203" width="13.3333333333333" style="357" customWidth="1"/>
    <col min="7204" max="7204" width="9.775" style="357" customWidth="1"/>
    <col min="7205" max="7205" width="11.5583333333333" style="357" customWidth="1"/>
    <col min="7206" max="7206" width="11" style="357" customWidth="1"/>
    <col min="7207" max="7207" width="13.8833333333333" style="357" customWidth="1"/>
    <col min="7208" max="7208" width="12.775" style="357" customWidth="1"/>
    <col min="7209" max="7209" width="8.88333333333333" style="357"/>
    <col min="7210" max="7210" width="10" style="357" customWidth="1"/>
    <col min="7211" max="7211" width="10.6666666666667" style="357" customWidth="1"/>
    <col min="7212" max="7437" width="8.88333333333333" style="357"/>
    <col min="7438" max="7438" width="5" style="357" customWidth="1"/>
    <col min="7439" max="7439" width="5.10833333333333" style="357" customWidth="1"/>
    <col min="7440" max="7441" width="2.775" style="357" customWidth="1"/>
    <col min="7442" max="7443" width="5.33333333333333" style="357" customWidth="1"/>
    <col min="7444" max="7446" width="7.55833333333333" style="357" customWidth="1"/>
    <col min="7447" max="7447" width="2.775" style="357" customWidth="1"/>
    <col min="7448" max="7448" width="5.33333333333333" style="357" customWidth="1"/>
    <col min="7449" max="7451" width="7.55833333333333" style="357" customWidth="1"/>
    <col min="7452" max="7452" width="4.775" style="357" customWidth="1"/>
    <col min="7453" max="7453" width="6.775" style="357" customWidth="1"/>
    <col min="7454" max="7454" width="7.33333333333333" style="357" customWidth="1"/>
    <col min="7455" max="7455" width="0.558333333333333" style="357" customWidth="1"/>
    <col min="7456" max="7456" width="8.88333333333333" style="357"/>
    <col min="7457" max="7457" width="16.4416666666667" style="357" customWidth="1"/>
    <col min="7458" max="7458" width="12.1083333333333" style="357" customWidth="1"/>
    <col min="7459" max="7459" width="13.3333333333333" style="357" customWidth="1"/>
    <col min="7460" max="7460" width="9.775" style="357" customWidth="1"/>
    <col min="7461" max="7461" width="11.5583333333333" style="357" customWidth="1"/>
    <col min="7462" max="7462" width="11" style="357" customWidth="1"/>
    <col min="7463" max="7463" width="13.8833333333333" style="357" customWidth="1"/>
    <col min="7464" max="7464" width="12.775" style="357" customWidth="1"/>
    <col min="7465" max="7465" width="8.88333333333333" style="357"/>
    <col min="7466" max="7466" width="10" style="357" customWidth="1"/>
    <col min="7467" max="7467" width="10.6666666666667" style="357" customWidth="1"/>
    <col min="7468" max="7693" width="8.88333333333333" style="357"/>
    <col min="7694" max="7694" width="5" style="357" customWidth="1"/>
    <col min="7695" max="7695" width="5.10833333333333" style="357" customWidth="1"/>
    <col min="7696" max="7697" width="2.775" style="357" customWidth="1"/>
    <col min="7698" max="7699" width="5.33333333333333" style="357" customWidth="1"/>
    <col min="7700" max="7702" width="7.55833333333333" style="357" customWidth="1"/>
    <col min="7703" max="7703" width="2.775" style="357" customWidth="1"/>
    <col min="7704" max="7704" width="5.33333333333333" style="357" customWidth="1"/>
    <col min="7705" max="7707" width="7.55833333333333" style="357" customWidth="1"/>
    <col min="7708" max="7708" width="4.775" style="357" customWidth="1"/>
    <col min="7709" max="7709" width="6.775" style="357" customWidth="1"/>
    <col min="7710" max="7710" width="7.33333333333333" style="357" customWidth="1"/>
    <col min="7711" max="7711" width="0.558333333333333" style="357" customWidth="1"/>
    <col min="7712" max="7712" width="8.88333333333333" style="357"/>
    <col min="7713" max="7713" width="16.4416666666667" style="357" customWidth="1"/>
    <col min="7714" max="7714" width="12.1083333333333" style="357" customWidth="1"/>
    <col min="7715" max="7715" width="13.3333333333333" style="357" customWidth="1"/>
    <col min="7716" max="7716" width="9.775" style="357" customWidth="1"/>
    <col min="7717" max="7717" width="11.5583333333333" style="357" customWidth="1"/>
    <col min="7718" max="7718" width="11" style="357" customWidth="1"/>
    <col min="7719" max="7719" width="13.8833333333333" style="357" customWidth="1"/>
    <col min="7720" max="7720" width="12.775" style="357" customWidth="1"/>
    <col min="7721" max="7721" width="8.88333333333333" style="357"/>
    <col min="7722" max="7722" width="10" style="357" customWidth="1"/>
    <col min="7723" max="7723" width="10.6666666666667" style="357" customWidth="1"/>
    <col min="7724" max="7949" width="8.88333333333333" style="357"/>
    <col min="7950" max="7950" width="5" style="357" customWidth="1"/>
    <col min="7951" max="7951" width="5.10833333333333" style="357" customWidth="1"/>
    <col min="7952" max="7953" width="2.775" style="357" customWidth="1"/>
    <col min="7954" max="7955" width="5.33333333333333" style="357" customWidth="1"/>
    <col min="7956" max="7958" width="7.55833333333333" style="357" customWidth="1"/>
    <col min="7959" max="7959" width="2.775" style="357" customWidth="1"/>
    <col min="7960" max="7960" width="5.33333333333333" style="357" customWidth="1"/>
    <col min="7961" max="7963" width="7.55833333333333" style="357" customWidth="1"/>
    <col min="7964" max="7964" width="4.775" style="357" customWidth="1"/>
    <col min="7965" max="7965" width="6.775" style="357" customWidth="1"/>
    <col min="7966" max="7966" width="7.33333333333333" style="357" customWidth="1"/>
    <col min="7967" max="7967" width="0.558333333333333" style="357" customWidth="1"/>
    <col min="7968" max="7968" width="8.88333333333333" style="357"/>
    <col min="7969" max="7969" width="16.4416666666667" style="357" customWidth="1"/>
    <col min="7970" max="7970" width="12.1083333333333" style="357" customWidth="1"/>
    <col min="7971" max="7971" width="13.3333333333333" style="357" customWidth="1"/>
    <col min="7972" max="7972" width="9.775" style="357" customWidth="1"/>
    <col min="7973" max="7973" width="11.5583333333333" style="357" customWidth="1"/>
    <col min="7974" max="7974" width="11" style="357" customWidth="1"/>
    <col min="7975" max="7975" width="13.8833333333333" style="357" customWidth="1"/>
    <col min="7976" max="7976" width="12.775" style="357" customWidth="1"/>
    <col min="7977" max="7977" width="8.88333333333333" style="357"/>
    <col min="7978" max="7978" width="10" style="357" customWidth="1"/>
    <col min="7979" max="7979" width="10.6666666666667" style="357" customWidth="1"/>
    <col min="7980" max="8205" width="8.88333333333333" style="357"/>
    <col min="8206" max="8206" width="5" style="357" customWidth="1"/>
    <col min="8207" max="8207" width="5.10833333333333" style="357" customWidth="1"/>
    <col min="8208" max="8209" width="2.775" style="357" customWidth="1"/>
    <col min="8210" max="8211" width="5.33333333333333" style="357" customWidth="1"/>
    <col min="8212" max="8214" width="7.55833333333333" style="357" customWidth="1"/>
    <col min="8215" max="8215" width="2.775" style="357" customWidth="1"/>
    <col min="8216" max="8216" width="5.33333333333333" style="357" customWidth="1"/>
    <col min="8217" max="8219" width="7.55833333333333" style="357" customWidth="1"/>
    <col min="8220" max="8220" width="4.775" style="357" customWidth="1"/>
    <col min="8221" max="8221" width="6.775" style="357" customWidth="1"/>
    <col min="8222" max="8222" width="7.33333333333333" style="357" customWidth="1"/>
    <col min="8223" max="8223" width="0.558333333333333" style="357" customWidth="1"/>
    <col min="8224" max="8224" width="8.88333333333333" style="357"/>
    <col min="8225" max="8225" width="16.4416666666667" style="357" customWidth="1"/>
    <col min="8226" max="8226" width="12.1083333333333" style="357" customWidth="1"/>
    <col min="8227" max="8227" width="13.3333333333333" style="357" customWidth="1"/>
    <col min="8228" max="8228" width="9.775" style="357" customWidth="1"/>
    <col min="8229" max="8229" width="11.5583333333333" style="357" customWidth="1"/>
    <col min="8230" max="8230" width="11" style="357" customWidth="1"/>
    <col min="8231" max="8231" width="13.8833333333333" style="357" customWidth="1"/>
    <col min="8232" max="8232" width="12.775" style="357" customWidth="1"/>
    <col min="8233" max="8233" width="8.88333333333333" style="357"/>
    <col min="8234" max="8234" width="10" style="357" customWidth="1"/>
    <col min="8235" max="8235" width="10.6666666666667" style="357" customWidth="1"/>
    <col min="8236" max="8461" width="8.88333333333333" style="357"/>
    <col min="8462" max="8462" width="5" style="357" customWidth="1"/>
    <col min="8463" max="8463" width="5.10833333333333" style="357" customWidth="1"/>
    <col min="8464" max="8465" width="2.775" style="357" customWidth="1"/>
    <col min="8466" max="8467" width="5.33333333333333" style="357" customWidth="1"/>
    <col min="8468" max="8470" width="7.55833333333333" style="357" customWidth="1"/>
    <col min="8471" max="8471" width="2.775" style="357" customWidth="1"/>
    <col min="8472" max="8472" width="5.33333333333333" style="357" customWidth="1"/>
    <col min="8473" max="8475" width="7.55833333333333" style="357" customWidth="1"/>
    <col min="8476" max="8476" width="4.775" style="357" customWidth="1"/>
    <col min="8477" max="8477" width="6.775" style="357" customWidth="1"/>
    <col min="8478" max="8478" width="7.33333333333333" style="357" customWidth="1"/>
    <col min="8479" max="8479" width="0.558333333333333" style="357" customWidth="1"/>
    <col min="8480" max="8480" width="8.88333333333333" style="357"/>
    <col min="8481" max="8481" width="16.4416666666667" style="357" customWidth="1"/>
    <col min="8482" max="8482" width="12.1083333333333" style="357" customWidth="1"/>
    <col min="8483" max="8483" width="13.3333333333333" style="357" customWidth="1"/>
    <col min="8484" max="8484" width="9.775" style="357" customWidth="1"/>
    <col min="8485" max="8485" width="11.5583333333333" style="357" customWidth="1"/>
    <col min="8486" max="8486" width="11" style="357" customWidth="1"/>
    <col min="8487" max="8487" width="13.8833333333333" style="357" customWidth="1"/>
    <col min="8488" max="8488" width="12.775" style="357" customWidth="1"/>
    <col min="8489" max="8489" width="8.88333333333333" style="357"/>
    <col min="8490" max="8490" width="10" style="357" customWidth="1"/>
    <col min="8491" max="8491" width="10.6666666666667" style="357" customWidth="1"/>
    <col min="8492" max="8717" width="8.88333333333333" style="357"/>
    <col min="8718" max="8718" width="5" style="357" customWidth="1"/>
    <col min="8719" max="8719" width="5.10833333333333" style="357" customWidth="1"/>
    <col min="8720" max="8721" width="2.775" style="357" customWidth="1"/>
    <col min="8722" max="8723" width="5.33333333333333" style="357" customWidth="1"/>
    <col min="8724" max="8726" width="7.55833333333333" style="357" customWidth="1"/>
    <col min="8727" max="8727" width="2.775" style="357" customWidth="1"/>
    <col min="8728" max="8728" width="5.33333333333333" style="357" customWidth="1"/>
    <col min="8729" max="8731" width="7.55833333333333" style="357" customWidth="1"/>
    <col min="8732" max="8732" width="4.775" style="357" customWidth="1"/>
    <col min="8733" max="8733" width="6.775" style="357" customWidth="1"/>
    <col min="8734" max="8734" width="7.33333333333333" style="357" customWidth="1"/>
    <col min="8735" max="8735" width="0.558333333333333" style="357" customWidth="1"/>
    <col min="8736" max="8736" width="8.88333333333333" style="357"/>
    <col min="8737" max="8737" width="16.4416666666667" style="357" customWidth="1"/>
    <col min="8738" max="8738" width="12.1083333333333" style="357" customWidth="1"/>
    <col min="8739" max="8739" width="13.3333333333333" style="357" customWidth="1"/>
    <col min="8740" max="8740" width="9.775" style="357" customWidth="1"/>
    <col min="8741" max="8741" width="11.5583333333333" style="357" customWidth="1"/>
    <col min="8742" max="8742" width="11" style="357" customWidth="1"/>
    <col min="8743" max="8743" width="13.8833333333333" style="357" customWidth="1"/>
    <col min="8744" max="8744" width="12.775" style="357" customWidth="1"/>
    <col min="8745" max="8745" width="8.88333333333333" style="357"/>
    <col min="8746" max="8746" width="10" style="357" customWidth="1"/>
    <col min="8747" max="8747" width="10.6666666666667" style="357" customWidth="1"/>
    <col min="8748" max="8973" width="8.88333333333333" style="357"/>
    <col min="8974" max="8974" width="5" style="357" customWidth="1"/>
    <col min="8975" max="8975" width="5.10833333333333" style="357" customWidth="1"/>
    <col min="8976" max="8977" width="2.775" style="357" customWidth="1"/>
    <col min="8978" max="8979" width="5.33333333333333" style="357" customWidth="1"/>
    <col min="8980" max="8982" width="7.55833333333333" style="357" customWidth="1"/>
    <col min="8983" max="8983" width="2.775" style="357" customWidth="1"/>
    <col min="8984" max="8984" width="5.33333333333333" style="357" customWidth="1"/>
    <col min="8985" max="8987" width="7.55833333333333" style="357" customWidth="1"/>
    <col min="8988" max="8988" width="4.775" style="357" customWidth="1"/>
    <col min="8989" max="8989" width="6.775" style="357" customWidth="1"/>
    <col min="8990" max="8990" width="7.33333333333333" style="357" customWidth="1"/>
    <col min="8991" max="8991" width="0.558333333333333" style="357" customWidth="1"/>
    <col min="8992" max="8992" width="8.88333333333333" style="357"/>
    <col min="8993" max="8993" width="16.4416666666667" style="357" customWidth="1"/>
    <col min="8994" max="8994" width="12.1083333333333" style="357" customWidth="1"/>
    <col min="8995" max="8995" width="13.3333333333333" style="357" customWidth="1"/>
    <col min="8996" max="8996" width="9.775" style="357" customWidth="1"/>
    <col min="8997" max="8997" width="11.5583333333333" style="357" customWidth="1"/>
    <col min="8998" max="8998" width="11" style="357" customWidth="1"/>
    <col min="8999" max="8999" width="13.8833333333333" style="357" customWidth="1"/>
    <col min="9000" max="9000" width="12.775" style="357" customWidth="1"/>
    <col min="9001" max="9001" width="8.88333333333333" style="357"/>
    <col min="9002" max="9002" width="10" style="357" customWidth="1"/>
    <col min="9003" max="9003" width="10.6666666666667" style="357" customWidth="1"/>
    <col min="9004" max="9229" width="8.88333333333333" style="357"/>
    <col min="9230" max="9230" width="5" style="357" customWidth="1"/>
    <col min="9231" max="9231" width="5.10833333333333" style="357" customWidth="1"/>
    <col min="9232" max="9233" width="2.775" style="357" customWidth="1"/>
    <col min="9234" max="9235" width="5.33333333333333" style="357" customWidth="1"/>
    <col min="9236" max="9238" width="7.55833333333333" style="357" customWidth="1"/>
    <col min="9239" max="9239" width="2.775" style="357" customWidth="1"/>
    <col min="9240" max="9240" width="5.33333333333333" style="357" customWidth="1"/>
    <col min="9241" max="9243" width="7.55833333333333" style="357" customWidth="1"/>
    <col min="9244" max="9244" width="4.775" style="357" customWidth="1"/>
    <col min="9245" max="9245" width="6.775" style="357" customWidth="1"/>
    <col min="9246" max="9246" width="7.33333333333333" style="357" customWidth="1"/>
    <col min="9247" max="9247" width="0.558333333333333" style="357" customWidth="1"/>
    <col min="9248" max="9248" width="8.88333333333333" style="357"/>
    <col min="9249" max="9249" width="16.4416666666667" style="357" customWidth="1"/>
    <col min="9250" max="9250" width="12.1083333333333" style="357" customWidth="1"/>
    <col min="9251" max="9251" width="13.3333333333333" style="357" customWidth="1"/>
    <col min="9252" max="9252" width="9.775" style="357" customWidth="1"/>
    <col min="9253" max="9253" width="11.5583333333333" style="357" customWidth="1"/>
    <col min="9254" max="9254" width="11" style="357" customWidth="1"/>
    <col min="9255" max="9255" width="13.8833333333333" style="357" customWidth="1"/>
    <col min="9256" max="9256" width="12.775" style="357" customWidth="1"/>
    <col min="9257" max="9257" width="8.88333333333333" style="357"/>
    <col min="9258" max="9258" width="10" style="357" customWidth="1"/>
    <col min="9259" max="9259" width="10.6666666666667" style="357" customWidth="1"/>
    <col min="9260" max="9485" width="8.88333333333333" style="357"/>
    <col min="9486" max="9486" width="5" style="357" customWidth="1"/>
    <col min="9487" max="9487" width="5.10833333333333" style="357" customWidth="1"/>
    <col min="9488" max="9489" width="2.775" style="357" customWidth="1"/>
    <col min="9490" max="9491" width="5.33333333333333" style="357" customWidth="1"/>
    <col min="9492" max="9494" width="7.55833333333333" style="357" customWidth="1"/>
    <col min="9495" max="9495" width="2.775" style="357" customWidth="1"/>
    <col min="9496" max="9496" width="5.33333333333333" style="357" customWidth="1"/>
    <col min="9497" max="9499" width="7.55833333333333" style="357" customWidth="1"/>
    <col min="9500" max="9500" width="4.775" style="357" customWidth="1"/>
    <col min="9501" max="9501" width="6.775" style="357" customWidth="1"/>
    <col min="9502" max="9502" width="7.33333333333333" style="357" customWidth="1"/>
    <col min="9503" max="9503" width="0.558333333333333" style="357" customWidth="1"/>
    <col min="9504" max="9504" width="8.88333333333333" style="357"/>
    <col min="9505" max="9505" width="16.4416666666667" style="357" customWidth="1"/>
    <col min="9506" max="9506" width="12.1083333333333" style="357" customWidth="1"/>
    <col min="9507" max="9507" width="13.3333333333333" style="357" customWidth="1"/>
    <col min="9508" max="9508" width="9.775" style="357" customWidth="1"/>
    <col min="9509" max="9509" width="11.5583333333333" style="357" customWidth="1"/>
    <col min="9510" max="9510" width="11" style="357" customWidth="1"/>
    <col min="9511" max="9511" width="13.8833333333333" style="357" customWidth="1"/>
    <col min="9512" max="9512" width="12.775" style="357" customWidth="1"/>
    <col min="9513" max="9513" width="8.88333333333333" style="357"/>
    <col min="9514" max="9514" width="10" style="357" customWidth="1"/>
    <col min="9515" max="9515" width="10.6666666666667" style="357" customWidth="1"/>
    <col min="9516" max="9741" width="8.88333333333333" style="357"/>
    <col min="9742" max="9742" width="5" style="357" customWidth="1"/>
    <col min="9743" max="9743" width="5.10833333333333" style="357" customWidth="1"/>
    <col min="9744" max="9745" width="2.775" style="357" customWidth="1"/>
    <col min="9746" max="9747" width="5.33333333333333" style="357" customWidth="1"/>
    <col min="9748" max="9750" width="7.55833333333333" style="357" customWidth="1"/>
    <col min="9751" max="9751" width="2.775" style="357" customWidth="1"/>
    <col min="9752" max="9752" width="5.33333333333333" style="357" customWidth="1"/>
    <col min="9753" max="9755" width="7.55833333333333" style="357" customWidth="1"/>
    <col min="9756" max="9756" width="4.775" style="357" customWidth="1"/>
    <col min="9757" max="9757" width="6.775" style="357" customWidth="1"/>
    <col min="9758" max="9758" width="7.33333333333333" style="357" customWidth="1"/>
    <col min="9759" max="9759" width="0.558333333333333" style="357" customWidth="1"/>
    <col min="9760" max="9760" width="8.88333333333333" style="357"/>
    <col min="9761" max="9761" width="16.4416666666667" style="357" customWidth="1"/>
    <col min="9762" max="9762" width="12.1083333333333" style="357" customWidth="1"/>
    <col min="9763" max="9763" width="13.3333333333333" style="357" customWidth="1"/>
    <col min="9764" max="9764" width="9.775" style="357" customWidth="1"/>
    <col min="9765" max="9765" width="11.5583333333333" style="357" customWidth="1"/>
    <col min="9766" max="9766" width="11" style="357" customWidth="1"/>
    <col min="9767" max="9767" width="13.8833333333333" style="357" customWidth="1"/>
    <col min="9768" max="9768" width="12.775" style="357" customWidth="1"/>
    <col min="9769" max="9769" width="8.88333333333333" style="357"/>
    <col min="9770" max="9770" width="10" style="357" customWidth="1"/>
    <col min="9771" max="9771" width="10.6666666666667" style="357" customWidth="1"/>
    <col min="9772" max="9997" width="8.88333333333333" style="357"/>
    <col min="9998" max="9998" width="5" style="357" customWidth="1"/>
    <col min="9999" max="9999" width="5.10833333333333" style="357" customWidth="1"/>
    <col min="10000" max="10001" width="2.775" style="357" customWidth="1"/>
    <col min="10002" max="10003" width="5.33333333333333" style="357" customWidth="1"/>
    <col min="10004" max="10006" width="7.55833333333333" style="357" customWidth="1"/>
    <col min="10007" max="10007" width="2.775" style="357" customWidth="1"/>
    <col min="10008" max="10008" width="5.33333333333333" style="357" customWidth="1"/>
    <col min="10009" max="10011" width="7.55833333333333" style="357" customWidth="1"/>
    <col min="10012" max="10012" width="4.775" style="357" customWidth="1"/>
    <col min="10013" max="10013" width="6.775" style="357" customWidth="1"/>
    <col min="10014" max="10014" width="7.33333333333333" style="357" customWidth="1"/>
    <col min="10015" max="10015" width="0.558333333333333" style="357" customWidth="1"/>
    <col min="10016" max="10016" width="8.88333333333333" style="357"/>
    <col min="10017" max="10017" width="16.4416666666667" style="357" customWidth="1"/>
    <col min="10018" max="10018" width="12.1083333333333" style="357" customWidth="1"/>
    <col min="10019" max="10019" width="13.3333333333333" style="357" customWidth="1"/>
    <col min="10020" max="10020" width="9.775" style="357" customWidth="1"/>
    <col min="10021" max="10021" width="11.5583333333333" style="357" customWidth="1"/>
    <col min="10022" max="10022" width="11" style="357" customWidth="1"/>
    <col min="10023" max="10023" width="13.8833333333333" style="357" customWidth="1"/>
    <col min="10024" max="10024" width="12.775" style="357" customWidth="1"/>
    <col min="10025" max="10025" width="8.88333333333333" style="357"/>
    <col min="10026" max="10026" width="10" style="357" customWidth="1"/>
    <col min="10027" max="10027" width="10.6666666666667" style="357" customWidth="1"/>
    <col min="10028" max="10253" width="8.88333333333333" style="357"/>
    <col min="10254" max="10254" width="5" style="357" customWidth="1"/>
    <col min="10255" max="10255" width="5.10833333333333" style="357" customWidth="1"/>
    <col min="10256" max="10257" width="2.775" style="357" customWidth="1"/>
    <col min="10258" max="10259" width="5.33333333333333" style="357" customWidth="1"/>
    <col min="10260" max="10262" width="7.55833333333333" style="357" customWidth="1"/>
    <col min="10263" max="10263" width="2.775" style="357" customWidth="1"/>
    <col min="10264" max="10264" width="5.33333333333333" style="357" customWidth="1"/>
    <col min="10265" max="10267" width="7.55833333333333" style="357" customWidth="1"/>
    <col min="10268" max="10268" width="4.775" style="357" customWidth="1"/>
    <col min="10269" max="10269" width="6.775" style="357" customWidth="1"/>
    <col min="10270" max="10270" width="7.33333333333333" style="357" customWidth="1"/>
    <col min="10271" max="10271" width="0.558333333333333" style="357" customWidth="1"/>
    <col min="10272" max="10272" width="8.88333333333333" style="357"/>
    <col min="10273" max="10273" width="16.4416666666667" style="357" customWidth="1"/>
    <col min="10274" max="10274" width="12.1083333333333" style="357" customWidth="1"/>
    <col min="10275" max="10275" width="13.3333333333333" style="357" customWidth="1"/>
    <col min="10276" max="10276" width="9.775" style="357" customWidth="1"/>
    <col min="10277" max="10277" width="11.5583333333333" style="357" customWidth="1"/>
    <col min="10278" max="10278" width="11" style="357" customWidth="1"/>
    <col min="10279" max="10279" width="13.8833333333333" style="357" customWidth="1"/>
    <col min="10280" max="10280" width="12.775" style="357" customWidth="1"/>
    <col min="10281" max="10281" width="8.88333333333333" style="357"/>
    <col min="10282" max="10282" width="10" style="357" customWidth="1"/>
    <col min="10283" max="10283" width="10.6666666666667" style="357" customWidth="1"/>
    <col min="10284" max="10509" width="8.88333333333333" style="357"/>
    <col min="10510" max="10510" width="5" style="357" customWidth="1"/>
    <col min="10511" max="10511" width="5.10833333333333" style="357" customWidth="1"/>
    <col min="10512" max="10513" width="2.775" style="357" customWidth="1"/>
    <col min="10514" max="10515" width="5.33333333333333" style="357" customWidth="1"/>
    <col min="10516" max="10518" width="7.55833333333333" style="357" customWidth="1"/>
    <col min="10519" max="10519" width="2.775" style="357" customWidth="1"/>
    <col min="10520" max="10520" width="5.33333333333333" style="357" customWidth="1"/>
    <col min="10521" max="10523" width="7.55833333333333" style="357" customWidth="1"/>
    <col min="10524" max="10524" width="4.775" style="357" customWidth="1"/>
    <col min="10525" max="10525" width="6.775" style="357" customWidth="1"/>
    <col min="10526" max="10526" width="7.33333333333333" style="357" customWidth="1"/>
    <col min="10527" max="10527" width="0.558333333333333" style="357" customWidth="1"/>
    <col min="10528" max="10528" width="8.88333333333333" style="357"/>
    <col min="10529" max="10529" width="16.4416666666667" style="357" customWidth="1"/>
    <col min="10530" max="10530" width="12.1083333333333" style="357" customWidth="1"/>
    <col min="10531" max="10531" width="13.3333333333333" style="357" customWidth="1"/>
    <col min="10532" max="10532" width="9.775" style="357" customWidth="1"/>
    <col min="10533" max="10533" width="11.5583333333333" style="357" customWidth="1"/>
    <col min="10534" max="10534" width="11" style="357" customWidth="1"/>
    <col min="10535" max="10535" width="13.8833333333333" style="357" customWidth="1"/>
    <col min="10536" max="10536" width="12.775" style="357" customWidth="1"/>
    <col min="10537" max="10537" width="8.88333333333333" style="357"/>
    <col min="10538" max="10538" width="10" style="357" customWidth="1"/>
    <col min="10539" max="10539" width="10.6666666666667" style="357" customWidth="1"/>
    <col min="10540" max="10765" width="8.88333333333333" style="357"/>
    <col min="10766" max="10766" width="5" style="357" customWidth="1"/>
    <col min="10767" max="10767" width="5.10833333333333" style="357" customWidth="1"/>
    <col min="10768" max="10769" width="2.775" style="357" customWidth="1"/>
    <col min="10770" max="10771" width="5.33333333333333" style="357" customWidth="1"/>
    <col min="10772" max="10774" width="7.55833333333333" style="357" customWidth="1"/>
    <col min="10775" max="10775" width="2.775" style="357" customWidth="1"/>
    <col min="10776" max="10776" width="5.33333333333333" style="357" customWidth="1"/>
    <col min="10777" max="10779" width="7.55833333333333" style="357" customWidth="1"/>
    <col min="10780" max="10780" width="4.775" style="357" customWidth="1"/>
    <col min="10781" max="10781" width="6.775" style="357" customWidth="1"/>
    <col min="10782" max="10782" width="7.33333333333333" style="357" customWidth="1"/>
    <col min="10783" max="10783" width="0.558333333333333" style="357" customWidth="1"/>
    <col min="10784" max="10784" width="8.88333333333333" style="357"/>
    <col min="10785" max="10785" width="16.4416666666667" style="357" customWidth="1"/>
    <col min="10786" max="10786" width="12.1083333333333" style="357" customWidth="1"/>
    <col min="10787" max="10787" width="13.3333333333333" style="357" customWidth="1"/>
    <col min="10788" max="10788" width="9.775" style="357" customWidth="1"/>
    <col min="10789" max="10789" width="11.5583333333333" style="357" customWidth="1"/>
    <col min="10790" max="10790" width="11" style="357" customWidth="1"/>
    <col min="10791" max="10791" width="13.8833333333333" style="357" customWidth="1"/>
    <col min="10792" max="10792" width="12.775" style="357" customWidth="1"/>
    <col min="10793" max="10793" width="8.88333333333333" style="357"/>
    <col min="10794" max="10794" width="10" style="357" customWidth="1"/>
    <col min="10795" max="10795" width="10.6666666666667" style="357" customWidth="1"/>
    <col min="10796" max="11021" width="8.88333333333333" style="357"/>
    <col min="11022" max="11022" width="5" style="357" customWidth="1"/>
    <col min="11023" max="11023" width="5.10833333333333" style="357" customWidth="1"/>
    <col min="11024" max="11025" width="2.775" style="357" customWidth="1"/>
    <col min="11026" max="11027" width="5.33333333333333" style="357" customWidth="1"/>
    <col min="11028" max="11030" width="7.55833333333333" style="357" customWidth="1"/>
    <col min="11031" max="11031" width="2.775" style="357" customWidth="1"/>
    <col min="11032" max="11032" width="5.33333333333333" style="357" customWidth="1"/>
    <col min="11033" max="11035" width="7.55833333333333" style="357" customWidth="1"/>
    <col min="11036" max="11036" width="4.775" style="357" customWidth="1"/>
    <col min="11037" max="11037" width="6.775" style="357" customWidth="1"/>
    <col min="11038" max="11038" width="7.33333333333333" style="357" customWidth="1"/>
    <col min="11039" max="11039" width="0.558333333333333" style="357" customWidth="1"/>
    <col min="11040" max="11040" width="8.88333333333333" style="357"/>
    <col min="11041" max="11041" width="16.4416666666667" style="357" customWidth="1"/>
    <col min="11042" max="11042" width="12.1083333333333" style="357" customWidth="1"/>
    <col min="11043" max="11043" width="13.3333333333333" style="357" customWidth="1"/>
    <col min="11044" max="11044" width="9.775" style="357" customWidth="1"/>
    <col min="11045" max="11045" width="11.5583333333333" style="357" customWidth="1"/>
    <col min="11046" max="11046" width="11" style="357" customWidth="1"/>
    <col min="11047" max="11047" width="13.8833333333333" style="357" customWidth="1"/>
    <col min="11048" max="11048" width="12.775" style="357" customWidth="1"/>
    <col min="11049" max="11049" width="8.88333333333333" style="357"/>
    <col min="11050" max="11050" width="10" style="357" customWidth="1"/>
    <col min="11051" max="11051" width="10.6666666666667" style="357" customWidth="1"/>
    <col min="11052" max="11277" width="8.88333333333333" style="357"/>
    <col min="11278" max="11278" width="5" style="357" customWidth="1"/>
    <col min="11279" max="11279" width="5.10833333333333" style="357" customWidth="1"/>
    <col min="11280" max="11281" width="2.775" style="357" customWidth="1"/>
    <col min="11282" max="11283" width="5.33333333333333" style="357" customWidth="1"/>
    <col min="11284" max="11286" width="7.55833333333333" style="357" customWidth="1"/>
    <col min="11287" max="11287" width="2.775" style="357" customWidth="1"/>
    <col min="11288" max="11288" width="5.33333333333333" style="357" customWidth="1"/>
    <col min="11289" max="11291" width="7.55833333333333" style="357" customWidth="1"/>
    <col min="11292" max="11292" width="4.775" style="357" customWidth="1"/>
    <col min="11293" max="11293" width="6.775" style="357" customWidth="1"/>
    <col min="11294" max="11294" width="7.33333333333333" style="357" customWidth="1"/>
    <col min="11295" max="11295" width="0.558333333333333" style="357" customWidth="1"/>
    <col min="11296" max="11296" width="8.88333333333333" style="357"/>
    <col min="11297" max="11297" width="16.4416666666667" style="357" customWidth="1"/>
    <col min="11298" max="11298" width="12.1083333333333" style="357" customWidth="1"/>
    <col min="11299" max="11299" width="13.3333333333333" style="357" customWidth="1"/>
    <col min="11300" max="11300" width="9.775" style="357" customWidth="1"/>
    <col min="11301" max="11301" width="11.5583333333333" style="357" customWidth="1"/>
    <col min="11302" max="11302" width="11" style="357" customWidth="1"/>
    <col min="11303" max="11303" width="13.8833333333333" style="357" customWidth="1"/>
    <col min="11304" max="11304" width="12.775" style="357" customWidth="1"/>
    <col min="11305" max="11305" width="8.88333333333333" style="357"/>
    <col min="11306" max="11306" width="10" style="357" customWidth="1"/>
    <col min="11307" max="11307" width="10.6666666666667" style="357" customWidth="1"/>
    <col min="11308" max="11533" width="8.88333333333333" style="357"/>
    <col min="11534" max="11534" width="5" style="357" customWidth="1"/>
    <col min="11535" max="11535" width="5.10833333333333" style="357" customWidth="1"/>
    <col min="11536" max="11537" width="2.775" style="357" customWidth="1"/>
    <col min="11538" max="11539" width="5.33333333333333" style="357" customWidth="1"/>
    <col min="11540" max="11542" width="7.55833333333333" style="357" customWidth="1"/>
    <col min="11543" max="11543" width="2.775" style="357" customWidth="1"/>
    <col min="11544" max="11544" width="5.33333333333333" style="357" customWidth="1"/>
    <col min="11545" max="11547" width="7.55833333333333" style="357" customWidth="1"/>
    <col min="11548" max="11548" width="4.775" style="357" customWidth="1"/>
    <col min="11549" max="11549" width="6.775" style="357" customWidth="1"/>
    <col min="11550" max="11550" width="7.33333333333333" style="357" customWidth="1"/>
    <col min="11551" max="11551" width="0.558333333333333" style="357" customWidth="1"/>
    <col min="11552" max="11552" width="8.88333333333333" style="357"/>
    <col min="11553" max="11553" width="16.4416666666667" style="357" customWidth="1"/>
    <col min="11554" max="11554" width="12.1083333333333" style="357" customWidth="1"/>
    <col min="11555" max="11555" width="13.3333333333333" style="357" customWidth="1"/>
    <col min="11556" max="11556" width="9.775" style="357" customWidth="1"/>
    <col min="11557" max="11557" width="11.5583333333333" style="357" customWidth="1"/>
    <col min="11558" max="11558" width="11" style="357" customWidth="1"/>
    <col min="11559" max="11559" width="13.8833333333333" style="357" customWidth="1"/>
    <col min="11560" max="11560" width="12.775" style="357" customWidth="1"/>
    <col min="11561" max="11561" width="8.88333333333333" style="357"/>
    <col min="11562" max="11562" width="10" style="357" customWidth="1"/>
    <col min="11563" max="11563" width="10.6666666666667" style="357" customWidth="1"/>
    <col min="11564" max="11789" width="8.88333333333333" style="357"/>
    <col min="11790" max="11790" width="5" style="357" customWidth="1"/>
    <col min="11791" max="11791" width="5.10833333333333" style="357" customWidth="1"/>
    <col min="11792" max="11793" width="2.775" style="357" customWidth="1"/>
    <col min="11794" max="11795" width="5.33333333333333" style="357" customWidth="1"/>
    <col min="11796" max="11798" width="7.55833333333333" style="357" customWidth="1"/>
    <col min="11799" max="11799" width="2.775" style="357" customWidth="1"/>
    <col min="11800" max="11800" width="5.33333333333333" style="357" customWidth="1"/>
    <col min="11801" max="11803" width="7.55833333333333" style="357" customWidth="1"/>
    <col min="11804" max="11804" width="4.775" style="357" customWidth="1"/>
    <col min="11805" max="11805" width="6.775" style="357" customWidth="1"/>
    <col min="11806" max="11806" width="7.33333333333333" style="357" customWidth="1"/>
    <col min="11807" max="11807" width="0.558333333333333" style="357" customWidth="1"/>
    <col min="11808" max="11808" width="8.88333333333333" style="357"/>
    <col min="11809" max="11809" width="16.4416666666667" style="357" customWidth="1"/>
    <col min="11810" max="11810" width="12.1083333333333" style="357" customWidth="1"/>
    <col min="11811" max="11811" width="13.3333333333333" style="357" customWidth="1"/>
    <col min="11812" max="11812" width="9.775" style="357" customWidth="1"/>
    <col min="11813" max="11813" width="11.5583333333333" style="357" customWidth="1"/>
    <col min="11814" max="11814" width="11" style="357" customWidth="1"/>
    <col min="11815" max="11815" width="13.8833333333333" style="357" customWidth="1"/>
    <col min="11816" max="11816" width="12.775" style="357" customWidth="1"/>
    <col min="11817" max="11817" width="8.88333333333333" style="357"/>
    <col min="11818" max="11818" width="10" style="357" customWidth="1"/>
    <col min="11819" max="11819" width="10.6666666666667" style="357" customWidth="1"/>
    <col min="11820" max="12045" width="8.88333333333333" style="357"/>
    <col min="12046" max="12046" width="5" style="357" customWidth="1"/>
    <col min="12047" max="12047" width="5.10833333333333" style="357" customWidth="1"/>
    <col min="12048" max="12049" width="2.775" style="357" customWidth="1"/>
    <col min="12050" max="12051" width="5.33333333333333" style="357" customWidth="1"/>
    <col min="12052" max="12054" width="7.55833333333333" style="357" customWidth="1"/>
    <col min="12055" max="12055" width="2.775" style="357" customWidth="1"/>
    <col min="12056" max="12056" width="5.33333333333333" style="357" customWidth="1"/>
    <col min="12057" max="12059" width="7.55833333333333" style="357" customWidth="1"/>
    <col min="12060" max="12060" width="4.775" style="357" customWidth="1"/>
    <col min="12061" max="12061" width="6.775" style="357" customWidth="1"/>
    <col min="12062" max="12062" width="7.33333333333333" style="357" customWidth="1"/>
    <col min="12063" max="12063" width="0.558333333333333" style="357" customWidth="1"/>
    <col min="12064" max="12064" width="8.88333333333333" style="357"/>
    <col min="12065" max="12065" width="16.4416666666667" style="357" customWidth="1"/>
    <col min="12066" max="12066" width="12.1083333333333" style="357" customWidth="1"/>
    <col min="12067" max="12067" width="13.3333333333333" style="357" customWidth="1"/>
    <col min="12068" max="12068" width="9.775" style="357" customWidth="1"/>
    <col min="12069" max="12069" width="11.5583333333333" style="357" customWidth="1"/>
    <col min="12070" max="12070" width="11" style="357" customWidth="1"/>
    <col min="12071" max="12071" width="13.8833333333333" style="357" customWidth="1"/>
    <col min="12072" max="12072" width="12.775" style="357" customWidth="1"/>
    <col min="12073" max="12073" width="8.88333333333333" style="357"/>
    <col min="12074" max="12074" width="10" style="357" customWidth="1"/>
    <col min="12075" max="12075" width="10.6666666666667" style="357" customWidth="1"/>
    <col min="12076" max="12301" width="8.88333333333333" style="357"/>
    <col min="12302" max="12302" width="5" style="357" customWidth="1"/>
    <col min="12303" max="12303" width="5.10833333333333" style="357" customWidth="1"/>
    <col min="12304" max="12305" width="2.775" style="357" customWidth="1"/>
    <col min="12306" max="12307" width="5.33333333333333" style="357" customWidth="1"/>
    <col min="12308" max="12310" width="7.55833333333333" style="357" customWidth="1"/>
    <col min="12311" max="12311" width="2.775" style="357" customWidth="1"/>
    <col min="12312" max="12312" width="5.33333333333333" style="357" customWidth="1"/>
    <col min="12313" max="12315" width="7.55833333333333" style="357" customWidth="1"/>
    <col min="12316" max="12316" width="4.775" style="357" customWidth="1"/>
    <col min="12317" max="12317" width="6.775" style="357" customWidth="1"/>
    <col min="12318" max="12318" width="7.33333333333333" style="357" customWidth="1"/>
    <col min="12319" max="12319" width="0.558333333333333" style="357" customWidth="1"/>
    <col min="12320" max="12320" width="8.88333333333333" style="357"/>
    <col min="12321" max="12321" width="16.4416666666667" style="357" customWidth="1"/>
    <col min="12322" max="12322" width="12.1083333333333" style="357" customWidth="1"/>
    <col min="12323" max="12323" width="13.3333333333333" style="357" customWidth="1"/>
    <col min="12324" max="12324" width="9.775" style="357" customWidth="1"/>
    <col min="12325" max="12325" width="11.5583333333333" style="357" customWidth="1"/>
    <col min="12326" max="12326" width="11" style="357" customWidth="1"/>
    <col min="12327" max="12327" width="13.8833333333333" style="357" customWidth="1"/>
    <col min="12328" max="12328" width="12.775" style="357" customWidth="1"/>
    <col min="12329" max="12329" width="8.88333333333333" style="357"/>
    <col min="12330" max="12330" width="10" style="357" customWidth="1"/>
    <col min="12331" max="12331" width="10.6666666666667" style="357" customWidth="1"/>
    <col min="12332" max="12557" width="8.88333333333333" style="357"/>
    <col min="12558" max="12558" width="5" style="357" customWidth="1"/>
    <col min="12559" max="12559" width="5.10833333333333" style="357" customWidth="1"/>
    <col min="12560" max="12561" width="2.775" style="357" customWidth="1"/>
    <col min="12562" max="12563" width="5.33333333333333" style="357" customWidth="1"/>
    <col min="12564" max="12566" width="7.55833333333333" style="357" customWidth="1"/>
    <col min="12567" max="12567" width="2.775" style="357" customWidth="1"/>
    <col min="12568" max="12568" width="5.33333333333333" style="357" customWidth="1"/>
    <col min="12569" max="12571" width="7.55833333333333" style="357" customWidth="1"/>
    <col min="12572" max="12572" width="4.775" style="357" customWidth="1"/>
    <col min="12573" max="12573" width="6.775" style="357" customWidth="1"/>
    <col min="12574" max="12574" width="7.33333333333333" style="357" customWidth="1"/>
    <col min="12575" max="12575" width="0.558333333333333" style="357" customWidth="1"/>
    <col min="12576" max="12576" width="8.88333333333333" style="357"/>
    <col min="12577" max="12577" width="16.4416666666667" style="357" customWidth="1"/>
    <col min="12578" max="12578" width="12.1083333333333" style="357" customWidth="1"/>
    <col min="12579" max="12579" width="13.3333333333333" style="357" customWidth="1"/>
    <col min="12580" max="12580" width="9.775" style="357" customWidth="1"/>
    <col min="12581" max="12581" width="11.5583333333333" style="357" customWidth="1"/>
    <col min="12582" max="12582" width="11" style="357" customWidth="1"/>
    <col min="12583" max="12583" width="13.8833333333333" style="357" customWidth="1"/>
    <col min="12584" max="12584" width="12.775" style="357" customWidth="1"/>
    <col min="12585" max="12585" width="8.88333333333333" style="357"/>
    <col min="12586" max="12586" width="10" style="357" customWidth="1"/>
    <col min="12587" max="12587" width="10.6666666666667" style="357" customWidth="1"/>
    <col min="12588" max="12813" width="8.88333333333333" style="357"/>
    <col min="12814" max="12814" width="5" style="357" customWidth="1"/>
    <col min="12815" max="12815" width="5.10833333333333" style="357" customWidth="1"/>
    <col min="12816" max="12817" width="2.775" style="357" customWidth="1"/>
    <col min="12818" max="12819" width="5.33333333333333" style="357" customWidth="1"/>
    <col min="12820" max="12822" width="7.55833333333333" style="357" customWidth="1"/>
    <col min="12823" max="12823" width="2.775" style="357" customWidth="1"/>
    <col min="12824" max="12824" width="5.33333333333333" style="357" customWidth="1"/>
    <col min="12825" max="12827" width="7.55833333333333" style="357" customWidth="1"/>
    <col min="12828" max="12828" width="4.775" style="357" customWidth="1"/>
    <col min="12829" max="12829" width="6.775" style="357" customWidth="1"/>
    <col min="12830" max="12830" width="7.33333333333333" style="357" customWidth="1"/>
    <col min="12831" max="12831" width="0.558333333333333" style="357" customWidth="1"/>
    <col min="12832" max="12832" width="8.88333333333333" style="357"/>
    <col min="12833" max="12833" width="16.4416666666667" style="357" customWidth="1"/>
    <col min="12834" max="12834" width="12.1083333333333" style="357" customWidth="1"/>
    <col min="12835" max="12835" width="13.3333333333333" style="357" customWidth="1"/>
    <col min="12836" max="12836" width="9.775" style="357" customWidth="1"/>
    <col min="12837" max="12837" width="11.5583333333333" style="357" customWidth="1"/>
    <col min="12838" max="12838" width="11" style="357" customWidth="1"/>
    <col min="12839" max="12839" width="13.8833333333333" style="357" customWidth="1"/>
    <col min="12840" max="12840" width="12.775" style="357" customWidth="1"/>
    <col min="12841" max="12841" width="8.88333333333333" style="357"/>
    <col min="12842" max="12842" width="10" style="357" customWidth="1"/>
    <col min="12843" max="12843" width="10.6666666666667" style="357" customWidth="1"/>
    <col min="12844" max="13069" width="8.88333333333333" style="357"/>
    <col min="13070" max="13070" width="5" style="357" customWidth="1"/>
    <col min="13071" max="13071" width="5.10833333333333" style="357" customWidth="1"/>
    <col min="13072" max="13073" width="2.775" style="357" customWidth="1"/>
    <col min="13074" max="13075" width="5.33333333333333" style="357" customWidth="1"/>
    <col min="13076" max="13078" width="7.55833333333333" style="357" customWidth="1"/>
    <col min="13079" max="13079" width="2.775" style="357" customWidth="1"/>
    <col min="13080" max="13080" width="5.33333333333333" style="357" customWidth="1"/>
    <col min="13081" max="13083" width="7.55833333333333" style="357" customWidth="1"/>
    <col min="13084" max="13084" width="4.775" style="357" customWidth="1"/>
    <col min="13085" max="13085" width="6.775" style="357" customWidth="1"/>
    <col min="13086" max="13086" width="7.33333333333333" style="357" customWidth="1"/>
    <col min="13087" max="13087" width="0.558333333333333" style="357" customWidth="1"/>
    <col min="13088" max="13088" width="8.88333333333333" style="357"/>
    <col min="13089" max="13089" width="16.4416666666667" style="357" customWidth="1"/>
    <col min="13090" max="13090" width="12.1083333333333" style="357" customWidth="1"/>
    <col min="13091" max="13091" width="13.3333333333333" style="357" customWidth="1"/>
    <col min="13092" max="13092" width="9.775" style="357" customWidth="1"/>
    <col min="13093" max="13093" width="11.5583333333333" style="357" customWidth="1"/>
    <col min="13094" max="13094" width="11" style="357" customWidth="1"/>
    <col min="13095" max="13095" width="13.8833333333333" style="357" customWidth="1"/>
    <col min="13096" max="13096" width="12.775" style="357" customWidth="1"/>
    <col min="13097" max="13097" width="8.88333333333333" style="357"/>
    <col min="13098" max="13098" width="10" style="357" customWidth="1"/>
    <col min="13099" max="13099" width="10.6666666666667" style="357" customWidth="1"/>
    <col min="13100" max="13325" width="8.88333333333333" style="357"/>
    <col min="13326" max="13326" width="5" style="357" customWidth="1"/>
    <col min="13327" max="13327" width="5.10833333333333" style="357" customWidth="1"/>
    <col min="13328" max="13329" width="2.775" style="357" customWidth="1"/>
    <col min="13330" max="13331" width="5.33333333333333" style="357" customWidth="1"/>
    <col min="13332" max="13334" width="7.55833333333333" style="357" customWidth="1"/>
    <col min="13335" max="13335" width="2.775" style="357" customWidth="1"/>
    <col min="13336" max="13336" width="5.33333333333333" style="357" customWidth="1"/>
    <col min="13337" max="13339" width="7.55833333333333" style="357" customWidth="1"/>
    <col min="13340" max="13340" width="4.775" style="357" customWidth="1"/>
    <col min="13341" max="13341" width="6.775" style="357" customWidth="1"/>
    <col min="13342" max="13342" width="7.33333333333333" style="357" customWidth="1"/>
    <col min="13343" max="13343" width="0.558333333333333" style="357" customWidth="1"/>
    <col min="13344" max="13344" width="8.88333333333333" style="357"/>
    <col min="13345" max="13345" width="16.4416666666667" style="357" customWidth="1"/>
    <col min="13346" max="13346" width="12.1083333333333" style="357" customWidth="1"/>
    <col min="13347" max="13347" width="13.3333333333333" style="357" customWidth="1"/>
    <col min="13348" max="13348" width="9.775" style="357" customWidth="1"/>
    <col min="13349" max="13349" width="11.5583333333333" style="357" customWidth="1"/>
    <col min="13350" max="13350" width="11" style="357" customWidth="1"/>
    <col min="13351" max="13351" width="13.8833333333333" style="357" customWidth="1"/>
    <col min="13352" max="13352" width="12.775" style="357" customWidth="1"/>
    <col min="13353" max="13353" width="8.88333333333333" style="357"/>
    <col min="13354" max="13354" width="10" style="357" customWidth="1"/>
    <col min="13355" max="13355" width="10.6666666666667" style="357" customWidth="1"/>
    <col min="13356" max="13581" width="8.88333333333333" style="357"/>
    <col min="13582" max="13582" width="5" style="357" customWidth="1"/>
    <col min="13583" max="13583" width="5.10833333333333" style="357" customWidth="1"/>
    <col min="13584" max="13585" width="2.775" style="357" customWidth="1"/>
    <col min="13586" max="13587" width="5.33333333333333" style="357" customWidth="1"/>
    <col min="13588" max="13590" width="7.55833333333333" style="357" customWidth="1"/>
    <col min="13591" max="13591" width="2.775" style="357" customWidth="1"/>
    <col min="13592" max="13592" width="5.33333333333333" style="357" customWidth="1"/>
    <col min="13593" max="13595" width="7.55833333333333" style="357" customWidth="1"/>
    <col min="13596" max="13596" width="4.775" style="357" customWidth="1"/>
    <col min="13597" max="13597" width="6.775" style="357" customWidth="1"/>
    <col min="13598" max="13598" width="7.33333333333333" style="357" customWidth="1"/>
    <col min="13599" max="13599" width="0.558333333333333" style="357" customWidth="1"/>
    <col min="13600" max="13600" width="8.88333333333333" style="357"/>
    <col min="13601" max="13601" width="16.4416666666667" style="357" customWidth="1"/>
    <col min="13602" max="13602" width="12.1083333333333" style="357" customWidth="1"/>
    <col min="13603" max="13603" width="13.3333333333333" style="357" customWidth="1"/>
    <col min="13604" max="13604" width="9.775" style="357" customWidth="1"/>
    <col min="13605" max="13605" width="11.5583333333333" style="357" customWidth="1"/>
    <col min="13606" max="13606" width="11" style="357" customWidth="1"/>
    <col min="13607" max="13607" width="13.8833333333333" style="357" customWidth="1"/>
    <col min="13608" max="13608" width="12.775" style="357" customWidth="1"/>
    <col min="13609" max="13609" width="8.88333333333333" style="357"/>
    <col min="13610" max="13610" width="10" style="357" customWidth="1"/>
    <col min="13611" max="13611" width="10.6666666666667" style="357" customWidth="1"/>
    <col min="13612" max="13837" width="8.88333333333333" style="357"/>
    <col min="13838" max="13838" width="5" style="357" customWidth="1"/>
    <col min="13839" max="13839" width="5.10833333333333" style="357" customWidth="1"/>
    <col min="13840" max="13841" width="2.775" style="357" customWidth="1"/>
    <col min="13842" max="13843" width="5.33333333333333" style="357" customWidth="1"/>
    <col min="13844" max="13846" width="7.55833333333333" style="357" customWidth="1"/>
    <col min="13847" max="13847" width="2.775" style="357" customWidth="1"/>
    <col min="13848" max="13848" width="5.33333333333333" style="357" customWidth="1"/>
    <col min="13849" max="13851" width="7.55833333333333" style="357" customWidth="1"/>
    <col min="13852" max="13852" width="4.775" style="357" customWidth="1"/>
    <col min="13853" max="13853" width="6.775" style="357" customWidth="1"/>
    <col min="13854" max="13854" width="7.33333333333333" style="357" customWidth="1"/>
    <col min="13855" max="13855" width="0.558333333333333" style="357" customWidth="1"/>
    <col min="13856" max="13856" width="8.88333333333333" style="357"/>
    <col min="13857" max="13857" width="16.4416666666667" style="357" customWidth="1"/>
    <col min="13858" max="13858" width="12.1083333333333" style="357" customWidth="1"/>
    <col min="13859" max="13859" width="13.3333333333333" style="357" customWidth="1"/>
    <col min="13860" max="13860" width="9.775" style="357" customWidth="1"/>
    <col min="13861" max="13861" width="11.5583333333333" style="357" customWidth="1"/>
    <col min="13862" max="13862" width="11" style="357" customWidth="1"/>
    <col min="13863" max="13863" width="13.8833333333333" style="357" customWidth="1"/>
    <col min="13864" max="13864" width="12.775" style="357" customWidth="1"/>
    <col min="13865" max="13865" width="8.88333333333333" style="357"/>
    <col min="13866" max="13866" width="10" style="357" customWidth="1"/>
    <col min="13867" max="13867" width="10.6666666666667" style="357" customWidth="1"/>
    <col min="13868" max="14093" width="8.88333333333333" style="357"/>
    <col min="14094" max="14094" width="5" style="357" customWidth="1"/>
    <col min="14095" max="14095" width="5.10833333333333" style="357" customWidth="1"/>
    <col min="14096" max="14097" width="2.775" style="357" customWidth="1"/>
    <col min="14098" max="14099" width="5.33333333333333" style="357" customWidth="1"/>
    <col min="14100" max="14102" width="7.55833333333333" style="357" customWidth="1"/>
    <col min="14103" max="14103" width="2.775" style="357" customWidth="1"/>
    <col min="14104" max="14104" width="5.33333333333333" style="357" customWidth="1"/>
    <col min="14105" max="14107" width="7.55833333333333" style="357" customWidth="1"/>
    <col min="14108" max="14108" width="4.775" style="357" customWidth="1"/>
    <col min="14109" max="14109" width="6.775" style="357" customWidth="1"/>
    <col min="14110" max="14110" width="7.33333333333333" style="357" customWidth="1"/>
    <col min="14111" max="14111" width="0.558333333333333" style="357" customWidth="1"/>
    <col min="14112" max="14112" width="8.88333333333333" style="357"/>
    <col min="14113" max="14113" width="16.4416666666667" style="357" customWidth="1"/>
    <col min="14114" max="14114" width="12.1083333333333" style="357" customWidth="1"/>
    <col min="14115" max="14115" width="13.3333333333333" style="357" customWidth="1"/>
    <col min="14116" max="14116" width="9.775" style="357" customWidth="1"/>
    <col min="14117" max="14117" width="11.5583333333333" style="357" customWidth="1"/>
    <col min="14118" max="14118" width="11" style="357" customWidth="1"/>
    <col min="14119" max="14119" width="13.8833333333333" style="357" customWidth="1"/>
    <col min="14120" max="14120" width="12.775" style="357" customWidth="1"/>
    <col min="14121" max="14121" width="8.88333333333333" style="357"/>
    <col min="14122" max="14122" width="10" style="357" customWidth="1"/>
    <col min="14123" max="14123" width="10.6666666666667" style="357" customWidth="1"/>
    <col min="14124" max="14349" width="8.88333333333333" style="357"/>
    <col min="14350" max="14350" width="5" style="357" customWidth="1"/>
    <col min="14351" max="14351" width="5.10833333333333" style="357" customWidth="1"/>
    <col min="14352" max="14353" width="2.775" style="357" customWidth="1"/>
    <col min="14354" max="14355" width="5.33333333333333" style="357" customWidth="1"/>
    <col min="14356" max="14358" width="7.55833333333333" style="357" customWidth="1"/>
    <col min="14359" max="14359" width="2.775" style="357" customWidth="1"/>
    <col min="14360" max="14360" width="5.33333333333333" style="357" customWidth="1"/>
    <col min="14361" max="14363" width="7.55833333333333" style="357" customWidth="1"/>
    <col min="14364" max="14364" width="4.775" style="357" customWidth="1"/>
    <col min="14365" max="14365" width="6.775" style="357" customWidth="1"/>
    <col min="14366" max="14366" width="7.33333333333333" style="357" customWidth="1"/>
    <col min="14367" max="14367" width="0.558333333333333" style="357" customWidth="1"/>
    <col min="14368" max="14368" width="8.88333333333333" style="357"/>
    <col min="14369" max="14369" width="16.4416666666667" style="357" customWidth="1"/>
    <col min="14370" max="14370" width="12.1083333333333" style="357" customWidth="1"/>
    <col min="14371" max="14371" width="13.3333333333333" style="357" customWidth="1"/>
    <col min="14372" max="14372" width="9.775" style="357" customWidth="1"/>
    <col min="14373" max="14373" width="11.5583333333333" style="357" customWidth="1"/>
    <col min="14374" max="14374" width="11" style="357" customWidth="1"/>
    <col min="14375" max="14375" width="13.8833333333333" style="357" customWidth="1"/>
    <col min="14376" max="14376" width="12.775" style="357" customWidth="1"/>
    <col min="14377" max="14377" width="8.88333333333333" style="357"/>
    <col min="14378" max="14378" width="10" style="357" customWidth="1"/>
    <col min="14379" max="14379" width="10.6666666666667" style="357" customWidth="1"/>
    <col min="14380" max="14605" width="8.88333333333333" style="357"/>
    <col min="14606" max="14606" width="5" style="357" customWidth="1"/>
    <col min="14607" max="14607" width="5.10833333333333" style="357" customWidth="1"/>
    <col min="14608" max="14609" width="2.775" style="357" customWidth="1"/>
    <col min="14610" max="14611" width="5.33333333333333" style="357" customWidth="1"/>
    <col min="14612" max="14614" width="7.55833333333333" style="357" customWidth="1"/>
    <col min="14615" max="14615" width="2.775" style="357" customWidth="1"/>
    <col min="14616" max="14616" width="5.33333333333333" style="357" customWidth="1"/>
    <col min="14617" max="14619" width="7.55833333333333" style="357" customWidth="1"/>
    <col min="14620" max="14620" width="4.775" style="357" customWidth="1"/>
    <col min="14621" max="14621" width="6.775" style="357" customWidth="1"/>
    <col min="14622" max="14622" width="7.33333333333333" style="357" customWidth="1"/>
    <col min="14623" max="14623" width="0.558333333333333" style="357" customWidth="1"/>
    <col min="14624" max="14624" width="8.88333333333333" style="357"/>
    <col min="14625" max="14625" width="16.4416666666667" style="357" customWidth="1"/>
    <col min="14626" max="14626" width="12.1083333333333" style="357" customWidth="1"/>
    <col min="14627" max="14627" width="13.3333333333333" style="357" customWidth="1"/>
    <col min="14628" max="14628" width="9.775" style="357" customWidth="1"/>
    <col min="14629" max="14629" width="11.5583333333333" style="357" customWidth="1"/>
    <col min="14630" max="14630" width="11" style="357" customWidth="1"/>
    <col min="14631" max="14631" width="13.8833333333333" style="357" customWidth="1"/>
    <col min="14632" max="14632" width="12.775" style="357" customWidth="1"/>
    <col min="14633" max="14633" width="8.88333333333333" style="357"/>
    <col min="14634" max="14634" width="10" style="357" customWidth="1"/>
    <col min="14635" max="14635" width="10.6666666666667" style="357" customWidth="1"/>
    <col min="14636" max="14861" width="8.88333333333333" style="357"/>
    <col min="14862" max="14862" width="5" style="357" customWidth="1"/>
    <col min="14863" max="14863" width="5.10833333333333" style="357" customWidth="1"/>
    <col min="14864" max="14865" width="2.775" style="357" customWidth="1"/>
    <col min="14866" max="14867" width="5.33333333333333" style="357" customWidth="1"/>
    <col min="14868" max="14870" width="7.55833333333333" style="357" customWidth="1"/>
    <col min="14871" max="14871" width="2.775" style="357" customWidth="1"/>
    <col min="14872" max="14872" width="5.33333333333333" style="357" customWidth="1"/>
    <col min="14873" max="14875" width="7.55833333333333" style="357" customWidth="1"/>
    <col min="14876" max="14876" width="4.775" style="357" customWidth="1"/>
    <col min="14877" max="14877" width="6.775" style="357" customWidth="1"/>
    <col min="14878" max="14878" width="7.33333333333333" style="357" customWidth="1"/>
    <col min="14879" max="14879" width="0.558333333333333" style="357" customWidth="1"/>
    <col min="14880" max="14880" width="8.88333333333333" style="357"/>
    <col min="14881" max="14881" width="16.4416666666667" style="357" customWidth="1"/>
    <col min="14882" max="14882" width="12.1083333333333" style="357" customWidth="1"/>
    <col min="14883" max="14883" width="13.3333333333333" style="357" customWidth="1"/>
    <col min="14884" max="14884" width="9.775" style="357" customWidth="1"/>
    <col min="14885" max="14885" width="11.5583333333333" style="357" customWidth="1"/>
    <col min="14886" max="14886" width="11" style="357" customWidth="1"/>
    <col min="14887" max="14887" width="13.8833333333333" style="357" customWidth="1"/>
    <col min="14888" max="14888" width="12.775" style="357" customWidth="1"/>
    <col min="14889" max="14889" width="8.88333333333333" style="357"/>
    <col min="14890" max="14890" width="10" style="357" customWidth="1"/>
    <col min="14891" max="14891" width="10.6666666666667" style="357" customWidth="1"/>
    <col min="14892" max="15117" width="8.88333333333333" style="357"/>
    <col min="15118" max="15118" width="5" style="357" customWidth="1"/>
    <col min="15119" max="15119" width="5.10833333333333" style="357" customWidth="1"/>
    <col min="15120" max="15121" width="2.775" style="357" customWidth="1"/>
    <col min="15122" max="15123" width="5.33333333333333" style="357" customWidth="1"/>
    <col min="15124" max="15126" width="7.55833333333333" style="357" customWidth="1"/>
    <col min="15127" max="15127" width="2.775" style="357" customWidth="1"/>
    <col min="15128" max="15128" width="5.33333333333333" style="357" customWidth="1"/>
    <col min="15129" max="15131" width="7.55833333333333" style="357" customWidth="1"/>
    <col min="15132" max="15132" width="4.775" style="357" customWidth="1"/>
    <col min="15133" max="15133" width="6.775" style="357" customWidth="1"/>
    <col min="15134" max="15134" width="7.33333333333333" style="357" customWidth="1"/>
    <col min="15135" max="15135" width="0.558333333333333" style="357" customWidth="1"/>
    <col min="15136" max="15136" width="8.88333333333333" style="357"/>
    <col min="15137" max="15137" width="16.4416666666667" style="357" customWidth="1"/>
    <col min="15138" max="15138" width="12.1083333333333" style="357" customWidth="1"/>
    <col min="15139" max="15139" width="13.3333333333333" style="357" customWidth="1"/>
    <col min="15140" max="15140" width="9.775" style="357" customWidth="1"/>
    <col min="15141" max="15141" width="11.5583333333333" style="357" customWidth="1"/>
    <col min="15142" max="15142" width="11" style="357" customWidth="1"/>
    <col min="15143" max="15143" width="13.8833333333333" style="357" customWidth="1"/>
    <col min="15144" max="15144" width="12.775" style="357" customWidth="1"/>
    <col min="15145" max="15145" width="8.88333333333333" style="357"/>
    <col min="15146" max="15146" width="10" style="357" customWidth="1"/>
    <col min="15147" max="15147" width="10.6666666666667" style="357" customWidth="1"/>
    <col min="15148" max="15373" width="8.88333333333333" style="357"/>
    <col min="15374" max="15374" width="5" style="357" customWidth="1"/>
    <col min="15375" max="15375" width="5.10833333333333" style="357" customWidth="1"/>
    <col min="15376" max="15377" width="2.775" style="357" customWidth="1"/>
    <col min="15378" max="15379" width="5.33333333333333" style="357" customWidth="1"/>
    <col min="15380" max="15382" width="7.55833333333333" style="357" customWidth="1"/>
    <col min="15383" max="15383" width="2.775" style="357" customWidth="1"/>
    <col min="15384" max="15384" width="5.33333333333333" style="357" customWidth="1"/>
    <col min="15385" max="15387" width="7.55833333333333" style="357" customWidth="1"/>
    <col min="15388" max="15388" width="4.775" style="357" customWidth="1"/>
    <col min="15389" max="15389" width="6.775" style="357" customWidth="1"/>
    <col min="15390" max="15390" width="7.33333333333333" style="357" customWidth="1"/>
    <col min="15391" max="15391" width="0.558333333333333" style="357" customWidth="1"/>
    <col min="15392" max="15392" width="8.88333333333333" style="357"/>
    <col min="15393" max="15393" width="16.4416666666667" style="357" customWidth="1"/>
    <col min="15394" max="15394" width="12.1083333333333" style="357" customWidth="1"/>
    <col min="15395" max="15395" width="13.3333333333333" style="357" customWidth="1"/>
    <col min="15396" max="15396" width="9.775" style="357" customWidth="1"/>
    <col min="15397" max="15397" width="11.5583333333333" style="357" customWidth="1"/>
    <col min="15398" max="15398" width="11" style="357" customWidth="1"/>
    <col min="15399" max="15399" width="13.8833333333333" style="357" customWidth="1"/>
    <col min="15400" max="15400" width="12.775" style="357" customWidth="1"/>
    <col min="15401" max="15401" width="8.88333333333333" style="357"/>
    <col min="15402" max="15402" width="10" style="357" customWidth="1"/>
    <col min="15403" max="15403" width="10.6666666666667" style="357" customWidth="1"/>
    <col min="15404" max="15629" width="8.88333333333333" style="357"/>
    <col min="15630" max="15630" width="5" style="357" customWidth="1"/>
    <col min="15631" max="15631" width="5.10833333333333" style="357" customWidth="1"/>
    <col min="15632" max="15633" width="2.775" style="357" customWidth="1"/>
    <col min="15634" max="15635" width="5.33333333333333" style="357" customWidth="1"/>
    <col min="15636" max="15638" width="7.55833333333333" style="357" customWidth="1"/>
    <col min="15639" max="15639" width="2.775" style="357" customWidth="1"/>
    <col min="15640" max="15640" width="5.33333333333333" style="357" customWidth="1"/>
    <col min="15641" max="15643" width="7.55833333333333" style="357" customWidth="1"/>
    <col min="15644" max="15644" width="4.775" style="357" customWidth="1"/>
    <col min="15645" max="15645" width="6.775" style="357" customWidth="1"/>
    <col min="15646" max="15646" width="7.33333333333333" style="357" customWidth="1"/>
    <col min="15647" max="15647" width="0.558333333333333" style="357" customWidth="1"/>
    <col min="15648" max="15648" width="8.88333333333333" style="357"/>
    <col min="15649" max="15649" width="16.4416666666667" style="357" customWidth="1"/>
    <col min="15650" max="15650" width="12.1083333333333" style="357" customWidth="1"/>
    <col min="15651" max="15651" width="13.3333333333333" style="357" customWidth="1"/>
    <col min="15652" max="15652" width="9.775" style="357" customWidth="1"/>
    <col min="15653" max="15653" width="11.5583333333333" style="357" customWidth="1"/>
    <col min="15654" max="15654" width="11" style="357" customWidth="1"/>
    <col min="15655" max="15655" width="13.8833333333333" style="357" customWidth="1"/>
    <col min="15656" max="15656" width="12.775" style="357" customWidth="1"/>
    <col min="15657" max="15657" width="8.88333333333333" style="357"/>
    <col min="15658" max="15658" width="10" style="357" customWidth="1"/>
    <col min="15659" max="15659" width="10.6666666666667" style="357" customWidth="1"/>
    <col min="15660" max="15885" width="8.88333333333333" style="357"/>
    <col min="15886" max="15886" width="5" style="357" customWidth="1"/>
    <col min="15887" max="15887" width="5.10833333333333" style="357" customWidth="1"/>
    <col min="15888" max="15889" width="2.775" style="357" customWidth="1"/>
    <col min="15890" max="15891" width="5.33333333333333" style="357" customWidth="1"/>
    <col min="15892" max="15894" width="7.55833333333333" style="357" customWidth="1"/>
    <col min="15895" max="15895" width="2.775" style="357" customWidth="1"/>
    <col min="15896" max="15896" width="5.33333333333333" style="357" customWidth="1"/>
    <col min="15897" max="15899" width="7.55833333333333" style="357" customWidth="1"/>
    <col min="15900" max="15900" width="4.775" style="357" customWidth="1"/>
    <col min="15901" max="15901" width="6.775" style="357" customWidth="1"/>
    <col min="15902" max="15902" width="7.33333333333333" style="357" customWidth="1"/>
    <col min="15903" max="15903" width="0.558333333333333" style="357" customWidth="1"/>
    <col min="15904" max="15904" width="8.88333333333333" style="357"/>
    <col min="15905" max="15905" width="16.4416666666667" style="357" customWidth="1"/>
    <col min="15906" max="15906" width="12.1083333333333" style="357" customWidth="1"/>
    <col min="15907" max="15907" width="13.3333333333333" style="357" customWidth="1"/>
    <col min="15908" max="15908" width="9.775" style="357" customWidth="1"/>
    <col min="15909" max="15909" width="11.5583333333333" style="357" customWidth="1"/>
    <col min="15910" max="15910" width="11" style="357" customWidth="1"/>
    <col min="15911" max="15911" width="13.8833333333333" style="357" customWidth="1"/>
    <col min="15912" max="15912" width="12.775" style="357" customWidth="1"/>
    <col min="15913" max="15913" width="8.88333333333333" style="357"/>
    <col min="15914" max="15914" width="10" style="357" customWidth="1"/>
    <col min="15915" max="15915" width="10.6666666666667" style="357" customWidth="1"/>
    <col min="15916" max="16141" width="8.88333333333333" style="357"/>
    <col min="16142" max="16142" width="5" style="357" customWidth="1"/>
    <col min="16143" max="16143" width="5.10833333333333" style="357" customWidth="1"/>
    <col min="16144" max="16145" width="2.775" style="357" customWidth="1"/>
    <col min="16146" max="16147" width="5.33333333333333" style="357" customWidth="1"/>
    <col min="16148" max="16150" width="7.55833333333333" style="357" customWidth="1"/>
    <col min="16151" max="16151" width="2.775" style="357" customWidth="1"/>
    <col min="16152" max="16152" width="5.33333333333333" style="357" customWidth="1"/>
    <col min="16153" max="16155" width="7.55833333333333" style="357" customWidth="1"/>
    <col min="16156" max="16156" width="4.775" style="357" customWidth="1"/>
    <col min="16157" max="16157" width="6.775" style="357" customWidth="1"/>
    <col min="16158" max="16158" width="7.33333333333333" style="357" customWidth="1"/>
    <col min="16159" max="16159" width="0.558333333333333" style="357" customWidth="1"/>
    <col min="16160" max="16160" width="8.88333333333333" style="357"/>
    <col min="16161" max="16161" width="16.4416666666667" style="357" customWidth="1"/>
    <col min="16162" max="16162" width="12.1083333333333" style="357" customWidth="1"/>
    <col min="16163" max="16163" width="13.3333333333333" style="357" customWidth="1"/>
    <col min="16164" max="16164" width="9.775" style="357" customWidth="1"/>
    <col min="16165" max="16165" width="11.5583333333333" style="357" customWidth="1"/>
    <col min="16166" max="16166" width="11" style="357" customWidth="1"/>
    <col min="16167" max="16167" width="13.8833333333333" style="357" customWidth="1"/>
    <col min="16168" max="16168" width="12.775" style="357" customWidth="1"/>
    <col min="16169" max="16169" width="8.88333333333333" style="357"/>
    <col min="16170" max="16170" width="10" style="357" customWidth="1"/>
    <col min="16171" max="16171" width="10.6666666666667" style="357" customWidth="1"/>
    <col min="16172" max="16384" width="8.88333333333333" style="357"/>
  </cols>
  <sheetData>
    <row r="1" ht="14.25" hidden="1" spans="8:27">
      <c r="H1" s="1" t="s">
        <v>13</v>
      </c>
      <c r="I1" s="1" t="s">
        <v>14</v>
      </c>
      <c r="J1" s="2"/>
      <c r="K1" t="s">
        <v>2</v>
      </c>
      <c r="L1">
        <v>1</v>
      </c>
      <c r="M1" t="str">
        <f>INDEX(K1:K2,L1,0)</f>
        <v>英文 English</v>
      </c>
      <c r="N1"/>
      <c r="P1" s="358" t="s">
        <v>427</v>
      </c>
      <c r="Q1" s="357" t="s">
        <v>428</v>
      </c>
      <c r="R1" s="357" t="s">
        <v>429</v>
      </c>
      <c r="S1" s="357">
        <f>O102</f>
        <v>0</v>
      </c>
      <c r="Z1" s="357" t="s">
        <v>430</v>
      </c>
      <c r="AA1" s="357" t="s">
        <v>431</v>
      </c>
    </row>
    <row r="2" ht="14.25" hidden="1" spans="8:27">
      <c r="H2" s="3" t="s">
        <v>15</v>
      </c>
      <c r="I2" s="3" t="s">
        <v>16</v>
      </c>
      <c r="J2" s="2" t="str">
        <f t="shared" ref="J2:J33" si="0">IF(Report_Language=$H$1,H2,I2)</f>
        <v>JOB NO.</v>
      </c>
      <c r="K2" t="s">
        <v>1</v>
      </c>
      <c r="L2">
        <v>2</v>
      </c>
      <c r="M2" t="str">
        <f>INDEX(K26:K27,L2,0)</f>
        <v>正式报告 Official Report</v>
      </c>
      <c r="N2"/>
      <c r="P2" s="359"/>
      <c r="Q2" s="357" t="s">
        <v>15</v>
      </c>
      <c r="R2" s="357" t="s">
        <v>432</v>
      </c>
      <c r="S2" s="357" t="str">
        <f t="shared" ref="S2:S30" si="1">IF(Report_Language=$Q$1,Q2,R2)</f>
        <v>JOB NO.</v>
      </c>
      <c r="Z2" s="357" t="s">
        <v>88</v>
      </c>
      <c r="AA2" s="357" t="s">
        <v>433</v>
      </c>
    </row>
    <row r="3" ht="14.25" hidden="1" spans="8:27">
      <c r="H3" s="4" t="s">
        <v>17</v>
      </c>
      <c r="I3" s="4" t="s">
        <v>18</v>
      </c>
      <c r="J3" s="2" t="str">
        <f t="shared" si="0"/>
        <v>DATE OF REPORT</v>
      </c>
      <c r="K3" s="5" t="s">
        <v>88</v>
      </c>
      <c r="L3">
        <v>2</v>
      </c>
      <c r="M3" t="str">
        <f>INDEX(K28:K31,L3,0)</f>
        <v>B--成品油 Refined Products</v>
      </c>
      <c r="N3" t="str">
        <f>LEFT(M3,1)</f>
        <v>B</v>
      </c>
      <c r="P3" s="359"/>
      <c r="Q3" s="357" t="s">
        <v>17</v>
      </c>
      <c r="R3" s="357" t="s">
        <v>434</v>
      </c>
      <c r="S3" s="357" t="str">
        <f t="shared" si="1"/>
        <v>DATE OF REPORT</v>
      </c>
      <c r="Z3" s="357" t="s">
        <v>98</v>
      </c>
      <c r="AA3" s="357" t="s">
        <v>435</v>
      </c>
    </row>
    <row r="4" ht="14.25" hidden="1" spans="8:27">
      <c r="H4" s="3" t="s">
        <v>20</v>
      </c>
      <c r="I4" s="3" t="s">
        <v>21</v>
      </c>
      <c r="J4" s="2" t="str">
        <f t="shared" si="0"/>
        <v>APPLICANT</v>
      </c>
      <c r="K4" s="5" t="s">
        <v>91</v>
      </c>
      <c r="L4">
        <v>14</v>
      </c>
      <c r="M4" t="str">
        <f>INDEX(K3:K20,L4,0)</f>
        <v>T-60B</v>
      </c>
      <c r="N4"/>
      <c r="P4" s="359"/>
      <c r="Q4" s="357" t="s">
        <v>20</v>
      </c>
      <c r="R4" s="357" t="s">
        <v>436</v>
      </c>
      <c r="S4" s="357" t="str">
        <f t="shared" si="1"/>
        <v>APPLICANT</v>
      </c>
      <c r="Z4" s="357" t="s">
        <v>110</v>
      </c>
      <c r="AA4" s="357" t="s">
        <v>437</v>
      </c>
    </row>
    <row r="5" ht="14.25" hidden="1" spans="8:26">
      <c r="H5" s="4" t="s">
        <v>23</v>
      </c>
      <c r="I5" s="4" t="s">
        <v>24</v>
      </c>
      <c r="J5" s="2" t="str">
        <f t="shared" si="0"/>
        <v>CLIENT'S REF. NO.</v>
      </c>
      <c r="K5" s="5" t="s">
        <v>92</v>
      </c>
      <c r="L5">
        <v>3</v>
      </c>
      <c r="M5">
        <f>INDEX(K23:K25,L5,0)</f>
        <v>2004</v>
      </c>
      <c r="N5"/>
      <c r="P5" s="359"/>
      <c r="Q5" s="357" t="s">
        <v>23</v>
      </c>
      <c r="R5" s="357" t="s">
        <v>438</v>
      </c>
      <c r="S5" s="357" t="str">
        <f t="shared" si="1"/>
        <v>CLIENT'S REF. NO.</v>
      </c>
      <c r="Z5" s="375" t="s">
        <v>123</v>
      </c>
    </row>
    <row r="6" ht="14.25" hidden="1" spans="8:26">
      <c r="H6" s="3" t="s">
        <v>25</v>
      </c>
      <c r="I6" s="3" t="s">
        <v>26</v>
      </c>
      <c r="J6" s="2" t="str">
        <f t="shared" si="0"/>
        <v>COMMODITY</v>
      </c>
      <c r="K6" s="5" t="s">
        <v>95</v>
      </c>
      <c r="L6">
        <v>1</v>
      </c>
      <c r="M6" t="str">
        <f>INDEX(K21:K22,L6,0)</f>
        <v>ASTM D1250-1980</v>
      </c>
      <c r="N6"/>
      <c r="P6" s="359"/>
      <c r="Q6" s="357" t="s">
        <v>25</v>
      </c>
      <c r="R6" s="357" t="s">
        <v>439</v>
      </c>
      <c r="S6" s="357" t="str">
        <f t="shared" si="1"/>
        <v>COMMODITY</v>
      </c>
      <c r="Z6" s="375" t="s">
        <v>91</v>
      </c>
    </row>
    <row r="7" ht="14.25" hidden="1" spans="8:26">
      <c r="H7" s="4" t="s">
        <v>28</v>
      </c>
      <c r="I7" s="4" t="s">
        <v>29</v>
      </c>
      <c r="J7" s="2" t="str">
        <f t="shared" si="0"/>
        <v>VESSEL</v>
      </c>
      <c r="K7" s="5" t="s">
        <v>98</v>
      </c>
      <c r="L7">
        <v>1</v>
      </c>
      <c r="M7" t="str">
        <f>IF(L7=1,"Den15",IF(L7=2,"Den20",IF(L7=3,"API","SG")))</f>
        <v>Den15</v>
      </c>
      <c r="N7" t="str">
        <f>INDEX(J20:J23,L7,0)</f>
        <v>Density@15℃ (g/cm³)</v>
      </c>
      <c r="P7" s="359"/>
      <c r="Q7" s="357" t="s">
        <v>28</v>
      </c>
      <c r="R7" s="357" t="s">
        <v>440</v>
      </c>
      <c r="S7" s="357" t="str">
        <f t="shared" si="1"/>
        <v>VESSEL</v>
      </c>
      <c r="Z7" s="375" t="s">
        <v>101</v>
      </c>
    </row>
    <row r="8" ht="14.25" hidden="1" spans="8:26">
      <c r="H8" s="3" t="s">
        <v>31</v>
      </c>
      <c r="I8" s="3" t="s">
        <v>32</v>
      </c>
      <c r="J8" s="2" t="str">
        <f t="shared" si="0"/>
        <v>PORT</v>
      </c>
      <c r="K8" s="5" t="s">
        <v>101</v>
      </c>
      <c r="L8">
        <v>1</v>
      </c>
      <c r="M8" t="str">
        <f>INDEX(S38:S39,L8,0)</f>
        <v>m³</v>
      </c>
      <c r="N8"/>
      <c r="P8" s="359"/>
      <c r="Q8" s="357" t="s">
        <v>31</v>
      </c>
      <c r="R8" s="357" t="s">
        <v>441</v>
      </c>
      <c r="S8" s="357" t="str">
        <f t="shared" si="1"/>
        <v>PORT</v>
      </c>
      <c r="Z8" s="375" t="s">
        <v>113</v>
      </c>
    </row>
    <row r="9" ht="14.25" hidden="1" spans="8:26">
      <c r="H9" s="6" t="s">
        <v>34</v>
      </c>
      <c r="I9" s="4" t="s">
        <v>35</v>
      </c>
      <c r="J9" s="2" t="str">
        <f t="shared" si="0"/>
        <v>TERMINAL</v>
      </c>
      <c r="K9" s="5" t="s">
        <v>104</v>
      </c>
      <c r="L9"/>
      <c r="M9"/>
      <c r="N9"/>
      <c r="P9" s="359"/>
      <c r="Q9" s="357" t="s">
        <v>36</v>
      </c>
      <c r="R9" s="357" t="s">
        <v>442</v>
      </c>
      <c r="S9" s="357" t="str">
        <f t="shared" si="1"/>
        <v>DATE OF INSPECTION</v>
      </c>
      <c r="Z9" s="375" t="s">
        <v>126</v>
      </c>
    </row>
    <row r="10" ht="14.25" hidden="1" spans="8:26">
      <c r="H10" s="4" t="s">
        <v>36</v>
      </c>
      <c r="I10" s="4" t="s">
        <v>37</v>
      </c>
      <c r="J10" s="2" t="str">
        <f t="shared" si="0"/>
        <v>DATE OF INSPECTION</v>
      </c>
      <c r="K10" s="5" t="s">
        <v>107</v>
      </c>
      <c r="L10"/>
      <c r="M10"/>
      <c r="N10"/>
      <c r="P10" s="360" t="s">
        <v>443</v>
      </c>
      <c r="Q10" s="357" t="s">
        <v>355</v>
      </c>
      <c r="R10" s="357" t="s">
        <v>356</v>
      </c>
      <c r="S10" s="357" t="str">
        <f t="shared" si="1"/>
        <v>Master/Chief Officer</v>
      </c>
      <c r="Z10" s="375" t="s">
        <v>95</v>
      </c>
    </row>
    <row r="11" ht="14.25" hidden="1" spans="8:26">
      <c r="H11" s="7" t="s">
        <v>44</v>
      </c>
      <c r="I11" s="2" t="str">
        <f>H11</f>
        <v>SG0020031202-I</v>
      </c>
      <c r="J11" s="2" t="s">
        <v>45</v>
      </c>
      <c r="K11" s="5" t="s">
        <v>110</v>
      </c>
      <c r="L11"/>
      <c r="M11"/>
      <c r="N11"/>
      <c r="P11" s="361"/>
      <c r="Q11" s="357" t="s">
        <v>357</v>
      </c>
      <c r="R11" s="357" t="s">
        <v>358</v>
      </c>
      <c r="S11" s="357" t="str">
        <f t="shared" si="1"/>
        <v>CCIC Surveyor</v>
      </c>
      <c r="Z11" s="375" t="s">
        <v>107</v>
      </c>
    </row>
    <row r="12" ht="14.25" hidden="1" spans="8:26">
      <c r="H12" s="8" t="s">
        <v>46</v>
      </c>
      <c r="I12" s="2" t="str">
        <f>H12</f>
        <v>YYYY-MM-DD</v>
      </c>
      <c r="J12" s="2" t="s">
        <v>46</v>
      </c>
      <c r="K12" s="5" t="s">
        <v>113</v>
      </c>
      <c r="L12"/>
      <c r="M12"/>
      <c r="N12"/>
      <c r="P12" s="361"/>
      <c r="Q12" s="357" t="s">
        <v>359</v>
      </c>
      <c r="R12" s="357" t="s">
        <v>360</v>
      </c>
      <c r="S12" s="357" t="str">
        <f t="shared" si="1"/>
        <v>Name</v>
      </c>
      <c r="Z12" s="375" t="s">
        <v>120</v>
      </c>
    </row>
    <row r="13" ht="14.25" hidden="1" spans="8:26">
      <c r="H13" s="7" t="s">
        <v>48</v>
      </c>
      <c r="I13" s="9" t="s">
        <v>49</v>
      </c>
      <c r="J13" s="2" t="str">
        <f t="shared" si="0"/>
        <v>PETROCHINA </v>
      </c>
      <c r="K13" s="5" t="s">
        <v>116</v>
      </c>
      <c r="L13"/>
      <c r="M13"/>
      <c r="N13"/>
      <c r="P13" s="361"/>
      <c r="Q13" s="357" t="s">
        <v>361</v>
      </c>
      <c r="R13" s="357" t="s">
        <v>362</v>
      </c>
      <c r="S13" s="357" t="str">
        <f t="shared" si="1"/>
        <v>Signature</v>
      </c>
      <c r="Z13" s="375" t="s">
        <v>132</v>
      </c>
    </row>
    <row r="14" ht="14.25" hidden="1" spans="8:26">
      <c r="H14" s="7" t="s">
        <v>50</v>
      </c>
      <c r="I14" s="7" t="s">
        <v>117</v>
      </c>
      <c r="J14" s="2" t="s">
        <v>51</v>
      </c>
      <c r="K14" s="5" t="s">
        <v>120</v>
      </c>
      <c r="L14"/>
      <c r="M14"/>
      <c r="N14"/>
      <c r="P14" s="361"/>
      <c r="Q14" s="357" t="s">
        <v>363</v>
      </c>
      <c r="R14" s="357" t="s">
        <v>364</v>
      </c>
      <c r="S14" s="357" t="str">
        <f t="shared" si="1"/>
        <v>Authorized Signature (S)</v>
      </c>
      <c r="Z14" s="375" t="s">
        <v>92</v>
      </c>
    </row>
    <row r="15" ht="14.25" hidden="1" spans="8:26">
      <c r="H15" s="7" t="s">
        <v>52</v>
      </c>
      <c r="I15" s="9" t="s">
        <v>53</v>
      </c>
      <c r="J15" s="2" t="str">
        <f t="shared" si="0"/>
        <v>Crude Oil6658</v>
      </c>
      <c r="K15" s="5" t="s">
        <v>123</v>
      </c>
      <c r="L15"/>
      <c r="M15"/>
      <c r="N15"/>
      <c r="P15" s="362" t="s">
        <v>444</v>
      </c>
      <c r="Q15" s="357" t="s">
        <v>74</v>
      </c>
      <c r="R15" s="357" t="s">
        <v>75</v>
      </c>
      <c r="S15" s="357" t="str">
        <f t="shared" si="1"/>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Z15" s="375" t="s">
        <v>104</v>
      </c>
    </row>
    <row r="16" ht="14.25" hidden="1" spans="8:26">
      <c r="H16" s="7" t="s">
        <v>54</v>
      </c>
      <c r="I16" s="2" t="s">
        <v>55</v>
      </c>
      <c r="J16" s="2" t="str">
        <f t="shared" si="0"/>
        <v>MT ZhenYuanefdasdf</v>
      </c>
      <c r="K16" s="5" t="s">
        <v>126</v>
      </c>
      <c r="L16"/>
      <c r="M16"/>
      <c r="N16"/>
      <c r="P16" s="362"/>
      <c r="Q16" s="357" t="s">
        <v>445</v>
      </c>
      <c r="R16" s="357" t="s">
        <v>446</v>
      </c>
      <c r="S16" s="357" t="str">
        <f t="shared" si="1"/>
        <v>Note:</v>
      </c>
      <c r="Z16" s="375" t="s">
        <v>116</v>
      </c>
    </row>
    <row r="17" ht="14.25" hidden="1" spans="8:26">
      <c r="H17" s="7" t="s">
        <v>56</v>
      </c>
      <c r="I17" s="9" t="s">
        <v>57</v>
      </c>
      <c r="J17" s="2" t="str">
        <f t="shared" si="0"/>
        <v>Dalian, Chinafsadfa</v>
      </c>
      <c r="K17" s="5" t="s">
        <v>129</v>
      </c>
      <c r="L17"/>
      <c r="M17"/>
      <c r="N17"/>
      <c r="P17" s="362"/>
      <c r="Q17" s="357" t="s">
        <v>447</v>
      </c>
      <c r="R17" s="357" t="s">
        <v>448</v>
      </c>
      <c r="S17" s="357" t="str">
        <f t="shared" si="1"/>
        <v>Remark:</v>
      </c>
      <c r="Z17" s="375" t="s">
        <v>129</v>
      </c>
    </row>
    <row r="18" ht="14.25" hidden="1" spans="8:26">
      <c r="H18" s="7" t="s">
        <v>58</v>
      </c>
      <c r="I18" s="9" t="s">
        <v>59</v>
      </c>
      <c r="J18" s="2" t="str">
        <f t="shared" si="0"/>
        <v>Dalian Chinaoil, China1325415</v>
      </c>
      <c r="K18" s="5" t="s">
        <v>132</v>
      </c>
      <c r="L18"/>
      <c r="M18"/>
      <c r="N18"/>
      <c r="P18" s="362"/>
      <c r="Q18" s="357" t="s">
        <v>449</v>
      </c>
      <c r="R18" s="357" t="s">
        <v>450</v>
      </c>
      <c r="S18" s="357" t="str">
        <f t="shared" si="1"/>
        <v>Yes</v>
      </c>
      <c r="Z18" s="375" t="s">
        <v>136</v>
      </c>
    </row>
    <row r="19" ht="14.25" hidden="1" spans="8:26">
      <c r="H19" s="10" t="s">
        <v>133</v>
      </c>
      <c r="I19" s="11" t="str">
        <f>H19</f>
        <v>YYYY-MM-DD -- YYYY-MM-DD</v>
      </c>
      <c r="J19" s="2" t="s">
        <v>60</v>
      </c>
      <c r="K19" s="12" t="s">
        <v>136</v>
      </c>
      <c r="L19"/>
      <c r="M19"/>
      <c r="N19"/>
      <c r="P19" s="362"/>
      <c r="Q19" s="357" t="s">
        <v>451</v>
      </c>
      <c r="R19" s="357" t="s">
        <v>452</v>
      </c>
      <c r="S19" s="357" t="str">
        <f t="shared" si="1"/>
        <v>No</v>
      </c>
      <c r="Z19" s="375" t="s">
        <v>141</v>
      </c>
    </row>
    <row r="20" ht="14.25" hidden="1" spans="8:26">
      <c r="H20" s="13" t="s">
        <v>137</v>
      </c>
      <c r="I20" s="13" t="s">
        <v>138</v>
      </c>
      <c r="J20" s="2" t="str">
        <f t="shared" si="0"/>
        <v>Density@15℃ (g/cm³)</v>
      </c>
      <c r="K20" s="5" t="s">
        <v>141</v>
      </c>
      <c r="L20"/>
      <c r="M20"/>
      <c r="N20"/>
      <c r="P20" s="363" t="s">
        <v>453</v>
      </c>
      <c r="Q20" s="357" t="s">
        <v>454</v>
      </c>
      <c r="R20" s="357" t="s">
        <v>455</v>
      </c>
      <c r="S20" s="357" t="str">
        <f t="shared" si="1"/>
        <v>Date :</v>
      </c>
      <c r="Z20" s="375" t="s">
        <v>456</v>
      </c>
    </row>
    <row r="21" ht="14.25" hidden="1" spans="8:26">
      <c r="H21" s="14" t="s">
        <v>142</v>
      </c>
      <c r="I21" s="14" t="s">
        <v>143</v>
      </c>
      <c r="J21" s="2" t="str">
        <f t="shared" si="0"/>
        <v>Density@20℃ (g/cm³)</v>
      </c>
      <c r="K21" s="5" t="s">
        <v>5</v>
      </c>
      <c r="L21"/>
      <c r="M21"/>
      <c r="N21"/>
      <c r="P21" s="364"/>
      <c r="Q21" s="357" t="s">
        <v>457</v>
      </c>
      <c r="R21" s="357" t="s">
        <v>458</v>
      </c>
      <c r="S21" s="357" t="str">
        <f t="shared" si="1"/>
        <v>Time :</v>
      </c>
      <c r="Z21" s="375"/>
    </row>
    <row r="22" ht="14.25" hidden="1" spans="8:26">
      <c r="H22" s="13" t="s">
        <v>146</v>
      </c>
      <c r="I22" s="13" t="s">
        <v>146</v>
      </c>
      <c r="J22" s="2" t="str">
        <f t="shared" si="0"/>
        <v>API@60℉</v>
      </c>
      <c r="K22" s="5" t="s">
        <v>6</v>
      </c>
      <c r="L22"/>
      <c r="M22"/>
      <c r="N22"/>
      <c r="P22" s="365" t="s">
        <v>459</v>
      </c>
      <c r="Q22" s="357" t="s">
        <v>460</v>
      </c>
      <c r="R22" s="357" t="s">
        <v>461</v>
      </c>
      <c r="S22" s="357" t="str">
        <f t="shared" si="1"/>
        <v>Draft Fwd :</v>
      </c>
      <c r="Z22" s="375"/>
    </row>
    <row r="23" ht="14.25" hidden="1" spans="8:26">
      <c r="H23" s="14" t="s">
        <v>149</v>
      </c>
      <c r="I23" s="14" t="s">
        <v>150</v>
      </c>
      <c r="J23" s="2" t="str">
        <f t="shared" si="0"/>
        <v>S.G.@60℉/60℉</v>
      </c>
      <c r="K23" s="12">
        <v>1952</v>
      </c>
      <c r="L23"/>
      <c r="M23"/>
      <c r="N23"/>
      <c r="P23" s="366"/>
      <c r="Q23" s="357" t="s">
        <v>462</v>
      </c>
      <c r="R23" s="357" t="s">
        <v>463</v>
      </c>
      <c r="S23" s="357" t="str">
        <f t="shared" si="1"/>
        <v>Draft Aft :</v>
      </c>
      <c r="Z23" s="375"/>
    </row>
    <row r="24" ht="14.25" hidden="1" spans="8:26">
      <c r="H24" s="15" t="s">
        <v>153</v>
      </c>
      <c r="I24" s="15" t="s">
        <v>154</v>
      </c>
      <c r="J24" s="2" t="str">
        <f t="shared" si="0"/>
        <v>α60℉ (1/℉)</v>
      </c>
      <c r="K24" s="12">
        <v>1980</v>
      </c>
      <c r="L24"/>
      <c r="M24"/>
      <c r="N24"/>
      <c r="P24" s="366"/>
      <c r="Q24" s="357" t="s">
        <v>464</v>
      </c>
      <c r="R24" s="357" t="s">
        <v>465</v>
      </c>
      <c r="S24" s="357" t="str">
        <f t="shared" si="1"/>
        <v>List :</v>
      </c>
      <c r="Z24" s="375"/>
    </row>
    <row r="25" ht="14.25" hidden="1" spans="8:26">
      <c r="H25" s="15" t="s">
        <v>157</v>
      </c>
      <c r="I25" s="15" t="s">
        <v>158</v>
      </c>
      <c r="J25" s="2" t="str">
        <f t="shared" si="0"/>
        <v>α60℉ (1/℃)</v>
      </c>
      <c r="K25" s="12">
        <v>2004</v>
      </c>
      <c r="L25"/>
      <c r="M25"/>
      <c r="N25"/>
      <c r="P25" s="366"/>
      <c r="Q25" s="357" t="s">
        <v>466</v>
      </c>
      <c r="R25" s="357" t="s">
        <v>467</v>
      </c>
      <c r="S25" s="357" t="str">
        <f t="shared" si="1"/>
        <v>Trim :</v>
      </c>
      <c r="Z25" s="375"/>
    </row>
    <row r="26" ht="14.25" hidden="1" spans="8:19">
      <c r="H26" s="14" t="s">
        <v>161</v>
      </c>
      <c r="I26" s="14" t="s">
        <v>162</v>
      </c>
      <c r="J26" s="2" t="str">
        <f t="shared" si="0"/>
        <v>Density@15℃ (kg/m³)</v>
      </c>
      <c r="K26" s="16" t="s">
        <v>165</v>
      </c>
      <c r="L26"/>
      <c r="M26"/>
      <c r="N26"/>
      <c r="P26" s="366"/>
      <c r="Q26" s="357" t="s">
        <v>468</v>
      </c>
      <c r="R26" s="357" t="s">
        <v>469</v>
      </c>
      <c r="S26" s="357" t="str">
        <f t="shared" si="1"/>
        <v>m By Head</v>
      </c>
    </row>
    <row r="27" ht="14.25" hidden="1" spans="8:19">
      <c r="H27" s="13" t="s">
        <v>167</v>
      </c>
      <c r="I27" s="13" t="s">
        <v>168</v>
      </c>
      <c r="J27" s="2" t="str">
        <f t="shared" si="0"/>
        <v>Density@20℃ (kg/m³)</v>
      </c>
      <c r="K27" s="16" t="s">
        <v>171</v>
      </c>
      <c r="L27"/>
      <c r="M27"/>
      <c r="N27"/>
      <c r="P27" s="366"/>
      <c r="Q27" s="357" t="s">
        <v>470</v>
      </c>
      <c r="R27" s="357" t="s">
        <v>471</v>
      </c>
      <c r="S27" s="357" t="str">
        <f t="shared" si="1"/>
        <v>m By Stern</v>
      </c>
    </row>
    <row r="28" ht="14.25" hidden="1" spans="8:19">
      <c r="H28" s="14" t="s">
        <v>146</v>
      </c>
      <c r="I28" s="14" t="s">
        <v>173</v>
      </c>
      <c r="J28" s="2" t="str">
        <f t="shared" si="0"/>
        <v>API@60℉</v>
      </c>
      <c r="K28" s="5" t="s">
        <v>7</v>
      </c>
      <c r="L28"/>
      <c r="M28"/>
      <c r="N28"/>
      <c r="P28" s="366"/>
      <c r="Q28" s="357" t="s">
        <v>472</v>
      </c>
      <c r="R28" s="357" t="s">
        <v>473</v>
      </c>
      <c r="S28" s="357" t="str">
        <f t="shared" si="1"/>
        <v>Upright</v>
      </c>
    </row>
    <row r="29" ht="14.25" hidden="1" spans="8:19">
      <c r="H29" s="13" t="s">
        <v>149</v>
      </c>
      <c r="I29" s="13" t="s">
        <v>177</v>
      </c>
      <c r="J29" s="2" t="str">
        <f t="shared" si="0"/>
        <v>S.G.@60℉/60℉</v>
      </c>
      <c r="K29" s="5" t="s">
        <v>8</v>
      </c>
      <c r="L29"/>
      <c r="M29"/>
      <c r="N29"/>
      <c r="P29" s="366"/>
      <c r="Q29" s="357" t="s">
        <v>474</v>
      </c>
      <c r="R29" s="357" t="s">
        <v>475</v>
      </c>
      <c r="S29" s="357" t="str">
        <f t="shared" si="1"/>
        <v>Degrees P</v>
      </c>
    </row>
    <row r="30" ht="14.25" hidden="1" spans="8:19">
      <c r="H30" s="17" t="s">
        <v>181</v>
      </c>
      <c r="I30" s="18" t="s">
        <v>182</v>
      </c>
      <c r="J30" s="2" t="str">
        <f t="shared" si="0"/>
        <v>WCF MT(in air)/m³@15℃ [T-56]</v>
      </c>
      <c r="K30" s="5" t="s">
        <v>11</v>
      </c>
      <c r="L30"/>
      <c r="M30"/>
      <c r="N30"/>
      <c r="P30" s="366"/>
      <c r="Q30" s="357" t="s">
        <v>476</v>
      </c>
      <c r="R30" s="357" t="s">
        <v>477</v>
      </c>
      <c r="S30" s="357" t="str">
        <f t="shared" si="1"/>
        <v>Degrees S</v>
      </c>
    </row>
    <row r="31" ht="14.25" hidden="1" spans="8:16">
      <c r="H31" s="17" t="s">
        <v>186</v>
      </c>
      <c r="I31" s="18" t="s">
        <v>187</v>
      </c>
      <c r="J31" s="2" t="str">
        <f t="shared" si="0"/>
        <v>WCF MT(in air)/m³@15℃</v>
      </c>
      <c r="K31" s="5" t="s">
        <v>12</v>
      </c>
      <c r="L31"/>
      <c r="M31"/>
      <c r="N31"/>
      <c r="P31" s="366"/>
    </row>
    <row r="32" ht="14.25" hidden="1" spans="8:19">
      <c r="H32" s="17" t="s">
        <v>191</v>
      </c>
      <c r="I32" s="18" t="s">
        <v>192</v>
      </c>
      <c r="J32" s="2" t="str">
        <f t="shared" si="0"/>
        <v>WCF MT(in air)/m³@20℃</v>
      </c>
      <c r="K32"/>
      <c r="L32"/>
      <c r="M32"/>
      <c r="N32"/>
      <c r="P32" s="367" t="s">
        <v>478</v>
      </c>
      <c r="Q32" s="357" t="s">
        <v>479</v>
      </c>
      <c r="R32" s="357" t="s">
        <v>478</v>
      </c>
      <c r="S32" s="357" t="str">
        <f t="shared" ref="S32:S69" si="2">IF(Report_Language=$Q$1,Q32,R32)</f>
        <v>Sea Condition</v>
      </c>
    </row>
    <row r="33" ht="14.25" hidden="1" spans="8:19">
      <c r="H33" s="19" t="s">
        <v>196</v>
      </c>
      <c r="I33" s="20" t="s">
        <v>197</v>
      </c>
      <c r="J33" s="2" t="str">
        <f t="shared" si="0"/>
        <v>MT/LT [T-1] </v>
      </c>
      <c r="K33"/>
      <c r="L33"/>
      <c r="M33"/>
      <c r="N33"/>
      <c r="P33" s="368"/>
      <c r="Q33" s="357" t="s">
        <v>480</v>
      </c>
      <c r="R33" s="357" t="s">
        <v>481</v>
      </c>
      <c r="S33" s="357" t="str">
        <f t="shared" si="2"/>
        <v>Calm</v>
      </c>
    </row>
    <row r="34" ht="14.25" hidden="1" spans="8:19">
      <c r="H34" s="19" t="s">
        <v>201</v>
      </c>
      <c r="I34" s="21" t="s">
        <v>202</v>
      </c>
      <c r="J34" s="2" t="str">
        <f t="shared" ref="J34:J65" si="3">IF(Report_Language=$H$1,H34,I34)</f>
        <v>MT/LT</v>
      </c>
      <c r="K34"/>
      <c r="L34"/>
      <c r="M34"/>
      <c r="N34"/>
      <c r="P34" s="368"/>
      <c r="Q34" s="357" t="s">
        <v>482</v>
      </c>
      <c r="R34" s="357" t="s">
        <v>483</v>
      </c>
      <c r="S34" s="357" t="str">
        <f t="shared" si="2"/>
        <v>Slight</v>
      </c>
    </row>
    <row r="35" ht="14.25" hidden="1" spans="8:19">
      <c r="H35" s="17" t="s">
        <v>206</v>
      </c>
      <c r="I35" s="18" t="s">
        <v>207</v>
      </c>
      <c r="J35" s="2" t="str">
        <f t="shared" si="3"/>
        <v>WCF MT(in air)/bbls@60℉ [T-13]</v>
      </c>
      <c r="K35"/>
      <c r="L35"/>
      <c r="M35"/>
      <c r="N35"/>
      <c r="P35" s="368"/>
      <c r="Q35" s="357" t="s">
        <v>484</v>
      </c>
      <c r="R35" s="357" t="s">
        <v>485</v>
      </c>
      <c r="S35" s="357" t="str">
        <f t="shared" si="2"/>
        <v>Moderate</v>
      </c>
    </row>
    <row r="36" ht="14.25" hidden="1" spans="8:19">
      <c r="H36" s="17" t="s">
        <v>210</v>
      </c>
      <c r="I36" s="18" t="s">
        <v>211</v>
      </c>
      <c r="J36" s="2" t="str">
        <f t="shared" si="3"/>
        <v>WCF MT(in air)/bbls@60℉</v>
      </c>
      <c r="K36"/>
      <c r="L36"/>
      <c r="M36"/>
      <c r="N36"/>
      <c r="P36" s="368"/>
      <c r="Q36" s="357" t="s">
        <v>486</v>
      </c>
      <c r="R36" s="357" t="s">
        <v>487</v>
      </c>
      <c r="S36" s="357" t="str">
        <f t="shared" si="2"/>
        <v>Rough</v>
      </c>
    </row>
    <row r="37" ht="10.2" hidden="1" customHeight="1" spans="8:19">
      <c r="H37" s="14" t="s">
        <v>214</v>
      </c>
      <c r="I37" s="14" t="s">
        <v>215</v>
      </c>
      <c r="J37" s="2" t="str">
        <f t="shared" si="3"/>
        <v>Density@15℃ MT(Vacuo)/m³</v>
      </c>
      <c r="K37"/>
      <c r="L37"/>
      <c r="M37"/>
      <c r="N37"/>
      <c r="P37" s="369" t="s">
        <v>488</v>
      </c>
      <c r="Q37" s="357" t="s">
        <v>489</v>
      </c>
      <c r="R37" s="373" t="s">
        <v>490</v>
      </c>
      <c r="S37" s="357" t="str">
        <f t="shared" si="2"/>
        <v>m</v>
      </c>
    </row>
    <row r="38" ht="14.25" hidden="1" spans="8:19">
      <c r="H38" s="14" t="s">
        <v>218</v>
      </c>
      <c r="I38" s="14" t="s">
        <v>219</v>
      </c>
      <c r="J38" s="2" t="str">
        <f t="shared" si="3"/>
        <v>Density@20℃ MT(Vacuo)/m³</v>
      </c>
      <c r="K38"/>
      <c r="L38"/>
      <c r="M38"/>
      <c r="N38"/>
      <c r="P38" s="369"/>
      <c r="Q38" s="357" t="s">
        <v>491</v>
      </c>
      <c r="R38" s="357" t="s">
        <v>492</v>
      </c>
      <c r="S38" s="357" t="str">
        <f t="shared" si="2"/>
        <v>m³</v>
      </c>
    </row>
    <row r="39" ht="14.25" hidden="1" spans="8:19">
      <c r="H39" s="17" t="s">
        <v>222</v>
      </c>
      <c r="I39" s="18" t="s">
        <v>223</v>
      </c>
      <c r="J39" s="2" t="str">
        <f t="shared" si="3"/>
        <v>WCF MT(in vacuo)/bbls@60℉ [T-13]</v>
      </c>
      <c r="K39"/>
      <c r="L39"/>
      <c r="M39"/>
      <c r="N39"/>
      <c r="P39" s="369"/>
      <c r="Q39" s="357" t="s">
        <v>493</v>
      </c>
      <c r="R39" s="357" t="s">
        <v>494</v>
      </c>
      <c r="S39" s="357" t="str">
        <f t="shared" si="2"/>
        <v>bbls</v>
      </c>
    </row>
    <row r="40" ht="14.25" hidden="1" spans="8:19">
      <c r="H40" s="17" t="s">
        <v>226</v>
      </c>
      <c r="I40" s="18" t="s">
        <v>227</v>
      </c>
      <c r="J40" s="2" t="str">
        <f t="shared" si="3"/>
        <v>WCF MT(in vacuo)/bbls@60℉</v>
      </c>
      <c r="K40"/>
      <c r="L40"/>
      <c r="M40"/>
      <c r="N40"/>
      <c r="P40" s="369"/>
      <c r="Q40" s="374" t="s">
        <v>495</v>
      </c>
      <c r="R40" s="374" t="s">
        <v>495</v>
      </c>
      <c r="S40" s="357" t="str">
        <f t="shared" si="2"/>
        <v>℃</v>
      </c>
    </row>
    <row r="41" ht="14.25" hidden="1" spans="8:19">
      <c r="H41" s="19" t="s">
        <v>196</v>
      </c>
      <c r="I41" s="20" t="s">
        <v>197</v>
      </c>
      <c r="J41" s="2" t="str">
        <f t="shared" si="3"/>
        <v>MT/LT [T-1] </v>
      </c>
      <c r="K41"/>
      <c r="L41"/>
      <c r="M41"/>
      <c r="N41"/>
      <c r="P41" s="369"/>
      <c r="Q41" s="374" t="s">
        <v>496</v>
      </c>
      <c r="R41" s="374" t="s">
        <v>496</v>
      </c>
      <c r="S41" s="357" t="str">
        <f t="shared" si="2"/>
        <v>℉</v>
      </c>
    </row>
    <row r="42" ht="14.25" hidden="1" spans="8:19">
      <c r="H42" s="19" t="s">
        <v>201</v>
      </c>
      <c r="I42" s="21" t="s">
        <v>202</v>
      </c>
      <c r="J42" s="2" t="str">
        <f t="shared" si="3"/>
        <v>MT/LT</v>
      </c>
      <c r="K42"/>
      <c r="L42"/>
      <c r="M42"/>
      <c r="N42"/>
      <c r="P42" s="369"/>
      <c r="Q42" s="357" t="s">
        <v>497</v>
      </c>
      <c r="R42" s="357" t="s">
        <v>498</v>
      </c>
      <c r="S42" s="357" t="str">
        <f>IF(Report_Language=$Q$1,Q42,R42)</f>
        <v>m³(15℃)</v>
      </c>
    </row>
    <row r="43" ht="14.25" hidden="1" spans="8:19">
      <c r="H43" s="17" t="s">
        <v>233</v>
      </c>
      <c r="I43" s="18" t="s">
        <v>234</v>
      </c>
      <c r="J43" s="2" t="str">
        <f t="shared" si="3"/>
        <v>WCF LT(in air)/m³@15℃ [T-57]</v>
      </c>
      <c r="K43"/>
      <c r="L43"/>
      <c r="M43"/>
      <c r="N43"/>
      <c r="P43" s="369"/>
      <c r="Q43" s="357" t="s">
        <v>499</v>
      </c>
      <c r="R43" s="357" t="s">
        <v>500</v>
      </c>
      <c r="S43" s="357" t="str">
        <f>IF(Report_Language=$Q$1,Q43,R43)</f>
        <v>m³(20℃)</v>
      </c>
    </row>
    <row r="44" ht="14.25" hidden="1" spans="8:19">
      <c r="H44" s="17" t="s">
        <v>236</v>
      </c>
      <c r="I44" s="18" t="s">
        <v>237</v>
      </c>
      <c r="J44" s="2" t="str">
        <f t="shared" si="3"/>
        <v>WCF LT(in air)/m³@15℃</v>
      </c>
      <c r="K44"/>
      <c r="L44"/>
      <c r="M44"/>
      <c r="N44"/>
      <c r="P44" s="369"/>
      <c r="Q44" s="357" t="s">
        <v>501</v>
      </c>
      <c r="R44" s="357" t="s">
        <v>502</v>
      </c>
      <c r="S44" s="357" t="str">
        <f>IF(Report_Language=$Q$1,Q44,R44)</f>
        <v>bbls(60℉)</v>
      </c>
    </row>
    <row r="45" ht="10.2" hidden="1" customHeight="1" spans="8:19">
      <c r="H45" s="19" t="s">
        <v>240</v>
      </c>
      <c r="I45" s="20" t="s">
        <v>241</v>
      </c>
      <c r="J45" s="2" t="str">
        <f t="shared" si="3"/>
        <v>LT/MT [T-1] </v>
      </c>
      <c r="K45"/>
      <c r="L45"/>
      <c r="M45"/>
      <c r="N45"/>
      <c r="P45" s="370" t="s">
        <v>503</v>
      </c>
      <c r="Q45" s="357" t="s">
        <v>504</v>
      </c>
      <c r="R45" s="357" t="s">
        <v>503</v>
      </c>
      <c r="S45" s="357" t="str">
        <f t="shared" si="2"/>
        <v>Detected by</v>
      </c>
    </row>
    <row r="46" ht="14.25" hidden="1" spans="8:19">
      <c r="H46" s="19" t="s">
        <v>244</v>
      </c>
      <c r="I46" s="20" t="s">
        <v>245</v>
      </c>
      <c r="J46" s="2" t="str">
        <f t="shared" si="3"/>
        <v>LT/MT</v>
      </c>
      <c r="K46"/>
      <c r="L46"/>
      <c r="M46"/>
      <c r="N46"/>
      <c r="P46" s="370"/>
      <c r="Q46" s="357" t="s">
        <v>505</v>
      </c>
      <c r="R46" s="357" t="s">
        <v>505</v>
      </c>
      <c r="S46" s="357" t="str">
        <f t="shared" si="2"/>
        <v>UTI</v>
      </c>
    </row>
    <row r="47" ht="14.25" hidden="1" spans="8:19">
      <c r="H47" s="17" t="s">
        <v>248</v>
      </c>
      <c r="I47" s="18" t="s">
        <v>249</v>
      </c>
      <c r="J47" s="2" t="str">
        <f t="shared" si="3"/>
        <v>WCF LT(in air)/bbls@60℉ [T-29] </v>
      </c>
      <c r="K47"/>
      <c r="L47"/>
      <c r="M47"/>
      <c r="N47"/>
      <c r="P47" s="370"/>
      <c r="Q47" s="357" t="s">
        <v>506</v>
      </c>
      <c r="R47" s="357" t="s">
        <v>506</v>
      </c>
      <c r="S47" s="357" t="str">
        <f t="shared" si="2"/>
        <v>MMC</v>
      </c>
    </row>
    <row r="48" ht="14.25" hidden="1" spans="8:19">
      <c r="H48" s="17" t="s">
        <v>253</v>
      </c>
      <c r="I48" s="18" t="s">
        <v>254</v>
      </c>
      <c r="J48" s="2" t="str">
        <f t="shared" si="3"/>
        <v>WCF LT(in air)/bbls@60℉</v>
      </c>
      <c r="K48"/>
      <c r="L48"/>
      <c r="M48"/>
      <c r="N48"/>
      <c r="P48" s="370"/>
      <c r="Q48" s="357" t="s">
        <v>507</v>
      </c>
      <c r="R48" s="357" t="s">
        <v>508</v>
      </c>
      <c r="S48" s="357" t="str">
        <f t="shared" si="2"/>
        <v>Sounding Tape</v>
      </c>
    </row>
    <row r="49" ht="14.25" hidden="1" spans="8:19">
      <c r="H49" s="17" t="s">
        <v>259</v>
      </c>
      <c r="I49" s="18" t="s">
        <v>260</v>
      </c>
      <c r="J49" s="2" t="str">
        <f t="shared" si="3"/>
        <v>WCF LT(in air)/bbls@60℉ [T-11] </v>
      </c>
      <c r="K49"/>
      <c r="L49"/>
      <c r="M49"/>
      <c r="N49"/>
      <c r="P49" s="370"/>
      <c r="Q49" s="357" t="s">
        <v>509</v>
      </c>
      <c r="R49" s="373" t="s">
        <v>510</v>
      </c>
      <c r="S49" s="357" t="str">
        <f t="shared" si="2"/>
        <v>Sounding Rod</v>
      </c>
    </row>
    <row r="50" ht="14.25" hidden="1" spans="8:19">
      <c r="H50" s="17" t="s">
        <v>253</v>
      </c>
      <c r="I50" s="18" t="s">
        <v>254</v>
      </c>
      <c r="J50" s="2" t="str">
        <f t="shared" si="3"/>
        <v>WCF LT(in air)/bbls@60℉</v>
      </c>
      <c r="K50"/>
      <c r="L50"/>
      <c r="M50"/>
      <c r="N50"/>
      <c r="P50" s="370"/>
      <c r="Q50" s="357" t="s">
        <v>511</v>
      </c>
      <c r="R50" s="373" t="s">
        <v>512</v>
      </c>
      <c r="S50" s="357" t="str">
        <f t="shared" si="2"/>
        <v>Level System</v>
      </c>
    </row>
    <row r="51" ht="14.25" hidden="1" spans="8:19">
      <c r="H51" s="17" t="s">
        <v>265</v>
      </c>
      <c r="I51" s="18" t="s">
        <v>266</v>
      </c>
      <c r="J51" s="2" t="str">
        <f t="shared" si="3"/>
        <v>WCF LT(in vacuo)/m³@15℃ [T-57]</v>
      </c>
      <c r="K51"/>
      <c r="L51"/>
      <c r="M51"/>
      <c r="N51"/>
      <c r="P51" s="370"/>
      <c r="Q51" s="357" t="s">
        <v>513</v>
      </c>
      <c r="R51" s="357" t="s">
        <v>514</v>
      </c>
      <c r="S51" s="357" t="str">
        <f t="shared" si="2"/>
        <v>Water Finding Paste</v>
      </c>
    </row>
    <row r="52" ht="14.25" hidden="1" spans="8:19">
      <c r="H52" s="17" t="s">
        <v>268</v>
      </c>
      <c r="I52" s="18" t="s">
        <v>269</v>
      </c>
      <c r="J52" s="2" t="str">
        <f t="shared" si="3"/>
        <v>WCF LT(in vacuo)/m³@15℃</v>
      </c>
      <c r="K52"/>
      <c r="L52"/>
      <c r="M52"/>
      <c r="N52"/>
      <c r="P52" s="370"/>
      <c r="Q52" s="357" t="s">
        <v>515</v>
      </c>
      <c r="R52" s="357" t="s">
        <v>516</v>
      </c>
      <c r="S52" s="357" t="str">
        <f t="shared" si="2"/>
        <v>UTI&amp;Paste</v>
      </c>
    </row>
    <row r="53" ht="14.25" hidden="1" spans="8:19">
      <c r="H53" s="19" t="s">
        <v>240</v>
      </c>
      <c r="I53" s="20" t="s">
        <v>241</v>
      </c>
      <c r="J53" s="2" t="str">
        <f t="shared" si="3"/>
        <v>LT/MT [T-1] </v>
      </c>
      <c r="K53"/>
      <c r="L53"/>
      <c r="M53"/>
      <c r="N53"/>
      <c r="P53" s="370"/>
      <c r="Q53" s="357" t="s">
        <v>517</v>
      </c>
      <c r="R53" s="373" t="s">
        <v>518</v>
      </c>
      <c r="S53" s="357" t="str">
        <f t="shared" si="2"/>
        <v>MMC&amp;Paste</v>
      </c>
    </row>
    <row r="54" ht="14.25" hidden="1" spans="8:19">
      <c r="H54" s="19" t="s">
        <v>244</v>
      </c>
      <c r="I54" s="20" t="s">
        <v>245</v>
      </c>
      <c r="J54" s="2" t="str">
        <f t="shared" si="3"/>
        <v>LT/MT</v>
      </c>
      <c r="K54"/>
      <c r="L54"/>
      <c r="M54"/>
      <c r="N54"/>
      <c r="P54" s="370"/>
      <c r="Q54" s="357" t="s">
        <v>519</v>
      </c>
      <c r="R54" s="357" t="s">
        <v>520</v>
      </c>
      <c r="S54" s="357" t="str">
        <f t="shared" si="2"/>
        <v>UTI Ser. No.</v>
      </c>
    </row>
    <row r="55" ht="14.25" hidden="1" spans="8:19">
      <c r="H55" s="17" t="s">
        <v>273</v>
      </c>
      <c r="I55" s="18" t="s">
        <v>274</v>
      </c>
      <c r="J55" s="2" t="str">
        <f t="shared" si="3"/>
        <v>WCF LT(in vacuo)/bbls@60℉ [T-29]</v>
      </c>
      <c r="K55"/>
      <c r="L55"/>
      <c r="M55"/>
      <c r="N55"/>
      <c r="P55" s="370"/>
      <c r="Q55" s="357" t="s">
        <v>521</v>
      </c>
      <c r="R55" s="357" t="s">
        <v>522</v>
      </c>
      <c r="S55" s="357" t="str">
        <f t="shared" si="2"/>
        <v>Brand of Water Finding Paste</v>
      </c>
    </row>
    <row r="56" ht="14.25" hidden="1" spans="8:19">
      <c r="H56" s="17" t="s">
        <v>276</v>
      </c>
      <c r="I56" s="18" t="s">
        <v>277</v>
      </c>
      <c r="J56" s="2" t="str">
        <f t="shared" si="3"/>
        <v>WCF LT(in vacuo)/bbls@60℉</v>
      </c>
      <c r="K56"/>
      <c r="L56"/>
      <c r="M56"/>
      <c r="N56"/>
      <c r="P56" s="371" t="s">
        <v>523</v>
      </c>
      <c r="Q56" s="357" t="s">
        <v>524</v>
      </c>
      <c r="R56" s="357" t="s">
        <v>525</v>
      </c>
      <c r="S56" s="357" t="str">
        <f t="shared" si="2"/>
        <v>Tank No.</v>
      </c>
    </row>
    <row r="57" ht="14.25" hidden="1" spans="8:19">
      <c r="H57" s="17" t="s">
        <v>279</v>
      </c>
      <c r="I57" s="18" t="s">
        <v>280</v>
      </c>
      <c r="J57" s="2" t="str">
        <f t="shared" si="3"/>
        <v>WCF LT(in vacuo)/bbls@60℉ [T-11]</v>
      </c>
      <c r="K57"/>
      <c r="L57"/>
      <c r="M57"/>
      <c r="N57"/>
      <c r="P57" s="372"/>
      <c r="Q57" s="357" t="s">
        <v>526</v>
      </c>
      <c r="R57" s="373" t="s">
        <v>527</v>
      </c>
      <c r="S57" s="357" t="str">
        <f t="shared" si="2"/>
        <v>G.H.L.
(1)</v>
      </c>
    </row>
    <row r="58" ht="14.25" hidden="1" spans="8:19">
      <c r="H58" s="17" t="s">
        <v>276</v>
      </c>
      <c r="I58" s="18" t="s">
        <v>277</v>
      </c>
      <c r="J58" s="2" t="str">
        <f t="shared" si="3"/>
        <v>WCF LT(in vacuo)/bbls@60℉</v>
      </c>
      <c r="K58"/>
      <c r="L58"/>
      <c r="M58"/>
      <c r="N58"/>
      <c r="P58" s="372"/>
      <c r="Q58" s="357" t="s">
        <v>528</v>
      </c>
      <c r="R58" s="373" t="s">
        <v>529</v>
      </c>
      <c r="S58" s="357" t="str">
        <f t="shared" si="2"/>
        <v>Gauge</v>
      </c>
    </row>
    <row r="59" ht="14.25" hidden="1" spans="8:19">
      <c r="H59" s="22" t="s">
        <v>283</v>
      </c>
      <c r="I59" s="21" t="s">
        <v>284</v>
      </c>
      <c r="J59" s="2" t="str">
        <f t="shared" si="3"/>
        <v>bbls@60℉/m³@15℃ [T-52]</v>
      </c>
      <c r="K59"/>
      <c r="L59"/>
      <c r="M59"/>
      <c r="N59"/>
      <c r="P59" s="372"/>
      <c r="Q59" s="357" t="s">
        <v>530</v>
      </c>
      <c r="R59" s="357" t="s">
        <v>531</v>
      </c>
      <c r="S59" s="357" t="str">
        <f t="shared" si="2"/>
        <v>Interface</v>
      </c>
    </row>
    <row r="60" ht="14.25" hidden="1" spans="8:19">
      <c r="H60" s="22" t="s">
        <v>286</v>
      </c>
      <c r="I60" s="21" t="s">
        <v>287</v>
      </c>
      <c r="J60" s="2" t="str">
        <f t="shared" si="3"/>
        <v>bbls@60℉/m³@15℃</v>
      </c>
      <c r="K60"/>
      <c r="L60"/>
      <c r="M60"/>
      <c r="N60"/>
      <c r="P60" s="372"/>
      <c r="Q60" s="357" t="s">
        <v>532</v>
      </c>
      <c r="R60" s="373" t="s">
        <v>533</v>
      </c>
      <c r="S60" s="357" t="str">
        <f t="shared" si="2"/>
        <v>Temp</v>
      </c>
    </row>
    <row r="61" ht="14.25" hidden="1" spans="8:19">
      <c r="H61" s="23" t="s">
        <v>290</v>
      </c>
      <c r="I61" s="24" t="s">
        <v>291</v>
      </c>
      <c r="J61" s="2" t="str">
        <f t="shared" si="3"/>
        <v>bbls@60℉/MT(in air)</v>
      </c>
      <c r="K61"/>
      <c r="L61"/>
      <c r="M61"/>
      <c r="N61"/>
      <c r="P61" s="372"/>
      <c r="Q61" s="357" t="s">
        <v>534</v>
      </c>
      <c r="R61" s="357" t="s">
        <v>534</v>
      </c>
      <c r="S61" s="357" t="str">
        <f t="shared" si="2"/>
        <v>I/U
(2)</v>
      </c>
    </row>
    <row r="62" ht="14.25" hidden="1" spans="8:19">
      <c r="H62" s="2" t="s">
        <v>294</v>
      </c>
      <c r="I62" s="9" t="s">
        <v>295</v>
      </c>
      <c r="J62" s="2" t="str">
        <f t="shared" si="3"/>
        <v>Standard Volume</v>
      </c>
      <c r="K62"/>
      <c r="L62"/>
      <c r="M62"/>
      <c r="N62"/>
      <c r="P62" s="372"/>
      <c r="Q62" s="357" t="s">
        <v>535</v>
      </c>
      <c r="R62" s="373" t="s">
        <v>536</v>
      </c>
      <c r="S62" s="357" t="str">
        <f t="shared" si="2"/>
        <v>Obs'd</v>
      </c>
    </row>
    <row r="63" ht="16.5" hidden="1" spans="8:19">
      <c r="H63" s="2" t="s">
        <v>298</v>
      </c>
      <c r="I63" s="2" t="s">
        <v>299</v>
      </c>
      <c r="J63" s="2" t="str">
        <f t="shared" si="3"/>
        <v>m³@15℃/m³@20℃ [1/VCF(15℃)]</v>
      </c>
      <c r="K63"/>
      <c r="L63"/>
      <c r="M63"/>
      <c r="N63"/>
      <c r="P63" s="372"/>
      <c r="Q63" s="357" t="s">
        <v>537</v>
      </c>
      <c r="R63" s="373" t="s">
        <v>538</v>
      </c>
      <c r="S63" s="357" t="str">
        <f t="shared" si="2"/>
        <v>Corr'd</v>
      </c>
    </row>
    <row r="64" ht="14.25" hidden="1" spans="8:19">
      <c r="H64" s="22" t="s">
        <v>302</v>
      </c>
      <c r="I64" s="21" t="s">
        <v>303</v>
      </c>
      <c r="J64" s="2" t="str">
        <f t="shared" si="3"/>
        <v>m³@15℃/bbls@60℉ [T-22]</v>
      </c>
      <c r="K64"/>
      <c r="L64"/>
      <c r="M64"/>
      <c r="N64"/>
      <c r="P64" s="372"/>
      <c r="Q64" s="357" t="s">
        <v>539</v>
      </c>
      <c r="R64" s="373" t="s">
        <v>540</v>
      </c>
      <c r="S64" s="357" t="str">
        <f t="shared" si="2"/>
        <v>Total Observed Volume</v>
      </c>
    </row>
    <row r="65" ht="14.25" hidden="1" spans="8:19">
      <c r="H65" s="22" t="s">
        <v>306</v>
      </c>
      <c r="I65" s="19" t="s">
        <v>307</v>
      </c>
      <c r="J65" s="2" t="str">
        <f t="shared" si="3"/>
        <v>m³@15℃/bbls@60℉</v>
      </c>
      <c r="K65"/>
      <c r="L65"/>
      <c r="M65"/>
      <c r="N65"/>
      <c r="P65" s="372"/>
      <c r="Q65" s="357" t="s">
        <v>541</v>
      </c>
      <c r="R65" s="373" t="s">
        <v>542</v>
      </c>
      <c r="S65" s="357" t="str">
        <f t="shared" si="2"/>
        <v>Free Water</v>
      </c>
    </row>
    <row r="66" ht="14.25" hidden="1" spans="8:19">
      <c r="H66" s="22" t="s">
        <v>310</v>
      </c>
      <c r="I66" s="21" t="s">
        <v>311</v>
      </c>
      <c r="J66" s="2" t="str">
        <f t="shared" ref="J66:J85" si="4">IF(Report_Language=$H$1,H66,I66)</f>
        <v>m³@15℃/bbls@60℉ [T-4] </v>
      </c>
      <c r="K66"/>
      <c r="L66"/>
      <c r="M66"/>
      <c r="N66"/>
      <c r="P66" s="372"/>
      <c r="Q66" s="357" t="s">
        <v>543</v>
      </c>
      <c r="R66" s="357" t="s">
        <v>544</v>
      </c>
      <c r="S66" s="357" t="str">
        <f>IF(Report_Language=$Q$1,Q66,R66)</f>
        <v>Volume</v>
      </c>
    </row>
    <row r="67" ht="14.25" hidden="1" spans="8:19">
      <c r="H67" s="22" t="s">
        <v>306</v>
      </c>
      <c r="I67" s="21" t="s">
        <v>314</v>
      </c>
      <c r="J67" s="2" t="str">
        <f t="shared" si="4"/>
        <v>m³@15℃/bbls@60℉</v>
      </c>
      <c r="K67"/>
      <c r="L67"/>
      <c r="M67"/>
      <c r="N67"/>
      <c r="P67" s="372"/>
      <c r="Q67" s="357" t="s">
        <v>545</v>
      </c>
      <c r="R67" s="373" t="s">
        <v>546</v>
      </c>
      <c r="S67" s="357" t="str">
        <f t="shared" si="2"/>
        <v>Gross Observed Volume</v>
      </c>
    </row>
    <row r="68" ht="14.25" hidden="1" spans="8:19">
      <c r="H68" s="19" t="s">
        <v>317</v>
      </c>
      <c r="I68" s="19" t="s">
        <v>318</v>
      </c>
      <c r="J68" s="2" t="str">
        <f t="shared" si="4"/>
        <v>m³@20℃/m³@15℃ [1/VCF(20℃)]</v>
      </c>
      <c r="K68"/>
      <c r="L68"/>
      <c r="M68"/>
      <c r="N68"/>
      <c r="P68" s="372"/>
      <c r="Q68" s="357" t="s">
        <v>547</v>
      </c>
      <c r="R68" s="373" t="s">
        <v>548</v>
      </c>
      <c r="S68" s="357" t="str">
        <f t="shared" si="2"/>
        <v>VCF</v>
      </c>
    </row>
    <row r="69" ht="14.25" hidden="1" spans="8:19">
      <c r="H69" s="17" t="s">
        <v>321</v>
      </c>
      <c r="I69" s="17" t="s">
        <v>322</v>
      </c>
      <c r="J69" s="2" t="str">
        <f t="shared" si="4"/>
        <v>m³@20℃/bbls@60℉ [T-4] x VCF(59℉)/VCF(68℉)</v>
      </c>
      <c r="K69"/>
      <c r="L69"/>
      <c r="M69"/>
      <c r="N69"/>
      <c r="P69" s="372"/>
      <c r="Q69" s="357" t="s">
        <v>549</v>
      </c>
      <c r="R69" s="373" t="s">
        <v>550</v>
      </c>
      <c r="S69" s="357" t="str">
        <f t="shared" si="2"/>
        <v>Gross Standard Volume</v>
      </c>
    </row>
    <row r="70" ht="14.25" hidden="1" spans="8:19">
      <c r="H70" s="17" t="s">
        <v>325</v>
      </c>
      <c r="I70" s="17" t="s">
        <v>326</v>
      </c>
      <c r="J70" s="2" t="str">
        <f t="shared" si="4"/>
        <v>m³@20℃/bbls@60℉</v>
      </c>
      <c r="K70"/>
      <c r="L70"/>
      <c r="M70"/>
      <c r="N70"/>
      <c r="P70" s="372"/>
      <c r="Q70" s="357" t="s">
        <v>257</v>
      </c>
      <c r="R70" s="373" t="s">
        <v>550</v>
      </c>
      <c r="S70" s="357" t="str">
        <f t="shared" ref="S70:S94" si="5">IF(Report_Language=$Q$1,Q70,R70)</f>
        <v>GSV</v>
      </c>
    </row>
    <row r="71" ht="14.25" hidden="1" spans="8:19">
      <c r="H71" s="17" t="s">
        <v>329</v>
      </c>
      <c r="I71" s="17" t="s">
        <v>330</v>
      </c>
      <c r="J71" s="2" t="str">
        <f t="shared" si="4"/>
        <v>m³@20℃/bbls@60℉ [T-22] x VCF(59℉)/VCF(68℉)</v>
      </c>
      <c r="K71"/>
      <c r="L71"/>
      <c r="M71"/>
      <c r="N71"/>
      <c r="P71" s="372"/>
      <c r="Q71" s="357" t="s">
        <v>551</v>
      </c>
      <c r="R71" s="373" t="s">
        <v>552</v>
      </c>
      <c r="S71" s="357" t="str">
        <f t="shared" si="5"/>
        <v>TCV</v>
      </c>
    </row>
    <row r="72" ht="14.25" hidden="1" spans="8:19">
      <c r="H72" s="17" t="s">
        <v>325</v>
      </c>
      <c r="I72" s="17" t="s">
        <v>333</v>
      </c>
      <c r="J72" s="2" t="str">
        <f t="shared" si="4"/>
        <v>m³@20℃/bbls@60℉</v>
      </c>
      <c r="K72"/>
      <c r="L72"/>
      <c r="M72"/>
      <c r="N72"/>
      <c r="P72" s="372"/>
      <c r="Q72" s="357" t="s">
        <v>553</v>
      </c>
      <c r="R72" s="357" t="s">
        <v>554</v>
      </c>
      <c r="S72" s="357" t="str">
        <f t="shared" si="5"/>
        <v>TOTAL</v>
      </c>
    </row>
    <row r="73" ht="14.25" hidden="1" spans="8:19">
      <c r="H73" s="19" t="s">
        <v>336</v>
      </c>
      <c r="I73" s="21" t="s">
        <v>337</v>
      </c>
      <c r="J73" s="2" t="str">
        <f t="shared" si="4"/>
        <v>m³@30℃/m³@15℃ [1/VCF(30℃)]</v>
      </c>
      <c r="K73"/>
      <c r="L73"/>
      <c r="M73"/>
      <c r="N73"/>
      <c r="P73" s="372"/>
      <c r="Q73" s="357" t="s">
        <v>555</v>
      </c>
      <c r="R73" s="357" t="s">
        <v>556</v>
      </c>
      <c r="S73" s="357" t="str">
        <f t="shared" si="5"/>
        <v>Density@15℃</v>
      </c>
    </row>
    <row r="74" ht="14.25" hidden="1" spans="8:19">
      <c r="H74" s="19" t="s">
        <v>340</v>
      </c>
      <c r="I74" s="21" t="s">
        <v>341</v>
      </c>
      <c r="J74" s="2" t="str">
        <f t="shared" si="4"/>
        <v>m³@30℃/m³@20℃ [1/VCF(30℃)]</v>
      </c>
      <c r="K74"/>
      <c r="L74"/>
      <c r="M74"/>
      <c r="N74"/>
      <c r="P74" s="372"/>
      <c r="Q74" s="357" t="s">
        <v>557</v>
      </c>
      <c r="R74" s="357" t="s">
        <v>558</v>
      </c>
      <c r="S74" s="357" t="str">
        <f t="shared" si="5"/>
        <v>Density@20℃</v>
      </c>
    </row>
    <row r="75" ht="14.25" hidden="1" spans="8:19">
      <c r="H75" s="17" t="s">
        <v>344</v>
      </c>
      <c r="I75" s="17" t="s">
        <v>345</v>
      </c>
      <c r="J75" s="2" t="str">
        <f t="shared" si="4"/>
        <v>m³@30℃/bbls@60℉ [T-4] x VCF(59℉)/VCF(86℉)</v>
      </c>
      <c r="K75"/>
      <c r="L75"/>
      <c r="M75"/>
      <c r="N75"/>
      <c r="P75" s="372"/>
      <c r="Q75" s="357" t="s">
        <v>559</v>
      </c>
      <c r="R75" s="357" t="s">
        <v>560</v>
      </c>
      <c r="S75" s="357" t="str">
        <f t="shared" si="5"/>
        <v>API@60℉</v>
      </c>
    </row>
    <row r="76" ht="14.25" hidden="1" spans="8:19">
      <c r="H76" s="17" t="s">
        <v>348</v>
      </c>
      <c r="I76" s="17" t="s">
        <v>349</v>
      </c>
      <c r="J76" s="2" t="str">
        <f t="shared" si="4"/>
        <v>m³@30℃/bbls@60℉</v>
      </c>
      <c r="K76"/>
      <c r="L76"/>
      <c r="M76"/>
      <c r="N76"/>
      <c r="P76" s="372"/>
      <c r="Q76" s="357" t="s">
        <v>561</v>
      </c>
      <c r="R76" s="357" t="s">
        <v>562</v>
      </c>
      <c r="S76" s="357" t="str">
        <f t="shared" si="5"/>
        <v>S.G.@60℉/60℉</v>
      </c>
    </row>
    <row r="77" ht="14.25" hidden="1" spans="8:19">
      <c r="H77" s="17" t="s">
        <v>350</v>
      </c>
      <c r="I77" s="17" t="s">
        <v>351</v>
      </c>
      <c r="J77" s="2" t="str">
        <f t="shared" si="4"/>
        <v>m³@30℃/bbls@60℉ [T-22] x VCF(59℉)/VCF(86℉)</v>
      </c>
      <c r="K77"/>
      <c r="L77"/>
      <c r="M77"/>
      <c r="N77"/>
      <c r="Q77" s="357" t="s">
        <v>563</v>
      </c>
      <c r="R77" s="373" t="s">
        <v>564</v>
      </c>
      <c r="S77" s="357" t="str">
        <f t="shared" si="5"/>
        <v>Liquid</v>
      </c>
    </row>
    <row r="78" ht="14.25" hidden="1" spans="8:19">
      <c r="H78" s="17" t="s">
        <v>348</v>
      </c>
      <c r="I78" s="17" t="s">
        <v>352</v>
      </c>
      <c r="J78" s="2" t="str">
        <f t="shared" si="4"/>
        <v>m³@30℃/bbls@60℉</v>
      </c>
      <c r="K78"/>
      <c r="L78"/>
      <c r="M78"/>
      <c r="N78"/>
      <c r="Q78" s="357" t="s">
        <v>565</v>
      </c>
      <c r="R78" s="373" t="s">
        <v>566</v>
      </c>
      <c r="S78" s="357" t="str">
        <f t="shared" si="5"/>
        <v>Nonliquid</v>
      </c>
    </row>
    <row r="79" ht="14.25" hidden="1" spans="8:19">
      <c r="H79" s="5" t="s">
        <v>353</v>
      </c>
      <c r="I79" s="32" t="s">
        <v>354</v>
      </c>
      <c r="J79" s="2" t="str">
        <f t="shared" si="4"/>
        <v>US Gallon/US Barrels [T-1]</v>
      </c>
      <c r="K79"/>
      <c r="L79"/>
      <c r="M79"/>
      <c r="N79"/>
      <c r="Q79" s="357" t="s">
        <v>567</v>
      </c>
      <c r="R79" s="373" t="s">
        <v>568</v>
      </c>
      <c r="S79" s="357" t="str">
        <f t="shared" si="5"/>
        <v>Table</v>
      </c>
    </row>
    <row r="80" ht="14.25" hidden="1" spans="8:19">
      <c r="H80" s="33" t="s">
        <v>355</v>
      </c>
      <c r="I80" s="33" t="s">
        <v>356</v>
      </c>
      <c r="J80" s="2" t="str">
        <f t="shared" si="4"/>
        <v>Master/Chief Officer</v>
      </c>
      <c r="K80"/>
      <c r="L80"/>
      <c r="M80"/>
      <c r="N80"/>
      <c r="Q80" s="357" t="s">
        <v>569</v>
      </c>
      <c r="R80" s="373" t="s">
        <v>570</v>
      </c>
      <c r="S80" s="357" t="str">
        <f t="shared" si="5"/>
        <v>Wedge</v>
      </c>
    </row>
    <row r="81" ht="14.25" hidden="1" spans="8:19">
      <c r="H81" s="34" t="s">
        <v>357</v>
      </c>
      <c r="I81" s="34" t="s">
        <v>358</v>
      </c>
      <c r="J81" s="2" t="str">
        <f t="shared" si="4"/>
        <v>CCIC Surveyor</v>
      </c>
      <c r="K81"/>
      <c r="L81"/>
      <c r="M81"/>
      <c r="N81"/>
      <c r="Q81" s="357" t="s">
        <v>571</v>
      </c>
      <c r="R81" s="357" t="s">
        <v>572</v>
      </c>
      <c r="S81" s="357" t="str">
        <f t="shared" si="5"/>
        <v>(1) G.H.L. -- Gauge Hatch Location, F = Forward; C = Center; A = Aft; M = Average of the multiple gauge points readings.</v>
      </c>
    </row>
    <row r="82" ht="14.25" hidden="1" spans="8:19">
      <c r="H82" s="33" t="s">
        <v>359</v>
      </c>
      <c r="I82" s="33" t="s">
        <v>360</v>
      </c>
      <c r="J82" s="2" t="str">
        <f t="shared" si="4"/>
        <v>Name</v>
      </c>
      <c r="K82"/>
      <c r="L82"/>
      <c r="M82"/>
      <c r="N82"/>
      <c r="Q82" s="357" t="s">
        <v>573</v>
      </c>
      <c r="R82" s="357" t="s">
        <v>574</v>
      </c>
      <c r="S82" s="357" t="str">
        <f t="shared" si="5"/>
        <v>(2) I/U -- Innage/Ullage, I = Innage; U = Ullage.</v>
      </c>
    </row>
    <row r="83" ht="14.25" hidden="1" spans="8:19">
      <c r="H83" s="34" t="s">
        <v>361</v>
      </c>
      <c r="I83" s="34" t="s">
        <v>362</v>
      </c>
      <c r="J83" s="2" t="str">
        <f t="shared" si="4"/>
        <v>Signature</v>
      </c>
      <c r="K83"/>
      <c r="L83"/>
      <c r="M83"/>
      <c r="N83"/>
      <c r="Q83" s="357" t="s">
        <v>575</v>
      </c>
      <c r="R83" s="373" t="s">
        <v>576</v>
      </c>
      <c r="S83" s="357" t="str">
        <f t="shared" si="5"/>
        <v>TOTAL QUANTITY OF OBQ</v>
      </c>
    </row>
    <row r="84" ht="14.25" hidden="1" spans="8:19">
      <c r="H84" s="33" t="s">
        <v>363</v>
      </c>
      <c r="I84" s="33" t="s">
        <v>364</v>
      </c>
      <c r="J84" s="2" t="str">
        <f t="shared" si="4"/>
        <v>Authorized Signature (S)</v>
      </c>
      <c r="K84"/>
      <c r="L84"/>
      <c r="M84"/>
      <c r="N84"/>
      <c r="Q84" s="357" t="s">
        <v>577</v>
      </c>
      <c r="R84" s="373" t="s">
        <v>578</v>
      </c>
      <c r="S84" s="357" t="str">
        <f t="shared" si="5"/>
        <v>Top Lines</v>
      </c>
    </row>
    <row r="85" ht="14.25" hidden="1" spans="8:19">
      <c r="H85" s="34" t="s">
        <v>74</v>
      </c>
      <c r="I85" s="34" t="s">
        <v>75</v>
      </c>
      <c r="J85" s="2" t="str">
        <f t="shared" si="4"/>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K85"/>
      <c r="L85"/>
      <c r="M85"/>
      <c r="N85"/>
      <c r="Q85" s="357" t="s">
        <v>579</v>
      </c>
      <c r="R85" s="373" t="s">
        <v>580</v>
      </c>
      <c r="S85" s="357" t="str">
        <f t="shared" si="5"/>
        <v>Bottom Lines</v>
      </c>
    </row>
    <row r="86" hidden="1" spans="17:19">
      <c r="Q86" s="357" t="s">
        <v>581</v>
      </c>
      <c r="R86" s="357" t="s">
        <v>582</v>
      </c>
      <c r="S86" s="357" t="str">
        <f t="shared" si="5"/>
        <v>Hoses/Arms</v>
      </c>
    </row>
    <row r="87" hidden="1" spans="17:19">
      <c r="Q87" s="357" t="s">
        <v>583</v>
      </c>
      <c r="R87" s="373" t="s">
        <v>584</v>
      </c>
      <c r="S87" s="357" t="str">
        <f t="shared" si="5"/>
        <v>Stripped</v>
      </c>
    </row>
    <row r="88" hidden="1" spans="17:19">
      <c r="Q88" s="357" t="s">
        <v>585</v>
      </c>
      <c r="R88" s="373" t="s">
        <v>586</v>
      </c>
      <c r="S88" s="357" t="str">
        <f t="shared" si="5"/>
        <v>Dropped</v>
      </c>
    </row>
    <row r="89" hidden="1" spans="17:19">
      <c r="Q89" s="357" t="s">
        <v>587</v>
      </c>
      <c r="R89" s="373" t="s">
        <v>588</v>
      </c>
      <c r="S89" s="357" t="str">
        <f t="shared" si="5"/>
        <v>To Tank No.</v>
      </c>
    </row>
    <row r="90" hidden="1" spans="17:19">
      <c r="Q90" s="357" t="s">
        <v>589</v>
      </c>
      <c r="R90" s="373" t="s">
        <v>590</v>
      </c>
      <c r="S90" s="357" t="str">
        <f t="shared" si="5"/>
        <v>Ballast Tanks Used during Discharge</v>
      </c>
    </row>
    <row r="91" hidden="1" spans="17:19">
      <c r="Q91" s="357" t="s">
        <v>591</v>
      </c>
      <c r="R91" s="373" t="s">
        <v>592</v>
      </c>
      <c r="S91" s="357" t="str">
        <f t="shared" si="5"/>
        <v>Sea Valve Seal Numbers</v>
      </c>
    </row>
    <row r="92" ht="13.5" hidden="1" spans="17:19">
      <c r="Q92" s="790" t="s">
        <v>593</v>
      </c>
      <c r="R92" s="790" t="s">
        <v>594</v>
      </c>
      <c r="S92" s="357" t="str">
        <f t="shared" si="5"/>
        <v>- Reference Standards: API MPMS Chapter 3.1A (2013), Chapter 7 (2012), Chapter 17.4 (2016), Chapter 17.11(2016).</v>
      </c>
    </row>
    <row r="93" hidden="1" spans="17:19">
      <c r="Q93" s="790" t="s">
        <v>595</v>
      </c>
      <c r="R93" s="790" t="s">
        <v>596</v>
      </c>
      <c r="S93" s="357" t="str">
        <f t="shared" si="5"/>
        <v>- The above OBQ does not  address clingage, remaining in vessel’s lines, or cargo pumpablity. unless otherwise stated in this report.</v>
      </c>
    </row>
    <row r="94" hidden="1" spans="17:19">
      <c r="Q94" s="790" t="s">
        <v>597</v>
      </c>
      <c r="R94" s="790" t="s">
        <v>598</v>
      </c>
      <c r="S94" s="357" t="str">
        <f t="shared" si="5"/>
        <v>- Wedge volume refer to the wedge calculation report.</v>
      </c>
    </row>
    <row r="95" hidden="1" spans="17:26">
      <c r="Q95" s="357" t="s">
        <v>449</v>
      </c>
      <c r="R95" s="357" t="s">
        <v>450</v>
      </c>
      <c r="S95" s="357" t="str">
        <f>IF(Report_Language=$Q$1,Q95,R95)</f>
        <v>Yes</v>
      </c>
      <c r="Y95" s="357" t="s">
        <v>599</v>
      </c>
      <c r="Z95" s="357">
        <f>SUM(AA122:AA139)</f>
        <v>3747.87</v>
      </c>
    </row>
    <row r="96" hidden="1" spans="17:26">
      <c r="Q96" s="357" t="s">
        <v>451</v>
      </c>
      <c r="R96" s="357" t="s">
        <v>452</v>
      </c>
      <c r="S96" s="357" t="str">
        <f>IF(Report_Language=$Q$1,Q96,R96)</f>
        <v>No</v>
      </c>
      <c r="Y96" s="357" t="s">
        <v>600</v>
      </c>
      <c r="Z96" s="357">
        <f>IF($AA$121=立方米,Z95,T_1_bbls_to_cbm(Z95))</f>
        <v>3747.87</v>
      </c>
    </row>
    <row r="97" hidden="1" spans="17:26">
      <c r="Q97" s="790" t="s">
        <v>601</v>
      </c>
      <c r="R97" s="790" t="s">
        <v>601</v>
      </c>
      <c r="S97" s="357" t="str">
        <f>IF(Report_Language=$Q$1,Q97,R97)</f>
        <v>--</v>
      </c>
      <c r="Y97" s="357" t="s">
        <v>602</v>
      </c>
      <c r="Z97" s="357">
        <f>IF($AA$121=立方米,T_1_cbm_to_bbls(Z95),Z95)</f>
        <v>23573.39770044</v>
      </c>
    </row>
    <row r="98" hidden="1" spans="17:19">
      <c r="Q98" s="357" t="s">
        <v>603</v>
      </c>
      <c r="R98" s="373" t="s">
        <v>604</v>
      </c>
      <c r="S98" s="357" t="str">
        <f>IF(Report_Language=$Q$1,Q98,R98)</f>
        <v>ONBOARD QUANTITY REPORT </v>
      </c>
    </row>
    <row r="99" hidden="1"/>
    <row r="100" hidden="1"/>
    <row r="101" ht="18" hidden="1" customHeight="1" spans="1:32">
      <c r="A101" t="str">
        <f t="shared" ref="A101:A166" si="6">IF(OR(B101="隐藏",C101="隐藏"),"隐藏","显示")</f>
        <v>显示</v>
      </c>
      <c r="O101" s="379"/>
      <c r="P101" s="379"/>
      <c r="Q101" s="379"/>
      <c r="R101" s="379"/>
      <c r="S101" s="379"/>
      <c r="T101" s="379"/>
      <c r="U101" s="379"/>
      <c r="V101" s="379"/>
      <c r="W101" s="393"/>
      <c r="X101" s="393"/>
      <c r="Y101" s="393"/>
      <c r="Z101" s="393"/>
      <c r="AA101" s="410"/>
      <c r="AB101" s="410"/>
      <c r="AC101" s="410"/>
      <c r="AD101" s="410"/>
      <c r="AE101" s="410"/>
      <c r="AF101" s="410"/>
    </row>
    <row r="102" ht="18" hidden="1" customHeight="1" spans="1:32">
      <c r="A102" t="str">
        <f t="shared" si="6"/>
        <v>显示</v>
      </c>
      <c r="O102" s="380"/>
      <c r="P102" s="380"/>
      <c r="Q102" s="380"/>
      <c r="R102" s="380"/>
      <c r="S102" s="380"/>
      <c r="T102" s="394"/>
      <c r="U102" s="394"/>
      <c r="V102" s="394"/>
      <c r="W102" s="394"/>
      <c r="X102" s="394"/>
      <c r="Y102" s="394"/>
      <c r="Z102" s="394"/>
      <c r="AA102" s="410"/>
      <c r="AB102" s="410"/>
      <c r="AC102" s="410"/>
      <c r="AD102" s="410"/>
      <c r="AE102" s="410"/>
      <c r="AF102" s="410"/>
    </row>
    <row r="103" ht="10.2" customHeight="1" spans="1:30">
      <c r="A103" t="str">
        <f t="shared" si="6"/>
        <v>显示</v>
      </c>
      <c r="Z103" s="357" t="str">
        <f>S2</f>
        <v>JOB NO.</v>
      </c>
      <c r="AB103" s="411" t="str">
        <f>单号</f>
        <v>这就是爱</v>
      </c>
      <c r="AC103" s="411"/>
      <c r="AD103" s="411"/>
    </row>
    <row r="104" ht="14.25" spans="1:30">
      <c r="A104" t="str">
        <f t="shared" si="6"/>
        <v>显示</v>
      </c>
      <c r="Z104" s="357" t="str">
        <f>S3</f>
        <v>DATE OF REPORT</v>
      </c>
      <c r="AB104" s="412" t="str">
        <f>报告日期</f>
        <v>YYYY-MM-DD</v>
      </c>
      <c r="AC104" s="412"/>
      <c r="AD104" s="412"/>
    </row>
    <row r="105" ht="28.8" customHeight="1" spans="1:4">
      <c r="A105" t="str">
        <f t="shared" si="6"/>
        <v>显示</v>
      </c>
      <c r="D105" s="373"/>
    </row>
    <row r="106" ht="10.95" customHeight="1" spans="1:30">
      <c r="A106" t="str">
        <f t="shared" si="6"/>
        <v>显示</v>
      </c>
      <c r="B106" s="376" t="str">
        <f>IF(隐藏客户名称,"隐藏","显示")</f>
        <v>显示</v>
      </c>
      <c r="C106" s="377" t="b">
        <v>0</v>
      </c>
      <c r="D106" s="377"/>
      <c r="E106" s="377"/>
      <c r="F106" s="377"/>
      <c r="G106" s="377"/>
      <c r="O106" s="381" t="str">
        <f>S98</f>
        <v>ONBOARD QUANTITY REPORT </v>
      </c>
      <c r="P106" s="381"/>
      <c r="Q106" s="381"/>
      <c r="R106" s="381"/>
      <c r="S106" s="381"/>
      <c r="T106" s="381"/>
      <c r="U106" s="381"/>
      <c r="V106" s="395"/>
      <c r="W106" s="396" t="str">
        <f>J4</f>
        <v>APPLICANT</v>
      </c>
      <c r="X106" s="396"/>
      <c r="Y106" s="396"/>
      <c r="Z106" s="413" t="str">
        <f>客户名</f>
        <v>PETROCHINA </v>
      </c>
      <c r="AA106" s="413"/>
      <c r="AB106" s="413"/>
      <c r="AC106" s="413"/>
      <c r="AD106" s="413"/>
    </row>
    <row r="107" ht="10.95" customHeight="1" spans="1:30">
      <c r="A107" t="str">
        <f t="shared" si="6"/>
        <v>显示</v>
      </c>
      <c r="B107" s="376" t="str">
        <f>IF(隐藏客户编号,"隐藏","显示")</f>
        <v>显示</v>
      </c>
      <c r="C107" s="377" t="b">
        <v>0</v>
      </c>
      <c r="D107" s="377"/>
      <c r="E107" s="377"/>
      <c r="F107" s="377"/>
      <c r="G107" s="377"/>
      <c r="O107" s="381"/>
      <c r="P107" s="381"/>
      <c r="Q107" s="381"/>
      <c r="R107" s="381"/>
      <c r="S107" s="381"/>
      <c r="T107" s="381"/>
      <c r="U107" s="381"/>
      <c r="V107" s="395"/>
      <c r="W107" s="396" t="str">
        <f t="shared" ref="W107:W112" si="7">J5</f>
        <v>CLIENT'S REF. NO.</v>
      </c>
      <c r="X107" s="396"/>
      <c r="Y107" s="396"/>
      <c r="Z107" s="413" t="str">
        <f>客户编号</f>
        <v>说也说不清楚</v>
      </c>
      <c r="AA107" s="413"/>
      <c r="AB107" s="413"/>
      <c r="AC107" s="413"/>
      <c r="AD107" s="413"/>
    </row>
    <row r="108" ht="10.95" customHeight="1" spans="1:30">
      <c r="A108" t="str">
        <f t="shared" si="6"/>
        <v>显示</v>
      </c>
      <c r="B108" s="376"/>
      <c r="C108" s="377"/>
      <c r="D108" s="377"/>
      <c r="E108" s="377"/>
      <c r="F108" s="377"/>
      <c r="G108" s="377"/>
      <c r="O108" s="381"/>
      <c r="P108" s="381"/>
      <c r="Q108" s="381"/>
      <c r="R108" s="381"/>
      <c r="S108" s="381"/>
      <c r="T108" s="381"/>
      <c r="U108" s="381"/>
      <c r="V108" s="395"/>
      <c r="W108" s="396" t="str">
        <f t="shared" si="7"/>
        <v>COMMODITY</v>
      </c>
      <c r="X108" s="396"/>
      <c r="Y108" s="396"/>
      <c r="Z108" s="413" t="str">
        <f>品名</f>
        <v>Crude Oil6658</v>
      </c>
      <c r="AA108" s="413"/>
      <c r="AB108" s="413"/>
      <c r="AC108" s="413"/>
      <c r="AD108" s="413"/>
    </row>
    <row r="109" ht="10.95" customHeight="1" spans="1:30">
      <c r="A109" t="str">
        <f t="shared" si="6"/>
        <v>显示</v>
      </c>
      <c r="B109" s="376" t="str">
        <f>IF(隐藏船名,"隐藏","显示")</f>
        <v>显示</v>
      </c>
      <c r="C109" s="377" t="b">
        <v>0</v>
      </c>
      <c r="D109" s="377"/>
      <c r="E109" s="377"/>
      <c r="F109" s="377"/>
      <c r="G109" s="377"/>
      <c r="O109" s="381"/>
      <c r="P109" s="381"/>
      <c r="Q109" s="381"/>
      <c r="R109" s="381"/>
      <c r="S109" s="381"/>
      <c r="T109" s="381"/>
      <c r="U109" s="381"/>
      <c r="V109" s="395"/>
      <c r="W109" s="396" t="str">
        <f t="shared" si="7"/>
        <v>VESSEL</v>
      </c>
      <c r="X109" s="396"/>
      <c r="Y109" s="396"/>
      <c r="Z109" s="413" t="str">
        <f>船名</f>
        <v>MT ZhenYuanefdasdf</v>
      </c>
      <c r="AA109" s="413"/>
      <c r="AB109" s="413"/>
      <c r="AC109" s="413"/>
      <c r="AD109" s="413"/>
    </row>
    <row r="110" ht="10.95" customHeight="1" spans="1:30">
      <c r="A110" t="str">
        <f t="shared" si="6"/>
        <v>显示</v>
      </c>
      <c r="B110" s="376" t="str">
        <f>IF(隐藏港口名称,"隐藏","显示")</f>
        <v>显示</v>
      </c>
      <c r="C110" s="377" t="b">
        <v>0</v>
      </c>
      <c r="D110" s="377"/>
      <c r="E110" s="377"/>
      <c r="F110" s="377"/>
      <c r="G110" s="377"/>
      <c r="O110" s="381"/>
      <c r="P110" s="381"/>
      <c r="Q110" s="381"/>
      <c r="R110" s="381"/>
      <c r="S110" s="381"/>
      <c r="T110" s="381"/>
      <c r="U110" s="381"/>
      <c r="V110" s="395"/>
      <c r="W110" s="396" t="str">
        <f t="shared" si="7"/>
        <v>PORT</v>
      </c>
      <c r="X110" s="396"/>
      <c r="Y110" s="396"/>
      <c r="Z110" s="413" t="str">
        <f>港口名</f>
        <v>Dalian, Chinafsadfa</v>
      </c>
      <c r="AA110" s="413"/>
      <c r="AB110" s="413"/>
      <c r="AC110" s="413"/>
      <c r="AD110" s="413"/>
    </row>
    <row r="111" ht="10.95" customHeight="1" spans="1:30">
      <c r="A111" t="str">
        <f t="shared" si="6"/>
        <v>显示</v>
      </c>
      <c r="B111" s="376" t="str">
        <f>IF(隐藏油库名称,"隐藏","显示")</f>
        <v>显示</v>
      </c>
      <c r="C111" s="377" t="b">
        <v>0</v>
      </c>
      <c r="D111" s="377"/>
      <c r="E111" s="377"/>
      <c r="F111" s="377"/>
      <c r="G111" s="377"/>
      <c r="O111" s="381"/>
      <c r="P111" s="381"/>
      <c r="Q111" s="381"/>
      <c r="R111" s="381"/>
      <c r="S111" s="381"/>
      <c r="T111" s="381"/>
      <c r="U111" s="381"/>
      <c r="V111" s="395"/>
      <c r="W111" s="396" t="str">
        <f t="shared" si="7"/>
        <v>TERMINAL</v>
      </c>
      <c r="X111" s="396"/>
      <c r="Y111" s="396"/>
      <c r="Z111" s="413" t="str">
        <f>油库名</f>
        <v>Dalian Chinaoil, China1325415</v>
      </c>
      <c r="AA111" s="413"/>
      <c r="AB111" s="413"/>
      <c r="AC111" s="413"/>
      <c r="AD111" s="413"/>
    </row>
    <row r="112" ht="10.95" customHeight="1" spans="1:30">
      <c r="A112" t="str">
        <f t="shared" si="6"/>
        <v>显示</v>
      </c>
      <c r="B112" s="377"/>
      <c r="C112" s="377"/>
      <c r="D112" s="377"/>
      <c r="E112" s="377"/>
      <c r="F112" s="377"/>
      <c r="G112" s="377"/>
      <c r="O112" s="381"/>
      <c r="P112" s="381"/>
      <c r="Q112" s="381"/>
      <c r="R112" s="381"/>
      <c r="S112" s="381"/>
      <c r="T112" s="381"/>
      <c r="U112" s="381"/>
      <c r="V112" s="395"/>
      <c r="W112" s="396" t="str">
        <f t="shared" si="7"/>
        <v>DATE OF INSPECTION</v>
      </c>
      <c r="X112" s="396"/>
      <c r="Y112" s="396"/>
      <c r="Z112" s="413" t="str">
        <f>检验日期</f>
        <v>YYYY-MM-DD To YYYY-MM-DD</v>
      </c>
      <c r="AA112" s="413"/>
      <c r="AB112" s="413"/>
      <c r="AC112" s="413"/>
      <c r="AD112" s="413"/>
    </row>
    <row r="113" ht="7.95" customHeight="1" spans="1:34">
      <c r="A113" t="str">
        <f t="shared" si="6"/>
        <v>显示</v>
      </c>
      <c r="B113" s="377"/>
      <c r="C113" s="377"/>
      <c r="D113" s="377"/>
      <c r="E113" s="377"/>
      <c r="F113" s="377"/>
      <c r="G113" s="377"/>
      <c r="Q113" s="382"/>
      <c r="W113" s="397"/>
      <c r="AF113" s="710"/>
      <c r="AG113" s="710"/>
      <c r="AH113" s="710"/>
    </row>
    <row r="114" ht="7.95" customHeight="1" spans="1:34">
      <c r="A114" t="str">
        <f t="shared" si="6"/>
        <v>显示</v>
      </c>
      <c r="AF114" s="710"/>
      <c r="AG114" s="710"/>
      <c r="AH114" s="710"/>
    </row>
    <row r="115" ht="13.8" customHeight="1" spans="1:34">
      <c r="A115" t="str">
        <f t="shared" si="6"/>
        <v>显示</v>
      </c>
      <c r="O115" s="382" t="str">
        <f>S20</f>
        <v>Date :</v>
      </c>
      <c r="P115" s="383">
        <v>43871</v>
      </c>
      <c r="Q115" s="383"/>
      <c r="R115" s="383"/>
      <c r="T115" s="398" t="str">
        <f>S22</f>
        <v>Draft Fwd :</v>
      </c>
      <c r="U115" s="399">
        <v>3.2</v>
      </c>
      <c r="V115" s="357" t="str">
        <f>S37</f>
        <v>m</v>
      </c>
      <c r="W115" s="397" t="str">
        <f>S25</f>
        <v>Trim :</v>
      </c>
      <c r="Y115" s="414">
        <f>ABS(U116-U115)</f>
        <v>5.3</v>
      </c>
      <c r="Z115" s="397" t="str">
        <f>IF(OR(U115="",U116=""),"m",IF(U115&gt;U116,IF(Report_Language="英文 English","m By Head","米 艏倾"),IF(U115&lt;U116,IF(Report_Language="英文 English","m By Stern","米 艉倾"),IF(Report_Language="英文 English","Even Keel","平吃水"))))</f>
        <v>m By Stern</v>
      </c>
      <c r="AA115" s="415"/>
      <c r="AB115" s="415"/>
      <c r="AC115" s="416" t="str">
        <f>N7</f>
        <v>Density@15℃ (g/cm³)</v>
      </c>
      <c r="AD115" s="399">
        <v>0.981</v>
      </c>
      <c r="AF115" s="710"/>
      <c r="AG115" s="710"/>
      <c r="AH115" s="710"/>
    </row>
    <row r="116" ht="12" customHeight="1" spans="1:34">
      <c r="A116" t="str">
        <f t="shared" si="6"/>
        <v>显示</v>
      </c>
      <c r="O116" s="382" t="str">
        <f>S21</f>
        <v>Time :</v>
      </c>
      <c r="P116" s="384">
        <v>0.989583333333333</v>
      </c>
      <c r="Q116" s="384"/>
      <c r="R116" s="384"/>
      <c r="T116" s="398" t="str">
        <f>S23</f>
        <v>Draft Aft :</v>
      </c>
      <c r="U116" s="399">
        <v>8.5</v>
      </c>
      <c r="V116" s="357" t="str">
        <f>V115</f>
        <v>m</v>
      </c>
      <c r="W116" s="397" t="str">
        <f>S24</f>
        <v>List :</v>
      </c>
      <c r="Y116" s="417" t="str">
        <f>S28</f>
        <v>Upright</v>
      </c>
      <c r="AB116" s="418" t="str">
        <f>IF(OR(vcfTab="T-6C",vcfTab="T-24C"),F104,IF(OR(vcfTab="T-54C",vcfTab="T-60C"),F105,""))</f>
        <v/>
      </c>
      <c r="AC116" s="419">
        <v>0.00067</v>
      </c>
      <c r="AD116" s="419"/>
      <c r="AF116" s="711"/>
      <c r="AG116" s="710"/>
      <c r="AH116" s="710"/>
    </row>
    <row r="117" ht="6.6" customHeight="1" spans="1:34">
      <c r="A117" t="str">
        <f t="shared" si="6"/>
        <v>显示</v>
      </c>
      <c r="AF117" s="710"/>
      <c r="AG117" s="710"/>
      <c r="AH117" s="710"/>
    </row>
    <row r="118" ht="16.05" customHeight="1" spans="1:30">
      <c r="A118" t="str">
        <f t="shared" si="6"/>
        <v>显示</v>
      </c>
      <c r="O118" s="385" t="str">
        <f>S56</f>
        <v>Tank No.</v>
      </c>
      <c r="P118" s="386" t="str">
        <f>S57</f>
        <v>G.H.L.
(1)</v>
      </c>
      <c r="Q118" s="400" t="str">
        <f>S58</f>
        <v>Gauge</v>
      </c>
      <c r="R118" s="401"/>
      <c r="S118" s="402"/>
      <c r="T118" s="400" t="str">
        <f>S64</f>
        <v>Total Observed Volume</v>
      </c>
      <c r="U118" s="401"/>
      <c r="V118" s="402"/>
      <c r="W118" s="400" t="str">
        <f>S65</f>
        <v>Free Water</v>
      </c>
      <c r="X118" s="401"/>
      <c r="Y118" s="401"/>
      <c r="Z118" s="402"/>
      <c r="AA118" s="386" t="str">
        <f>S67</f>
        <v>Gross Observed Volume</v>
      </c>
      <c r="AB118" s="421" t="str">
        <f>S60</f>
        <v>Temp</v>
      </c>
      <c r="AC118" s="421" t="str">
        <f>S68</f>
        <v>VCF</v>
      </c>
      <c r="AD118" s="422" t="str">
        <f>S69</f>
        <v>Gross Standard Volume</v>
      </c>
    </row>
    <row r="119" ht="16.05" customHeight="1" spans="1:30">
      <c r="A119" t="str">
        <f t="shared" si="6"/>
        <v>显示</v>
      </c>
      <c r="O119" s="387"/>
      <c r="P119" s="388"/>
      <c r="Q119" s="388" t="str">
        <f>S61</f>
        <v>I/U
(2)</v>
      </c>
      <c r="R119" s="403" t="str">
        <f>S62</f>
        <v>Obs'd</v>
      </c>
      <c r="S119" s="403" t="str">
        <f>S63</f>
        <v>Corr'd</v>
      </c>
      <c r="T119" s="404" t="str">
        <f>S77</f>
        <v>Liquid</v>
      </c>
      <c r="U119" s="405"/>
      <c r="V119" s="388" t="str">
        <f>S78</f>
        <v>Nonliquid</v>
      </c>
      <c r="W119" s="404" t="str">
        <f>S58</f>
        <v>Gauge</v>
      </c>
      <c r="X119" s="405"/>
      <c r="Y119" s="423" t="str">
        <f>S66</f>
        <v>Volume</v>
      </c>
      <c r="Z119" s="424"/>
      <c r="AA119" s="388"/>
      <c r="AB119" s="403"/>
      <c r="AC119" s="403"/>
      <c r="AD119" s="425"/>
    </row>
    <row r="120" ht="16.05" customHeight="1" spans="1:30">
      <c r="A120" t="str">
        <f t="shared" si="6"/>
        <v>显示</v>
      </c>
      <c r="O120" s="387"/>
      <c r="P120" s="388"/>
      <c r="Q120" s="388"/>
      <c r="R120" s="403"/>
      <c r="S120" s="403"/>
      <c r="T120" s="403" t="str">
        <f>S79</f>
        <v>Table</v>
      </c>
      <c r="U120" s="388" t="str">
        <f>S80</f>
        <v>Wedge</v>
      </c>
      <c r="V120" s="388"/>
      <c r="W120" s="388" t="str">
        <f>S61</f>
        <v>I/U
(2)</v>
      </c>
      <c r="X120" s="388" t="str">
        <f>R119</f>
        <v>Obs'd</v>
      </c>
      <c r="Y120" s="388" t="str">
        <f>T120</f>
        <v>Table</v>
      </c>
      <c r="Z120" s="388" t="str">
        <f>U120</f>
        <v>Wedge</v>
      </c>
      <c r="AA120" s="388"/>
      <c r="AB120" s="403"/>
      <c r="AC120" s="426" t="str">
        <f>vcfTab</f>
        <v>T-60B</v>
      </c>
      <c r="AD120" s="425" t="str">
        <f>IF(LEFT($AC$120,4)="T-54",$S$38&amp;CHAR(10)&amp;"@15℃",IF(LEFT($AC$120,4)="T-60",$S$38&amp;CHAR(10)&amp;"@20℃",$S$39&amp;CHAR(10)&amp;"@60℉"))</f>
        <v>m³
@20℃</v>
      </c>
    </row>
    <row r="121" ht="16.05" customHeight="1" spans="1:30">
      <c r="A121" t="str">
        <f t="shared" si="6"/>
        <v>显示</v>
      </c>
      <c r="B121" s="378"/>
      <c r="C121" s="378"/>
      <c r="D121" s="357" t="s">
        <v>605</v>
      </c>
      <c r="E121" s="357" t="s">
        <v>606</v>
      </c>
      <c r="F121" s="357" t="s">
        <v>607</v>
      </c>
      <c r="G121" s="357" t="s">
        <v>608</v>
      </c>
      <c r="H121" s="357" t="s">
        <v>609</v>
      </c>
      <c r="I121" s="357" t="s">
        <v>610</v>
      </c>
      <c r="J121" s="357" t="s">
        <v>611</v>
      </c>
      <c r="K121" s="357" t="s">
        <v>612</v>
      </c>
      <c r="L121" s="357" t="s">
        <v>613</v>
      </c>
      <c r="M121" s="357" t="s">
        <v>614</v>
      </c>
      <c r="O121" s="389"/>
      <c r="P121" s="390"/>
      <c r="Q121" s="390"/>
      <c r="R121" s="406" t="str">
        <f>S37</f>
        <v>m</v>
      </c>
      <c r="S121" s="406" t="str">
        <f>S37</f>
        <v>m</v>
      </c>
      <c r="T121" s="407" t="str">
        <f>表体积单位</f>
        <v>m³</v>
      </c>
      <c r="U121" s="390" t="str">
        <f>T121</f>
        <v>m³</v>
      </c>
      <c r="V121" s="390" t="str">
        <f>T121</f>
        <v>m³</v>
      </c>
      <c r="W121" s="390"/>
      <c r="X121" s="408" t="str">
        <f>R121</f>
        <v>m</v>
      </c>
      <c r="Y121" s="407" t="str">
        <f>T121</f>
        <v>m³</v>
      </c>
      <c r="Z121" s="390" t="str">
        <f>T121</f>
        <v>m³</v>
      </c>
      <c r="AA121" s="406" t="str">
        <f>T121</f>
        <v>m³</v>
      </c>
      <c r="AB121" s="427" t="s">
        <v>495</v>
      </c>
      <c r="AC121" s="428" t="str">
        <f>IF(语言序号=1,"Ver. "&amp;vcfVersion,vcfVersion&amp;"版")</f>
        <v>Ver. 2004</v>
      </c>
      <c r="AD121" s="429"/>
    </row>
    <row r="122" ht="11.4" customHeight="1" spans="1:30">
      <c r="A122" t="str">
        <f t="shared" si="6"/>
        <v>显示</v>
      </c>
      <c r="B122" s="378"/>
      <c r="C122" s="378"/>
      <c r="D122" s="357">
        <f t="shared" ref="D122:D139" si="8">SUM(T122:U122)</f>
        <v>123.325</v>
      </c>
      <c r="E122" s="357">
        <f>IF($T$121=$S$38,D122,ROUND(T_1_bbls_to_cbm(D122),3))</f>
        <v>123.325</v>
      </c>
      <c r="F122" s="357">
        <f>IF($T$121=$S$39,D122,ROUND(T_1_cbm_to_bbls(D122),2))</f>
        <v>775.69</v>
      </c>
      <c r="G122" s="357">
        <f>IF($T$121=$S$38,V122,ROUND(T_1_bbls_to_cbm(V122),3))</f>
        <v>786</v>
      </c>
      <c r="H122" s="357">
        <f>IF($T$121=$S$39,V122,ROUND(T_1_cbm_to_bbls(V122),2))</f>
        <v>4943.79</v>
      </c>
      <c r="I122" s="357">
        <f>SUM(Y122:Z122)</f>
        <v>675</v>
      </c>
      <c r="J122" s="357">
        <f>IF($T$121=$S$38,I122,ROUND(T_1_bbls_to_cbm(I122),3))</f>
        <v>675</v>
      </c>
      <c r="K122" s="357">
        <f>IF($T$121=$S$39,I122,ROUND(T_1_cbm_to_bbls(I122),2))</f>
        <v>4245.62</v>
      </c>
      <c r="L122" s="357">
        <f t="shared" ref="L122:L139" si="9">IF(OR(LEFT(vcfTab,4)="T-60",LEFT(vcfTab,4)="T-54"),ROUND((TOV_Liquid_CBM-TOV_FW_CBM)*AC122,3),ROUND((TOV_Liquid_bbls-TOV_FW_bbls)*AC122,2))</f>
        <v>-528.885</v>
      </c>
      <c r="M122" s="357">
        <f t="shared" ref="M122:M139" si="10">IF(OR(LEFT(vcfTab,4)="T-60",LEFT(vcfTab,4)="T-54"),TOV_Nonliquid_CBM,TOV_Nonliquid_bbls)</f>
        <v>786</v>
      </c>
      <c r="O122" s="391" t="s">
        <v>615</v>
      </c>
      <c r="P122" s="392" t="s">
        <v>616</v>
      </c>
      <c r="Q122" s="392" t="s">
        <v>617</v>
      </c>
      <c r="R122" s="409">
        <v>0.19</v>
      </c>
      <c r="S122" s="409">
        <v>35.35</v>
      </c>
      <c r="T122" s="392">
        <v>123.325</v>
      </c>
      <c r="U122" s="392" t="s">
        <v>618</v>
      </c>
      <c r="V122" s="392">
        <v>786</v>
      </c>
      <c r="W122" s="392" t="s">
        <v>619</v>
      </c>
      <c r="X122" s="392">
        <v>0.023</v>
      </c>
      <c r="Y122" s="392">
        <v>675</v>
      </c>
      <c r="Z122" s="392" t="s">
        <v>618</v>
      </c>
      <c r="AA122" s="430">
        <f t="shared" ref="AA122:AA139" si="11">IF(AND(O122="",TOV_Liquid="",Nonliquid=""),"",TOV_Liquid+Nonliquid-TOV_FW)</f>
        <v>234.325</v>
      </c>
      <c r="AB122" s="431">
        <v>78.9</v>
      </c>
      <c r="AC122" s="432">
        <f>IF(AND(O122="",P122="",Q122=""),"",IF(ISNUMBER(AB122)=FALSE,1,vcf(vcfTab,vcfVersion,$R$141,$AB$121,AB122,$AC$116)))</f>
        <v>0.95869</v>
      </c>
      <c r="AD122" s="433">
        <f t="shared" ref="AD122:AD139" si="12">IF(OR(P122="",Q122="",R122="",S122=""),"",L122+M122)</f>
        <v>257.115</v>
      </c>
    </row>
    <row r="123" ht="11.4" customHeight="1" spans="1:30">
      <c r="A123" t="str">
        <f t="shared" si="6"/>
        <v>显示</v>
      </c>
      <c r="B123" s="378"/>
      <c r="C123" s="378"/>
      <c r="D123" s="357">
        <f t="shared" si="8"/>
        <v>123.345</v>
      </c>
      <c r="E123" s="357">
        <f>IF($T$121=$S$38,D123,ROUND(T_1_bbls_to_cbm(D123),3))</f>
        <v>123.345</v>
      </c>
      <c r="F123" s="357">
        <f>IF($T$121=$S$39,D123,ROUND(T_1_cbm_to_bbls(D123),2))</f>
        <v>775.82</v>
      </c>
      <c r="G123" s="357">
        <f>IF($T$121=$S$38,V123,ROUND(T_1_bbls_to_cbm(V123),3))</f>
        <v>67</v>
      </c>
      <c r="H123" s="357">
        <f>IF($T$121=$S$39,V123,ROUND(T_1_cbm_to_bbls(V123),2))</f>
        <v>421.42</v>
      </c>
      <c r="I123" s="357">
        <f>SUM(Y123:Z123)</f>
        <v>87</v>
      </c>
      <c r="J123" s="357">
        <f>IF($T$121=$S$38,I123,ROUND(T_1_bbls_to_cbm(I123),3))</f>
        <v>87</v>
      </c>
      <c r="K123" s="357">
        <f>IF($T$121=$S$39,I123,ROUND(T_1_cbm_to_bbls(I123),2))</f>
        <v>547.21</v>
      </c>
      <c r="L123" s="357">
        <f t="shared" si="9"/>
        <v>35.976</v>
      </c>
      <c r="M123" s="357">
        <f t="shared" si="10"/>
        <v>67</v>
      </c>
      <c r="O123" s="391" t="s">
        <v>620</v>
      </c>
      <c r="P123" s="392" t="s">
        <v>616</v>
      </c>
      <c r="Q123" s="392" t="s">
        <v>617</v>
      </c>
      <c r="R123" s="409">
        <v>0.19</v>
      </c>
      <c r="S123" s="409">
        <v>35.35</v>
      </c>
      <c r="T123" s="392">
        <v>123.345</v>
      </c>
      <c r="U123" s="392" t="s">
        <v>618</v>
      </c>
      <c r="V123" s="392">
        <v>67</v>
      </c>
      <c r="W123" s="392" t="s">
        <v>619</v>
      </c>
      <c r="X123" s="392">
        <v>0.014</v>
      </c>
      <c r="Y123" s="392" t="s">
        <v>366</v>
      </c>
      <c r="Z123" s="392">
        <v>87</v>
      </c>
      <c r="AA123" s="430">
        <f t="shared" si="11"/>
        <v>103.345</v>
      </c>
      <c r="AB123" s="431">
        <v>34.6</v>
      </c>
      <c r="AC123" s="432">
        <f>IF(AND(O123="",P123="",Q123=""),"",IF(ISNUMBER(AB123)=FALSE,1,vcf(vcfTab,vcfVersion,$R$141,$AB$121,AB123,$AC$116)))</f>
        <v>0.98984</v>
      </c>
      <c r="AD123" s="433">
        <f t="shared" si="12"/>
        <v>102.976</v>
      </c>
    </row>
    <row r="124" ht="11.4" customHeight="1" spans="1:30">
      <c r="A124" t="str">
        <f t="shared" si="6"/>
        <v>显示</v>
      </c>
      <c r="B124" s="378"/>
      <c r="C124" s="378"/>
      <c r="D124" s="357">
        <f t="shared" si="8"/>
        <v>2324.32</v>
      </c>
      <c r="E124" s="357">
        <f>IF($T$121=$S$38,D124,ROUND(T_1_bbls_to_cbm(D124),3))</f>
        <v>2324.32</v>
      </c>
      <c r="F124" s="357">
        <f>IF($T$121=$S$39,D124,ROUND(T_1_cbm_to_bbls(D124),2))</f>
        <v>14619.54</v>
      </c>
      <c r="G124" s="357">
        <f>IF($T$121=$S$38,V124,ROUND(T_1_bbls_to_cbm(V124),3))</f>
        <v>98</v>
      </c>
      <c r="H124" s="357">
        <f>IF($T$121=$S$39,V124,ROUND(T_1_cbm_to_bbls(V124),2))</f>
        <v>616.4</v>
      </c>
      <c r="I124" s="357">
        <f t="shared" ref="I124:I139" si="13">SUM(Y124:Z124)</f>
        <v>0</v>
      </c>
      <c r="J124" s="357">
        <f>IF($T$121=$S$38,I124,ROUND(T_1_bbls_to_cbm(I124),3))</f>
        <v>0</v>
      </c>
      <c r="K124" s="357">
        <f>IF($T$121=$S$39,I124,ROUND(T_1_cbm_to_bbls(I124),2))</f>
        <v>0</v>
      </c>
      <c r="L124" s="357">
        <f t="shared" si="9"/>
        <v>2319.485</v>
      </c>
      <c r="M124" s="357">
        <f t="shared" si="10"/>
        <v>98</v>
      </c>
      <c r="O124" s="391" t="s">
        <v>621</v>
      </c>
      <c r="P124" s="392" t="s">
        <v>622</v>
      </c>
      <c r="Q124" s="392" t="s">
        <v>619</v>
      </c>
      <c r="R124" s="409">
        <v>0.19</v>
      </c>
      <c r="S124" s="409">
        <v>35.35</v>
      </c>
      <c r="T124" s="392">
        <v>2324.32</v>
      </c>
      <c r="U124" s="392" t="s">
        <v>618</v>
      </c>
      <c r="V124" s="392">
        <v>98</v>
      </c>
      <c r="W124" s="392" t="s">
        <v>619</v>
      </c>
      <c r="X124" s="709">
        <v>0.03</v>
      </c>
      <c r="Y124" s="392"/>
      <c r="Z124" s="392"/>
      <c r="AA124" s="430">
        <f t="shared" si="11"/>
        <v>2422.32</v>
      </c>
      <c r="AB124" s="431">
        <v>23</v>
      </c>
      <c r="AC124" s="432">
        <f>IF(AND(O124="",P124="",Q124=""),"",IF(ISNUMBER(AB124)=FALSE,1,vcf(vcfTab,vcfVersion,$R$141,$AB$121,AB124,$AC$116)))</f>
        <v>0.99792</v>
      </c>
      <c r="AD124" s="433">
        <f t="shared" si="12"/>
        <v>2417.485</v>
      </c>
    </row>
    <row r="125" ht="11.4" customHeight="1" spans="1:30">
      <c r="A125" t="str">
        <f t="shared" si="6"/>
        <v>显示</v>
      </c>
      <c r="B125" s="378"/>
      <c r="C125" s="378"/>
      <c r="D125" s="357">
        <f t="shared" si="8"/>
        <v>23.56</v>
      </c>
      <c r="E125" s="357">
        <f>IF($T$121=$S$38,D125,ROUND(T_1_bbls_to_cbm(D125),3))</f>
        <v>23.56</v>
      </c>
      <c r="F125" s="357">
        <f>IF($T$121=$S$39,D125,ROUND(T_1_cbm_to_bbls(D125),2))</f>
        <v>148.19</v>
      </c>
      <c r="G125" s="357">
        <f>IF($T$121=$S$38,V125,ROUND(T_1_bbls_to_cbm(V125),3))</f>
        <v>0</v>
      </c>
      <c r="H125" s="357">
        <f>IF($T$121=$S$39,V125,ROUND(T_1_cbm_to_bbls(V125),2))</f>
        <v>0</v>
      </c>
      <c r="I125" s="357">
        <f t="shared" si="13"/>
        <v>0</v>
      </c>
      <c r="J125" s="357">
        <f>IF($T$121=$S$38,I125,ROUND(T_1_bbls_to_cbm(I125),3))</f>
        <v>0</v>
      </c>
      <c r="K125" s="357">
        <f>IF($T$121=$S$39,I125,ROUND(T_1_cbm_to_bbls(I125),2))</f>
        <v>0</v>
      </c>
      <c r="L125" s="357">
        <f t="shared" si="9"/>
        <v>23.511</v>
      </c>
      <c r="M125" s="357">
        <f t="shared" si="10"/>
        <v>0</v>
      </c>
      <c r="O125" s="391" t="s">
        <v>623</v>
      </c>
      <c r="P125" s="392" t="s">
        <v>624</v>
      </c>
      <c r="Q125" s="392" t="s">
        <v>617</v>
      </c>
      <c r="R125" s="409">
        <v>0.19</v>
      </c>
      <c r="S125" s="409">
        <v>35.35</v>
      </c>
      <c r="T125" s="392" t="s">
        <v>618</v>
      </c>
      <c r="U125" s="392">
        <v>23.56</v>
      </c>
      <c r="V125" s="392">
        <v>0</v>
      </c>
      <c r="W125" s="392" t="s">
        <v>619</v>
      </c>
      <c r="X125" s="709">
        <v>0.03</v>
      </c>
      <c r="Y125" s="392"/>
      <c r="Z125" s="392"/>
      <c r="AA125" s="430">
        <f t="shared" si="11"/>
        <v>23.56</v>
      </c>
      <c r="AB125" s="431">
        <v>23</v>
      </c>
      <c r="AC125" s="432">
        <f>IF(AND(O125="",P125="",Q125=""),"",IF(ISNUMBER(AB125)=FALSE,1,vcf(vcfTab,vcfVersion,$R$141,$AB$121,AB125,$AC$116)))</f>
        <v>0.99792</v>
      </c>
      <c r="AD125" s="433">
        <f t="shared" si="12"/>
        <v>23.511</v>
      </c>
    </row>
    <row r="126" ht="11.4" customHeight="1" spans="1:30">
      <c r="A126" t="str">
        <f t="shared" si="6"/>
        <v>显示</v>
      </c>
      <c r="B126" s="378"/>
      <c r="C126" s="378"/>
      <c r="D126" s="357">
        <f t="shared" si="8"/>
        <v>23.88</v>
      </c>
      <c r="E126" s="357">
        <f>IF($T$121=$S$38,D126,ROUND(T_1_bbls_to_cbm(D126),3))</f>
        <v>23.88</v>
      </c>
      <c r="F126" s="357">
        <f>IF($T$121=$S$39,D126,ROUND(T_1_cbm_to_bbls(D126),2))</f>
        <v>150.2</v>
      </c>
      <c r="G126" s="357">
        <f>IF($T$121=$S$38,V126,ROUND(T_1_bbls_to_cbm(V126),3))</f>
        <v>45</v>
      </c>
      <c r="H126" s="357">
        <f>IF($T$121=$S$39,V126,ROUND(T_1_cbm_to_bbls(V126),2))</f>
        <v>283.04</v>
      </c>
      <c r="I126" s="357">
        <f t="shared" si="13"/>
        <v>0</v>
      </c>
      <c r="J126" s="357">
        <f>IF($T$121=$S$38,I126,ROUND(T_1_bbls_to_cbm(I126),3))</f>
        <v>0</v>
      </c>
      <c r="K126" s="357">
        <f>IF($T$121=$S$39,I126,ROUND(T_1_cbm_to_bbls(I126),2))</f>
        <v>0</v>
      </c>
      <c r="L126" s="357">
        <f t="shared" si="9"/>
        <v>23.464</v>
      </c>
      <c r="M126" s="357">
        <f t="shared" si="10"/>
        <v>45</v>
      </c>
      <c r="O126" s="391" t="s">
        <v>625</v>
      </c>
      <c r="P126" s="392" t="s">
        <v>626</v>
      </c>
      <c r="Q126" s="392" t="s">
        <v>617</v>
      </c>
      <c r="R126" s="409">
        <v>0.19</v>
      </c>
      <c r="S126" s="409">
        <v>35.35</v>
      </c>
      <c r="T126" s="392" t="s">
        <v>618</v>
      </c>
      <c r="U126" s="392">
        <v>23.88</v>
      </c>
      <c r="V126" s="392">
        <v>45</v>
      </c>
      <c r="W126" s="392" t="s">
        <v>619</v>
      </c>
      <c r="X126" s="709">
        <v>0.03</v>
      </c>
      <c r="Y126" s="392"/>
      <c r="Z126" s="392"/>
      <c r="AA126" s="430">
        <f t="shared" si="11"/>
        <v>68.88</v>
      </c>
      <c r="AB126" s="431">
        <v>45</v>
      </c>
      <c r="AC126" s="432">
        <f>IF(AND(O126="",P126="",Q126=""),"",IF(ISNUMBER(AB126)=FALSE,1,vcf(vcfTab,vcfVersion,$R$141,$AB$121,AB126,$AC$116)))</f>
        <v>0.98257</v>
      </c>
      <c r="AD126" s="433">
        <f t="shared" si="12"/>
        <v>68.464</v>
      </c>
    </row>
    <row r="127" ht="11.4" customHeight="1" spans="1:30">
      <c r="A127" t="str">
        <f t="shared" si="6"/>
        <v>显示</v>
      </c>
      <c r="B127" s="378"/>
      <c r="C127" s="378"/>
      <c r="D127" s="357">
        <f t="shared" si="8"/>
        <v>23.88</v>
      </c>
      <c r="E127" s="357">
        <f>IF($T$121=$S$38,D127,ROUND(T_1_bbls_to_cbm(D127),3))</f>
        <v>23.88</v>
      </c>
      <c r="F127" s="357">
        <f>IF($T$121=$S$39,D127,ROUND(T_1_cbm_to_bbls(D127),2))</f>
        <v>150.2</v>
      </c>
      <c r="G127" s="357">
        <f>IF($T$121=$S$38,V127,ROUND(T_1_bbls_to_cbm(V127),3))</f>
        <v>45</v>
      </c>
      <c r="H127" s="357">
        <f>IF($T$121=$S$39,V127,ROUND(T_1_cbm_to_bbls(V127),2))</f>
        <v>283.04</v>
      </c>
      <c r="I127" s="357">
        <f t="shared" si="13"/>
        <v>0</v>
      </c>
      <c r="J127" s="357">
        <f>IF($T$121=$S$38,I127,ROUND(T_1_bbls_to_cbm(I127),3))</f>
        <v>0</v>
      </c>
      <c r="K127" s="357">
        <f>IF($T$121=$S$39,I127,ROUND(T_1_cbm_to_bbls(I127),2))</f>
        <v>0</v>
      </c>
      <c r="L127" s="357">
        <f t="shared" si="9"/>
        <v>23.88</v>
      </c>
      <c r="M127" s="357">
        <f t="shared" si="10"/>
        <v>45</v>
      </c>
      <c r="O127" s="391" t="s">
        <v>627</v>
      </c>
      <c r="P127" s="392" t="s">
        <v>624</v>
      </c>
      <c r="Q127" s="392" t="s">
        <v>617</v>
      </c>
      <c r="R127" s="409">
        <v>0.19</v>
      </c>
      <c r="S127" s="409">
        <v>35.35</v>
      </c>
      <c r="T127" s="392" t="s">
        <v>618</v>
      </c>
      <c r="U127" s="392">
        <v>23.88</v>
      </c>
      <c r="V127" s="392">
        <v>45</v>
      </c>
      <c r="W127" s="392" t="s">
        <v>619</v>
      </c>
      <c r="X127" s="709">
        <v>0.03</v>
      </c>
      <c r="Y127" s="392"/>
      <c r="Z127" s="392"/>
      <c r="AA127" s="430">
        <f t="shared" si="11"/>
        <v>68.88</v>
      </c>
      <c r="AB127" s="431" t="s">
        <v>618</v>
      </c>
      <c r="AC127" s="432">
        <f>IF(AND(O127="",P127="",Q127=""),"",IF(ISNUMBER(AB127)=FALSE,1,vcf(vcfTab,vcfVersion,$R$141,$AB$121,AB127,$AC$116)))</f>
        <v>1</v>
      </c>
      <c r="AD127" s="433">
        <f t="shared" si="12"/>
        <v>68.88</v>
      </c>
    </row>
    <row r="128" ht="11.4" customHeight="1" spans="1:30">
      <c r="A128" t="str">
        <f t="shared" si="6"/>
        <v>显示</v>
      </c>
      <c r="B128" s="378"/>
      <c r="C128" s="378"/>
      <c r="D128" s="357">
        <f t="shared" si="8"/>
        <v>23.88</v>
      </c>
      <c r="E128" s="357">
        <f>IF($T$121=$S$38,D128,ROUND(T_1_bbls_to_cbm(D128),3))</f>
        <v>23.88</v>
      </c>
      <c r="F128" s="357">
        <f>IF($T$121=$S$39,D128,ROUND(T_1_cbm_to_bbls(D128),2))</f>
        <v>150.2</v>
      </c>
      <c r="G128" s="357">
        <f>IF($T$121=$S$38,V128,ROUND(T_1_bbls_to_cbm(V128),3))</f>
        <v>45</v>
      </c>
      <c r="H128" s="357">
        <f>IF($T$121=$S$39,V128,ROUND(T_1_cbm_to_bbls(V128),2))</f>
        <v>283.04</v>
      </c>
      <c r="I128" s="357">
        <f t="shared" si="13"/>
        <v>0</v>
      </c>
      <c r="J128" s="357">
        <f>IF($T$121=$S$38,I128,ROUND(T_1_bbls_to_cbm(I128),3))</f>
        <v>0</v>
      </c>
      <c r="K128" s="357">
        <f>IF($T$121=$S$39,I128,ROUND(T_1_cbm_to_bbls(I128),2))</f>
        <v>0</v>
      </c>
      <c r="L128" s="357">
        <f t="shared" si="9"/>
        <v>23.88</v>
      </c>
      <c r="M128" s="357">
        <f t="shared" si="10"/>
        <v>45</v>
      </c>
      <c r="O128" s="391" t="s">
        <v>628</v>
      </c>
      <c r="P128" s="392" t="s">
        <v>624</v>
      </c>
      <c r="Q128" s="392" t="s">
        <v>617</v>
      </c>
      <c r="R128" s="409">
        <v>0.19</v>
      </c>
      <c r="S128" s="409">
        <v>35.35</v>
      </c>
      <c r="T128" s="392" t="s">
        <v>618</v>
      </c>
      <c r="U128" s="392">
        <v>23.88</v>
      </c>
      <c r="V128" s="392">
        <v>45</v>
      </c>
      <c r="W128" s="392" t="s">
        <v>619</v>
      </c>
      <c r="X128" s="709">
        <v>0.03</v>
      </c>
      <c r="Y128" s="392"/>
      <c r="Z128" s="392"/>
      <c r="AA128" s="430">
        <f t="shared" si="11"/>
        <v>68.88</v>
      </c>
      <c r="AB128" s="431"/>
      <c r="AC128" s="432">
        <f>IF(AND(O128="",P128="",Q128=""),"",IF(ISNUMBER(AB128)=FALSE,1,vcf(vcfTab,vcfVersion,$R$141,$AB$121,AB128,$AC$116)))</f>
        <v>1</v>
      </c>
      <c r="AD128" s="433">
        <f t="shared" si="12"/>
        <v>68.88</v>
      </c>
    </row>
    <row r="129" ht="11.4" customHeight="1" spans="1:30">
      <c r="A129" t="str">
        <f t="shared" si="6"/>
        <v>显示</v>
      </c>
      <c r="B129" s="378"/>
      <c r="C129" s="378"/>
      <c r="D129" s="357">
        <f t="shared" si="8"/>
        <v>23.88</v>
      </c>
      <c r="E129" s="357">
        <f>IF($T$121=$S$38,D129,ROUND(T_1_bbls_to_cbm(D129),3))</f>
        <v>23.88</v>
      </c>
      <c r="F129" s="357">
        <f>IF($T$121=$S$39,D129,ROUND(T_1_cbm_to_bbls(D129),2))</f>
        <v>150.2</v>
      </c>
      <c r="G129" s="357">
        <f>IF($T$121=$S$38,V129,ROUND(T_1_bbls_to_cbm(V129),3))</f>
        <v>45</v>
      </c>
      <c r="H129" s="357">
        <f>IF($T$121=$S$39,V129,ROUND(T_1_cbm_to_bbls(V129),2))</f>
        <v>283.04</v>
      </c>
      <c r="I129" s="357">
        <f t="shared" si="13"/>
        <v>0</v>
      </c>
      <c r="J129" s="357">
        <f>IF($T$121=$S$38,I129,ROUND(T_1_bbls_to_cbm(I129),3))</f>
        <v>0</v>
      </c>
      <c r="K129" s="357">
        <f>IF($T$121=$S$39,I129,ROUND(T_1_cbm_to_bbls(I129),2))</f>
        <v>0</v>
      </c>
      <c r="L129" s="357">
        <f t="shared" si="9"/>
        <v>23.88</v>
      </c>
      <c r="M129" s="357">
        <f t="shared" si="10"/>
        <v>45</v>
      </c>
      <c r="O129" s="391" t="s">
        <v>629</v>
      </c>
      <c r="P129" s="392" t="s">
        <v>624</v>
      </c>
      <c r="Q129" s="392" t="s">
        <v>617</v>
      </c>
      <c r="R129" s="409">
        <v>0.19</v>
      </c>
      <c r="S129" s="409">
        <v>35.35</v>
      </c>
      <c r="T129" s="392" t="s">
        <v>618</v>
      </c>
      <c r="U129" s="392">
        <v>23.88</v>
      </c>
      <c r="V129" s="392">
        <v>45</v>
      </c>
      <c r="W129" s="392" t="s">
        <v>619</v>
      </c>
      <c r="X129" s="709">
        <v>0.03</v>
      </c>
      <c r="Y129" s="392"/>
      <c r="Z129" s="392"/>
      <c r="AA129" s="430">
        <f t="shared" si="11"/>
        <v>68.88</v>
      </c>
      <c r="AB129" s="431"/>
      <c r="AC129" s="432">
        <f>IF(AND(O129="",P129="",Q129=""),"",IF(ISNUMBER(AB129)=FALSE,1,vcf(vcfTab,vcfVersion,$R$141,$AB$121,AB129,$AC$116)))</f>
        <v>1</v>
      </c>
      <c r="AD129" s="433">
        <f t="shared" si="12"/>
        <v>68.88</v>
      </c>
    </row>
    <row r="130" ht="11.4" customHeight="1" spans="1:30">
      <c r="A130" t="str">
        <f t="shared" si="6"/>
        <v>显示</v>
      </c>
      <c r="B130" s="378"/>
      <c r="C130" s="378"/>
      <c r="D130" s="357">
        <f t="shared" si="8"/>
        <v>23.88</v>
      </c>
      <c r="E130" s="357">
        <f>IF($T$121=$S$38,D130,ROUND(T_1_bbls_to_cbm(D130),3))</f>
        <v>23.88</v>
      </c>
      <c r="F130" s="357">
        <f>IF($T$121=$S$39,D130,ROUND(T_1_cbm_to_bbls(D130),2))</f>
        <v>150.2</v>
      </c>
      <c r="G130" s="357">
        <f>IF($T$121=$S$38,V130,ROUND(T_1_bbls_to_cbm(V130),3))</f>
        <v>45</v>
      </c>
      <c r="H130" s="357">
        <f>IF($T$121=$S$39,V130,ROUND(T_1_cbm_to_bbls(V130),2))</f>
        <v>283.04</v>
      </c>
      <c r="I130" s="357">
        <f t="shared" si="13"/>
        <v>0</v>
      </c>
      <c r="J130" s="357">
        <f>IF($T$121=$S$38,I130,ROUND(T_1_bbls_to_cbm(I130),3))</f>
        <v>0</v>
      </c>
      <c r="K130" s="357">
        <f>IF($T$121=$S$39,I130,ROUND(T_1_cbm_to_bbls(I130),2))</f>
        <v>0</v>
      </c>
      <c r="L130" s="357">
        <f t="shared" si="9"/>
        <v>23.88</v>
      </c>
      <c r="M130" s="357">
        <f t="shared" si="10"/>
        <v>45</v>
      </c>
      <c r="O130" s="391" t="s">
        <v>630</v>
      </c>
      <c r="P130" s="392" t="s">
        <v>624</v>
      </c>
      <c r="Q130" s="392" t="s">
        <v>617</v>
      </c>
      <c r="R130" s="409">
        <v>0.19</v>
      </c>
      <c r="S130" s="409">
        <v>35.35</v>
      </c>
      <c r="T130" s="392" t="s">
        <v>618</v>
      </c>
      <c r="U130" s="392">
        <v>23.88</v>
      </c>
      <c r="V130" s="392">
        <v>45</v>
      </c>
      <c r="W130" s="392" t="s">
        <v>619</v>
      </c>
      <c r="X130" s="709">
        <v>0.03</v>
      </c>
      <c r="Y130" s="392"/>
      <c r="Z130" s="392"/>
      <c r="AA130" s="430">
        <f t="shared" si="11"/>
        <v>68.88</v>
      </c>
      <c r="AB130" s="431"/>
      <c r="AC130" s="432">
        <f>IF(AND(O130="",P130="",Q130=""),"",IF(ISNUMBER(AB130)=FALSE,1,vcf(vcfTab,vcfVersion,$R$141,$AB$121,AB130,$AC$116)))</f>
        <v>1</v>
      </c>
      <c r="AD130" s="433">
        <f t="shared" si="12"/>
        <v>68.88</v>
      </c>
    </row>
    <row r="131" ht="11.4" customHeight="1" spans="1:30">
      <c r="A131" t="str">
        <f t="shared" si="6"/>
        <v>显示</v>
      </c>
      <c r="B131" s="378"/>
      <c r="C131" s="378"/>
      <c r="D131" s="357">
        <f t="shared" si="8"/>
        <v>23.88</v>
      </c>
      <c r="E131" s="357">
        <f>IF($T$121=$S$38,D131,ROUND(T_1_bbls_to_cbm(D131),3))</f>
        <v>23.88</v>
      </c>
      <c r="F131" s="357">
        <f>IF($T$121=$S$39,D131,ROUND(T_1_cbm_to_bbls(D131),2))</f>
        <v>150.2</v>
      </c>
      <c r="G131" s="357">
        <f>IF($T$121=$S$38,V131,ROUND(T_1_bbls_to_cbm(V131),3))</f>
        <v>45</v>
      </c>
      <c r="H131" s="357">
        <f>IF($T$121=$S$39,V131,ROUND(T_1_cbm_to_bbls(V131),2))</f>
        <v>283.04</v>
      </c>
      <c r="I131" s="357">
        <f t="shared" si="13"/>
        <v>0</v>
      </c>
      <c r="J131" s="357">
        <f>IF($T$121=$S$38,I131,ROUND(T_1_bbls_to_cbm(I131),3))</f>
        <v>0</v>
      </c>
      <c r="K131" s="357">
        <f>IF($T$121=$S$39,I131,ROUND(T_1_cbm_to_bbls(I131),2))</f>
        <v>0</v>
      </c>
      <c r="L131" s="357">
        <f t="shared" si="9"/>
        <v>23.88</v>
      </c>
      <c r="M131" s="357">
        <f t="shared" si="10"/>
        <v>45</v>
      </c>
      <c r="O131" s="391" t="s">
        <v>631</v>
      </c>
      <c r="P131" s="392" t="s">
        <v>624</v>
      </c>
      <c r="Q131" s="392" t="s">
        <v>617</v>
      </c>
      <c r="R131" s="409">
        <v>0.19</v>
      </c>
      <c r="S131" s="409">
        <v>35.35</v>
      </c>
      <c r="T131" s="392" t="s">
        <v>618</v>
      </c>
      <c r="U131" s="392">
        <v>23.88</v>
      </c>
      <c r="V131" s="392">
        <v>45</v>
      </c>
      <c r="W131" s="392" t="s">
        <v>619</v>
      </c>
      <c r="X131" s="709">
        <v>0.03</v>
      </c>
      <c r="Y131" s="392"/>
      <c r="Z131" s="392"/>
      <c r="AA131" s="430">
        <f t="shared" si="11"/>
        <v>68.88</v>
      </c>
      <c r="AB131" s="431"/>
      <c r="AC131" s="432">
        <f>IF(AND(O131="",P131="",Q131=""),"",IF(ISNUMBER(AB131)=FALSE,1,vcf(vcfTab,vcfVersion,$R$141,$AB$121,AB131,$AC$116)))</f>
        <v>1</v>
      </c>
      <c r="AD131" s="433">
        <f t="shared" si="12"/>
        <v>68.88</v>
      </c>
    </row>
    <row r="132" ht="11.4" customHeight="1" spans="1:30">
      <c r="A132" t="str">
        <f t="shared" si="6"/>
        <v>显示</v>
      </c>
      <c r="B132" s="378"/>
      <c r="C132" s="378"/>
      <c r="D132" s="357">
        <f t="shared" si="8"/>
        <v>23.88</v>
      </c>
      <c r="E132" s="357">
        <f>IF($T$121=$S$38,D132,ROUND(T_1_bbls_to_cbm(D132),3))</f>
        <v>23.88</v>
      </c>
      <c r="F132" s="357">
        <f>IF($T$121=$S$39,D132,ROUND(T_1_cbm_to_bbls(D132),2))</f>
        <v>150.2</v>
      </c>
      <c r="G132" s="357">
        <f>IF($T$121=$S$38,V132,ROUND(T_1_bbls_to_cbm(V132),3))</f>
        <v>45</v>
      </c>
      <c r="H132" s="357">
        <f>IF($T$121=$S$39,V132,ROUND(T_1_cbm_to_bbls(V132),2))</f>
        <v>283.04</v>
      </c>
      <c r="I132" s="357">
        <f t="shared" si="13"/>
        <v>0</v>
      </c>
      <c r="J132" s="357">
        <f>IF($T$121=$S$38,I132,ROUND(T_1_bbls_to_cbm(I132),3))</f>
        <v>0</v>
      </c>
      <c r="K132" s="357">
        <f>IF($T$121=$S$39,I132,ROUND(T_1_cbm_to_bbls(I132),2))</f>
        <v>0</v>
      </c>
      <c r="L132" s="357">
        <f t="shared" si="9"/>
        <v>23.88</v>
      </c>
      <c r="M132" s="357">
        <f t="shared" si="10"/>
        <v>45</v>
      </c>
      <c r="O132" s="391" t="s">
        <v>632</v>
      </c>
      <c r="P132" s="392" t="s">
        <v>624</v>
      </c>
      <c r="Q132" s="392" t="s">
        <v>617</v>
      </c>
      <c r="R132" s="409">
        <v>0.19</v>
      </c>
      <c r="S132" s="409">
        <v>35.35</v>
      </c>
      <c r="T132" s="392" t="s">
        <v>618</v>
      </c>
      <c r="U132" s="392">
        <v>23.88</v>
      </c>
      <c r="V132" s="392">
        <v>45</v>
      </c>
      <c r="W132" s="392" t="s">
        <v>619</v>
      </c>
      <c r="X132" s="709">
        <v>0.03</v>
      </c>
      <c r="Y132" s="392"/>
      <c r="Z132" s="392"/>
      <c r="AA132" s="430">
        <f t="shared" si="11"/>
        <v>68.88</v>
      </c>
      <c r="AB132" s="431"/>
      <c r="AC132" s="432">
        <f>IF(AND(O132="",P132="",Q132=""),"",IF(ISNUMBER(AB132)=FALSE,1,vcf(vcfTab,vcfVersion,$R$141,$AB$121,AB132,$AC$116)))</f>
        <v>1</v>
      </c>
      <c r="AD132" s="433">
        <f t="shared" si="12"/>
        <v>68.88</v>
      </c>
    </row>
    <row r="133" ht="11.4" customHeight="1" spans="1:30">
      <c r="A133" t="str">
        <f t="shared" si="6"/>
        <v>显示</v>
      </c>
      <c r="B133" s="378"/>
      <c r="C133" s="378"/>
      <c r="D133" s="357">
        <f t="shared" si="8"/>
        <v>23.88</v>
      </c>
      <c r="E133" s="357">
        <f>IF($T$121=$S$38,D133,ROUND(T_1_bbls_to_cbm(D133),3))</f>
        <v>23.88</v>
      </c>
      <c r="F133" s="357">
        <f>IF($T$121=$S$39,D133,ROUND(T_1_cbm_to_bbls(D133),2))</f>
        <v>150.2</v>
      </c>
      <c r="G133" s="357">
        <f>IF($T$121=$S$38,V133,ROUND(T_1_bbls_to_cbm(V133),3))</f>
        <v>45</v>
      </c>
      <c r="H133" s="357">
        <f>IF($T$121=$S$39,V133,ROUND(T_1_cbm_to_bbls(V133),2))</f>
        <v>283.04</v>
      </c>
      <c r="I133" s="357">
        <f t="shared" si="13"/>
        <v>0</v>
      </c>
      <c r="J133" s="357">
        <f>IF($T$121=$S$38,I133,ROUND(T_1_bbls_to_cbm(I133),3))</f>
        <v>0</v>
      </c>
      <c r="K133" s="357">
        <f>IF($T$121=$S$39,I133,ROUND(T_1_cbm_to_bbls(I133),2))</f>
        <v>0</v>
      </c>
      <c r="L133" s="357">
        <f t="shared" si="9"/>
        <v>23.88</v>
      </c>
      <c r="M133" s="357">
        <f t="shared" si="10"/>
        <v>45</v>
      </c>
      <c r="O133" s="391" t="s">
        <v>633</v>
      </c>
      <c r="P133" s="392" t="s">
        <v>624</v>
      </c>
      <c r="Q133" s="392" t="s">
        <v>617</v>
      </c>
      <c r="R133" s="409">
        <v>0.19</v>
      </c>
      <c r="S133" s="409">
        <v>35.35</v>
      </c>
      <c r="T133" s="392" t="s">
        <v>618</v>
      </c>
      <c r="U133" s="392">
        <v>23.88</v>
      </c>
      <c r="V133" s="392">
        <v>45</v>
      </c>
      <c r="W133" s="392" t="s">
        <v>619</v>
      </c>
      <c r="X133" s="709">
        <v>0.03</v>
      </c>
      <c r="Y133" s="392"/>
      <c r="Z133" s="392"/>
      <c r="AA133" s="430">
        <f t="shared" si="11"/>
        <v>68.88</v>
      </c>
      <c r="AB133" s="431"/>
      <c r="AC133" s="432">
        <f>IF(AND(O133="",P133="",Q133=""),"",IF(ISNUMBER(AB133)=FALSE,1,vcf(vcfTab,vcfVersion,$R$141,$AB$121,AB133,$AC$116)))</f>
        <v>1</v>
      </c>
      <c r="AD133" s="433">
        <f t="shared" si="12"/>
        <v>68.88</v>
      </c>
    </row>
    <row r="134" ht="11.4" customHeight="1" spans="1:30">
      <c r="A134" t="str">
        <f t="shared" si="6"/>
        <v>显示</v>
      </c>
      <c r="B134" s="378"/>
      <c r="C134" s="378"/>
      <c r="D134" s="357">
        <f t="shared" si="8"/>
        <v>23.88</v>
      </c>
      <c r="E134" s="357">
        <f>IF($T$121=$S$38,D134,ROUND(T_1_bbls_to_cbm(D134),3))</f>
        <v>23.88</v>
      </c>
      <c r="F134" s="357">
        <f>IF($T$121=$S$39,D134,ROUND(T_1_cbm_to_bbls(D134),2))</f>
        <v>150.2</v>
      </c>
      <c r="G134" s="357">
        <f>IF($T$121=$S$38,V134,ROUND(T_1_bbls_to_cbm(V134),3))</f>
        <v>45</v>
      </c>
      <c r="H134" s="357">
        <f>IF($T$121=$S$39,V134,ROUND(T_1_cbm_to_bbls(V134),2))</f>
        <v>283.04</v>
      </c>
      <c r="I134" s="357">
        <f t="shared" si="13"/>
        <v>0</v>
      </c>
      <c r="J134" s="357">
        <f>IF($T$121=$S$38,I134,ROUND(T_1_bbls_to_cbm(I134),3))</f>
        <v>0</v>
      </c>
      <c r="K134" s="357">
        <f>IF($T$121=$S$39,I134,ROUND(T_1_cbm_to_bbls(I134),2))</f>
        <v>0</v>
      </c>
      <c r="L134" s="357">
        <f t="shared" si="9"/>
        <v>23.88</v>
      </c>
      <c r="M134" s="357">
        <f t="shared" si="10"/>
        <v>45</v>
      </c>
      <c r="O134" s="391" t="s">
        <v>634</v>
      </c>
      <c r="P134" s="392" t="s">
        <v>624</v>
      </c>
      <c r="Q134" s="392" t="s">
        <v>617</v>
      </c>
      <c r="R134" s="409">
        <v>0.19</v>
      </c>
      <c r="S134" s="409">
        <v>35.35</v>
      </c>
      <c r="T134" s="392" t="s">
        <v>618</v>
      </c>
      <c r="U134" s="392">
        <v>23.88</v>
      </c>
      <c r="V134" s="392">
        <v>45</v>
      </c>
      <c r="W134" s="392" t="s">
        <v>619</v>
      </c>
      <c r="X134" s="709">
        <v>0.03</v>
      </c>
      <c r="Y134" s="392"/>
      <c r="Z134" s="392"/>
      <c r="AA134" s="430">
        <f t="shared" si="11"/>
        <v>68.88</v>
      </c>
      <c r="AB134" s="431"/>
      <c r="AC134" s="432">
        <f>IF(AND(O134="",P134="",Q134=""),"",IF(ISNUMBER(AB134)=FALSE,1,vcf(vcfTab,vcfVersion,$R$141,$AB$121,AB134,$AC$116)))</f>
        <v>1</v>
      </c>
      <c r="AD134" s="433">
        <f t="shared" si="12"/>
        <v>68.88</v>
      </c>
    </row>
    <row r="135" ht="11.4" customHeight="1" spans="1:30">
      <c r="A135" t="str">
        <f t="shared" si="6"/>
        <v>显示</v>
      </c>
      <c r="B135" s="378"/>
      <c r="C135" s="378"/>
      <c r="D135" s="357">
        <f t="shared" si="8"/>
        <v>23.88</v>
      </c>
      <c r="E135" s="357">
        <f>IF($T$121=$S$38,D135,ROUND(T_1_bbls_to_cbm(D135),3))</f>
        <v>23.88</v>
      </c>
      <c r="F135" s="357">
        <f>IF($T$121=$S$39,D135,ROUND(T_1_cbm_to_bbls(D135),2))</f>
        <v>150.2</v>
      </c>
      <c r="G135" s="357">
        <f>IF($T$121=$S$38,V135,ROUND(T_1_bbls_to_cbm(V135),3))</f>
        <v>45</v>
      </c>
      <c r="H135" s="357">
        <f>IF($T$121=$S$39,V135,ROUND(T_1_cbm_to_bbls(V135),2))</f>
        <v>283.04</v>
      </c>
      <c r="I135" s="357">
        <f t="shared" si="13"/>
        <v>0</v>
      </c>
      <c r="J135" s="357">
        <f>IF($T$121=$S$38,I135,ROUND(T_1_bbls_to_cbm(I135),3))</f>
        <v>0</v>
      </c>
      <c r="K135" s="357">
        <f>IF($T$121=$S$39,I135,ROUND(T_1_cbm_to_bbls(I135),2))</f>
        <v>0</v>
      </c>
      <c r="L135" s="357">
        <f t="shared" si="9"/>
        <v>23.88</v>
      </c>
      <c r="M135" s="357">
        <f t="shared" si="10"/>
        <v>45</v>
      </c>
      <c r="O135" s="391" t="s">
        <v>635</v>
      </c>
      <c r="P135" s="392" t="s">
        <v>624</v>
      </c>
      <c r="Q135" s="392" t="s">
        <v>617</v>
      </c>
      <c r="R135" s="409">
        <v>0.19</v>
      </c>
      <c r="S135" s="409">
        <v>35.35</v>
      </c>
      <c r="T135" s="392" t="s">
        <v>618</v>
      </c>
      <c r="U135" s="392">
        <v>23.88</v>
      </c>
      <c r="V135" s="392">
        <v>45</v>
      </c>
      <c r="W135" s="392" t="s">
        <v>619</v>
      </c>
      <c r="X135" s="709">
        <v>0.03</v>
      </c>
      <c r="Y135" s="392"/>
      <c r="Z135" s="392"/>
      <c r="AA135" s="430">
        <f t="shared" si="11"/>
        <v>68.88</v>
      </c>
      <c r="AB135" s="431"/>
      <c r="AC135" s="432">
        <f>IF(AND(O135="",P135="",Q135=""),"",IF(ISNUMBER(AB135)=FALSE,1,vcf(vcfTab,vcfVersion,$R$141,$AB$121,AB135,$AC$116)))</f>
        <v>1</v>
      </c>
      <c r="AD135" s="433">
        <f t="shared" si="12"/>
        <v>68.88</v>
      </c>
    </row>
    <row r="136" ht="11.4" customHeight="1" spans="1:32">
      <c r="A136" t="str">
        <f t="shared" si="6"/>
        <v>显示</v>
      </c>
      <c r="B136" s="378"/>
      <c r="C136" s="378"/>
      <c r="D136" s="357">
        <f t="shared" si="8"/>
        <v>23.88</v>
      </c>
      <c r="E136" s="357">
        <f>IF($T$121=$S$38,D136,ROUND(T_1_bbls_to_cbm(D136),3))</f>
        <v>23.88</v>
      </c>
      <c r="F136" s="357">
        <f>IF($T$121=$S$39,D136,ROUND(T_1_cbm_to_bbls(D136),2))</f>
        <v>150.2</v>
      </c>
      <c r="G136" s="357">
        <f>IF($T$121=$S$38,V136,ROUND(T_1_bbls_to_cbm(V136),3))</f>
        <v>45</v>
      </c>
      <c r="H136" s="357">
        <f>IF($T$121=$S$39,V136,ROUND(T_1_cbm_to_bbls(V136),2))</f>
        <v>283.04</v>
      </c>
      <c r="I136" s="357">
        <f t="shared" si="13"/>
        <v>0</v>
      </c>
      <c r="J136" s="357">
        <f>IF($T$121=$S$38,I136,ROUND(T_1_bbls_to_cbm(I136),3))</f>
        <v>0</v>
      </c>
      <c r="K136" s="357">
        <f>IF($T$121=$S$39,I136,ROUND(T_1_cbm_to_bbls(I136),2))</f>
        <v>0</v>
      </c>
      <c r="L136" s="357">
        <f t="shared" si="9"/>
        <v>23.88</v>
      </c>
      <c r="M136" s="357">
        <f t="shared" si="10"/>
        <v>45</v>
      </c>
      <c r="O136" s="391" t="s">
        <v>636</v>
      </c>
      <c r="P136" s="392" t="s">
        <v>624</v>
      </c>
      <c r="Q136" s="392" t="s">
        <v>617</v>
      </c>
      <c r="R136" s="409">
        <v>0.19</v>
      </c>
      <c r="S136" s="409">
        <v>35.35</v>
      </c>
      <c r="T136" s="392" t="s">
        <v>618</v>
      </c>
      <c r="U136" s="392">
        <v>23.88</v>
      </c>
      <c r="V136" s="392">
        <v>45</v>
      </c>
      <c r="W136" s="392" t="s">
        <v>619</v>
      </c>
      <c r="X136" s="709">
        <v>0.03</v>
      </c>
      <c r="Y136" s="392"/>
      <c r="Z136" s="392"/>
      <c r="AA136" s="430">
        <f t="shared" si="11"/>
        <v>68.88</v>
      </c>
      <c r="AB136" s="431"/>
      <c r="AC136" s="432">
        <f>IF(AND(O136="",P136="",Q136=""),"",IF(ISNUMBER(AB136)=FALSE,1,vcf(vcfTab,vcfVersion,$R$141,$AB$121,AB136,$AC$116)))</f>
        <v>1</v>
      </c>
      <c r="AD136" s="433">
        <f t="shared" si="12"/>
        <v>68.88</v>
      </c>
      <c r="AF136" s="451"/>
    </row>
    <row r="137" ht="11.4" customHeight="1" spans="1:30">
      <c r="A137" t="str">
        <f t="shared" si="6"/>
        <v>显示</v>
      </c>
      <c r="B137" s="378"/>
      <c r="C137" s="378"/>
      <c r="D137" s="357">
        <f t="shared" si="8"/>
        <v>23.88</v>
      </c>
      <c r="E137" s="357">
        <f>IF($T$121=$S$38,D137,ROUND(T_1_bbls_to_cbm(D137),3))</f>
        <v>23.88</v>
      </c>
      <c r="F137" s="357">
        <f>IF($T$121=$S$39,D137,ROUND(T_1_cbm_to_bbls(D137),2))</f>
        <v>150.2</v>
      </c>
      <c r="G137" s="357">
        <f>IF($T$121=$S$38,V137,ROUND(T_1_bbls_to_cbm(V137),3))</f>
        <v>45</v>
      </c>
      <c r="H137" s="357">
        <f>IF($T$121=$S$39,V137,ROUND(T_1_cbm_to_bbls(V137),2))</f>
        <v>283.04</v>
      </c>
      <c r="I137" s="357">
        <f t="shared" si="13"/>
        <v>0</v>
      </c>
      <c r="J137" s="357">
        <f>IF($T$121=$S$38,I137,ROUND(T_1_bbls_to_cbm(I137),3))</f>
        <v>0</v>
      </c>
      <c r="K137" s="357">
        <f>IF($T$121=$S$39,I137,ROUND(T_1_cbm_to_bbls(I137),2))</f>
        <v>0</v>
      </c>
      <c r="L137" s="357">
        <f t="shared" si="9"/>
        <v>23.88</v>
      </c>
      <c r="M137" s="357">
        <f t="shared" si="10"/>
        <v>45</v>
      </c>
      <c r="O137" s="391" t="s">
        <v>637</v>
      </c>
      <c r="P137" s="392" t="s">
        <v>624</v>
      </c>
      <c r="Q137" s="392" t="s">
        <v>617</v>
      </c>
      <c r="R137" s="409">
        <v>0.19</v>
      </c>
      <c r="S137" s="409">
        <v>35.35</v>
      </c>
      <c r="T137" s="392" t="s">
        <v>618</v>
      </c>
      <c r="U137" s="392">
        <v>23.88</v>
      </c>
      <c r="V137" s="392">
        <v>45</v>
      </c>
      <c r="W137" s="392" t="s">
        <v>619</v>
      </c>
      <c r="X137" s="709">
        <v>0.03</v>
      </c>
      <c r="Y137" s="392"/>
      <c r="Z137" s="392"/>
      <c r="AA137" s="430">
        <f t="shared" si="11"/>
        <v>68.88</v>
      </c>
      <c r="AB137" s="431"/>
      <c r="AC137" s="432">
        <f>IF(AND(O137="",P137="",Q137=""),"",IF(ISNUMBER(AB137)=FALSE,1,vcf(vcfTab,vcfVersion,$R$141,$AB$121,AB137,$AC$116)))</f>
        <v>1</v>
      </c>
      <c r="AD137" s="433">
        <f t="shared" si="12"/>
        <v>68.88</v>
      </c>
    </row>
    <row r="138" ht="11.4" customHeight="1" spans="1:30">
      <c r="A138" t="str">
        <f t="shared" si="6"/>
        <v>显示</v>
      </c>
      <c r="B138" s="378"/>
      <c r="C138" s="378"/>
      <c r="D138" s="357">
        <f t="shared" si="8"/>
        <v>23.88</v>
      </c>
      <c r="E138" s="357">
        <f>IF($T$121=$S$38,D138,ROUND(T_1_bbls_to_cbm(D138),3))</f>
        <v>23.88</v>
      </c>
      <c r="F138" s="357">
        <f>IF($T$121=$S$39,D138,ROUND(T_1_cbm_to_bbls(D138),2))</f>
        <v>150.2</v>
      </c>
      <c r="G138" s="357">
        <f>IF($T$121=$S$38,V138,ROUND(T_1_bbls_to_cbm(V138),3))</f>
        <v>45</v>
      </c>
      <c r="H138" s="357">
        <f>IF($T$121=$S$39,V138,ROUND(T_1_cbm_to_bbls(V138),2))</f>
        <v>283.04</v>
      </c>
      <c r="I138" s="357">
        <f t="shared" si="13"/>
        <v>0</v>
      </c>
      <c r="J138" s="357">
        <f>IF($T$121=$S$38,I138,ROUND(T_1_bbls_to_cbm(I138),3))</f>
        <v>0</v>
      </c>
      <c r="K138" s="357">
        <f>IF($T$121=$S$39,I138,ROUND(T_1_cbm_to_bbls(I138),2))</f>
        <v>0</v>
      </c>
      <c r="L138" s="357">
        <f t="shared" si="9"/>
        <v>23.88</v>
      </c>
      <c r="M138" s="357">
        <f t="shared" si="10"/>
        <v>45</v>
      </c>
      <c r="O138" s="391" t="s">
        <v>638</v>
      </c>
      <c r="P138" s="392" t="s">
        <v>624</v>
      </c>
      <c r="Q138" s="392" t="s">
        <v>617</v>
      </c>
      <c r="R138" s="409">
        <v>0.19</v>
      </c>
      <c r="S138" s="409">
        <v>35.35</v>
      </c>
      <c r="T138" s="392" t="s">
        <v>618</v>
      </c>
      <c r="U138" s="392">
        <v>23.88</v>
      </c>
      <c r="V138" s="392">
        <v>45</v>
      </c>
      <c r="W138" s="392" t="s">
        <v>619</v>
      </c>
      <c r="X138" s="709">
        <v>0.03</v>
      </c>
      <c r="Y138" s="392"/>
      <c r="Z138" s="392"/>
      <c r="AA138" s="430">
        <f t="shared" si="11"/>
        <v>68.88</v>
      </c>
      <c r="AB138" s="431"/>
      <c r="AC138" s="432">
        <f>IF(AND(O138="",P138="",Q138=""),"",IF(ISNUMBER(AB138)=FALSE,1,vcf(vcfTab,vcfVersion,$R$141,$AB$121,AB138,$AC$116)))</f>
        <v>1</v>
      </c>
      <c r="AD138" s="433">
        <f t="shared" si="12"/>
        <v>68.88</v>
      </c>
    </row>
    <row r="139" ht="11.4" customHeight="1" spans="1:30">
      <c r="A139" t="str">
        <f t="shared" si="6"/>
        <v>显示</v>
      </c>
      <c r="B139" s="378"/>
      <c r="C139" s="378"/>
      <c r="D139" s="357">
        <f t="shared" si="8"/>
        <v>23.88</v>
      </c>
      <c r="E139" s="357">
        <f>IF($T$121=$S$38,D139,ROUND(T_1_bbls_to_cbm(D139),3))</f>
        <v>23.88</v>
      </c>
      <c r="F139" s="357">
        <f>IF($T$121=$S$39,D139,ROUND(T_1_cbm_to_bbls(D139),2))</f>
        <v>150.2</v>
      </c>
      <c r="G139" s="357">
        <f>IF($T$121=$S$38,V139,ROUND(T_1_bbls_to_cbm(V139),3))</f>
        <v>45</v>
      </c>
      <c r="H139" s="357">
        <f>IF($T$121=$S$39,V139,ROUND(T_1_cbm_to_bbls(V139),2))</f>
        <v>283.04</v>
      </c>
      <c r="I139" s="357">
        <f t="shared" si="13"/>
        <v>0</v>
      </c>
      <c r="J139" s="357">
        <f>IF($T$121=$S$38,I139,ROUND(T_1_bbls_to_cbm(I139),3))</f>
        <v>0</v>
      </c>
      <c r="K139" s="357">
        <f>IF($T$121=$S$39,I139,ROUND(T_1_cbm_to_bbls(I139),2))</f>
        <v>0</v>
      </c>
      <c r="L139" s="357">
        <f t="shared" si="9"/>
        <v>23.88</v>
      </c>
      <c r="M139" s="357">
        <f t="shared" si="10"/>
        <v>45</v>
      </c>
      <c r="O139" s="434" t="s">
        <v>639</v>
      </c>
      <c r="P139" s="435" t="s">
        <v>624</v>
      </c>
      <c r="Q139" s="435" t="s">
        <v>617</v>
      </c>
      <c r="R139" s="443">
        <v>0.19</v>
      </c>
      <c r="S139" s="443">
        <v>35.35</v>
      </c>
      <c r="T139" s="435" t="s">
        <v>618</v>
      </c>
      <c r="U139" s="435">
        <v>23.88</v>
      </c>
      <c r="V139" s="435">
        <v>45</v>
      </c>
      <c r="W139" s="435" t="s">
        <v>619</v>
      </c>
      <c r="X139" s="712">
        <v>0.03</v>
      </c>
      <c r="Y139" s="435"/>
      <c r="Z139" s="435"/>
      <c r="AA139" s="452">
        <f t="shared" si="11"/>
        <v>68.88</v>
      </c>
      <c r="AB139" s="713"/>
      <c r="AC139" s="453">
        <f>IF(AND(O139="",P139="",Q139=""),"",IF(ISNUMBER(AB139)=FALSE,1,vcf(vcfTab,vcfVersion,$R$141,$AB$121,AB139,$AC$116)))</f>
        <v>1</v>
      </c>
      <c r="AD139" s="454">
        <f t="shared" si="12"/>
        <v>68.88</v>
      </c>
    </row>
    <row r="140" ht="7.95" customHeight="1" spans="1:30">
      <c r="A140" t="str">
        <f t="shared" si="6"/>
        <v>显示</v>
      </c>
      <c r="B140" s="377"/>
      <c r="C140" s="377"/>
      <c r="O140" s="436"/>
      <c r="P140" s="436"/>
      <c r="Q140" s="436"/>
      <c r="R140" s="436"/>
      <c r="S140" s="436"/>
      <c r="T140" s="436"/>
      <c r="U140" s="436"/>
      <c r="V140" s="436"/>
      <c r="W140" s="436"/>
      <c r="X140" s="436"/>
      <c r="Y140" s="436"/>
      <c r="Z140" s="436"/>
      <c r="AA140" s="436"/>
      <c r="AB140" s="436"/>
      <c r="AC140" s="436"/>
      <c r="AD140" s="455"/>
    </row>
    <row r="141" ht="11.4" customHeight="1" spans="1:30">
      <c r="A141" t="str">
        <f t="shared" si="6"/>
        <v>显示</v>
      </c>
      <c r="O141" s="357" t="str">
        <f>IF(LEFT(AC120,4)="T-54",S73,IF(LEFT(AC120,4)="T-60",S74,IF(LEFT(AC120,3)="T-6",S75,IF(LEFT(AC120,4)="T-24",S76,LEFT(S73,7)&amp;"/"&amp;LEFT(S75,3)&amp;"/"&amp;LEFT(S76,4)))))</f>
        <v>Density@20℃</v>
      </c>
      <c r="R141" s="444">
        <f>IF(AD115="","",Standard_Density(vcfTab,Cargo_type,Den_type,AD115,AC116))</f>
        <v>977.6</v>
      </c>
      <c r="S141" s="444"/>
      <c r="T141" s="357" t="str">
        <f>IF(OR(LEFT(vcfTab,4)="T-54",LEFT(vcfTab,4)="T-60"),"kg/m³",IF(LEFT(O141,3)="API","°",""))</f>
        <v>kg/m³</v>
      </c>
      <c r="Y141" s="456" t="str">
        <f>S87</f>
        <v>Stripped</v>
      </c>
      <c r="Z141" s="456" t="str">
        <f>S88</f>
        <v>Dropped</v>
      </c>
      <c r="AA141" s="457" t="str">
        <f>S89</f>
        <v>To Tank No.</v>
      </c>
      <c r="AB141" s="457"/>
      <c r="AC141" s="457"/>
      <c r="AD141" s="458"/>
    </row>
    <row r="142" ht="11.4" customHeight="1" spans="1:29">
      <c r="A142" t="str">
        <f t="shared" si="6"/>
        <v>显示</v>
      </c>
      <c r="V142" s="445" t="str">
        <f>S84</f>
        <v>Top Lines</v>
      </c>
      <c r="W142" s="445"/>
      <c r="X142" s="445"/>
      <c r="Y142" s="392" t="s">
        <v>601</v>
      </c>
      <c r="Z142" s="392" t="s">
        <v>449</v>
      </c>
      <c r="AA142" s="392" t="s">
        <v>631</v>
      </c>
      <c r="AB142" s="392"/>
      <c r="AC142" s="392"/>
    </row>
    <row r="143" ht="11.4" customHeight="1" spans="1:29">
      <c r="A143" t="str">
        <f t="shared" si="6"/>
        <v>显示</v>
      </c>
      <c r="O143" s="437" t="str">
        <f>S83</f>
        <v>TOTAL QUANTITY OF OBQ</v>
      </c>
      <c r="V143" s="445" t="str">
        <f>S85</f>
        <v>Bottom Lines</v>
      </c>
      <c r="W143" s="445"/>
      <c r="X143" s="445"/>
      <c r="Y143" s="392" t="s">
        <v>449</v>
      </c>
      <c r="Z143" s="392" t="s">
        <v>601</v>
      </c>
      <c r="AA143" s="392" t="s">
        <v>640</v>
      </c>
      <c r="AB143" s="392"/>
      <c r="AC143" s="392"/>
    </row>
    <row r="144" ht="11.4" customHeight="1" spans="1:29">
      <c r="A144" t="str">
        <f t="shared" si="6"/>
        <v>显示</v>
      </c>
      <c r="O144" s="438" t="str">
        <f>S70</f>
        <v>GSV</v>
      </c>
      <c r="R144" s="446">
        <f>SUM(AD122:AD139)</f>
        <v>3764.991</v>
      </c>
      <c r="S144" s="446"/>
      <c r="T144" s="357" t="str">
        <f>AD120</f>
        <v>m³
@20℃</v>
      </c>
      <c r="V144" s="445" t="str">
        <f>S86</f>
        <v>Hoses/Arms</v>
      </c>
      <c r="W144" s="445"/>
      <c r="X144" s="445"/>
      <c r="Y144" s="392" t="s">
        <v>601</v>
      </c>
      <c r="Z144" s="392" t="s">
        <v>449</v>
      </c>
      <c r="AA144" s="392" t="s">
        <v>631</v>
      </c>
      <c r="AB144" s="392"/>
      <c r="AC144" s="392"/>
    </row>
    <row r="145" ht="11.4" customHeight="1" spans="1:29">
      <c r="A145" t="str">
        <f t="shared" si="6"/>
        <v>显示</v>
      </c>
      <c r="O145" s="438" t="str">
        <f>S65</f>
        <v>Free Water</v>
      </c>
      <c r="R145" s="446">
        <f>IF(OR(LEFT(vcfTab,4)="T-60",LEFT(vcfTab,4)="T-54"),SUM(TOV_FW_CBM),SUM(TOV_FW_bbls))</f>
        <v>762</v>
      </c>
      <c r="S145" s="446"/>
      <c r="T145" s="357" t="str">
        <f>T144</f>
        <v>m³
@20℃</v>
      </c>
      <c r="V145" s="445" t="str">
        <f>S90</f>
        <v>Ballast Tanks Used during Discharge</v>
      </c>
      <c r="W145" s="445"/>
      <c r="X145" s="445"/>
      <c r="Y145" s="445"/>
      <c r="Z145" s="445"/>
      <c r="AA145" s="392" t="s">
        <v>641</v>
      </c>
      <c r="AB145" s="392"/>
      <c r="AC145" s="392"/>
    </row>
    <row r="146" ht="11.4" customHeight="1" spans="1:29">
      <c r="A146" t="str">
        <f t="shared" si="6"/>
        <v>显示</v>
      </c>
      <c r="O146" s="438" t="str">
        <f>S71</f>
        <v>TCV</v>
      </c>
      <c r="R146" s="446">
        <f>R144+R145</f>
        <v>4526.991</v>
      </c>
      <c r="S146" s="446"/>
      <c r="T146" s="357" t="str">
        <f>T144</f>
        <v>m³
@20℃</v>
      </c>
      <c r="V146" s="447" t="str">
        <f>S91</f>
        <v>Sea Valve Seal Numbers</v>
      </c>
      <c r="W146" s="447"/>
      <c r="X146" s="447"/>
      <c r="Y146" s="459" t="s">
        <v>642</v>
      </c>
      <c r="Z146" s="460">
        <v>33557799</v>
      </c>
      <c r="AA146" s="460"/>
      <c r="AB146" s="460"/>
      <c r="AC146" s="460"/>
    </row>
    <row r="147" ht="11.4" customHeight="1" spans="1:29">
      <c r="A147" t="str">
        <f t="shared" si="6"/>
        <v>显示</v>
      </c>
      <c r="O147" s="438" t="str">
        <f>T119</f>
        <v>Liquid</v>
      </c>
      <c r="R147" s="446">
        <f>SUM(GSV_Liquid)</f>
        <v>2183.991</v>
      </c>
      <c r="S147" s="446"/>
      <c r="T147" s="357" t="str">
        <f>T144</f>
        <v>m³
@20℃</v>
      </c>
      <c r="V147" s="447"/>
      <c r="W147" s="447"/>
      <c r="X147" s="447"/>
      <c r="Y147" s="459" t="s">
        <v>643</v>
      </c>
      <c r="Z147" s="460">
        <v>22446688</v>
      </c>
      <c r="AA147" s="460"/>
      <c r="AB147" s="460"/>
      <c r="AC147" s="460"/>
    </row>
    <row r="148" ht="11.4" customHeight="1" spans="1:29">
      <c r="A148" t="str">
        <f t="shared" si="6"/>
        <v>显示</v>
      </c>
      <c r="O148" s="438" t="str">
        <f>V119</f>
        <v>Nonliquid</v>
      </c>
      <c r="R148" s="446">
        <f>SUM(GSV_Nonliquid)</f>
        <v>1581</v>
      </c>
      <c r="S148" s="446"/>
      <c r="T148" s="357" t="str">
        <f>T144</f>
        <v>m³
@20℃</v>
      </c>
      <c r="V148" s="447"/>
      <c r="W148" s="447"/>
      <c r="X148" s="447"/>
      <c r="Y148" s="459" t="s">
        <v>644</v>
      </c>
      <c r="Z148" s="460">
        <v>11335577</v>
      </c>
      <c r="AA148" s="460"/>
      <c r="AB148" s="460"/>
      <c r="AC148" s="460"/>
    </row>
    <row r="149" ht="4.95" customHeight="1" spans="1:15">
      <c r="A149" t="str">
        <f t="shared" si="6"/>
        <v>显示</v>
      </c>
      <c r="O149" s="417"/>
    </row>
    <row r="150" ht="4.95" customHeight="1" spans="1:33">
      <c r="A150" t="str">
        <f t="shared" si="6"/>
        <v>显示</v>
      </c>
      <c r="O150" s="417"/>
      <c r="AF150" s="451"/>
      <c r="AG150" s="451"/>
    </row>
    <row r="151" ht="4.95" customHeight="1" spans="1:15">
      <c r="A151" t="str">
        <f t="shared" si="6"/>
        <v>显示</v>
      </c>
      <c r="O151" s="417"/>
    </row>
    <row r="152" ht="12" customHeight="1" spans="1:15">
      <c r="A152" t="str">
        <f t="shared" si="6"/>
        <v>显示</v>
      </c>
      <c r="O152" s="437" t="str">
        <f>S16</f>
        <v>Note:</v>
      </c>
    </row>
    <row r="153" ht="14.25" spans="1:15">
      <c r="A153" t="str">
        <f t="shared" si="6"/>
        <v>显示</v>
      </c>
      <c r="O153" s="417" t="str">
        <f>S81</f>
        <v>(1) G.H.L. -- Gauge Hatch Location, F = Forward; C = Center; A = Aft; M = Average of the multiple gauge points readings.</v>
      </c>
    </row>
    <row r="154" ht="14.25" spans="1:33">
      <c r="A154" t="str">
        <f t="shared" si="6"/>
        <v>显示</v>
      </c>
      <c r="O154" s="417" t="str">
        <f>S82</f>
        <v>(2) I/U -- Innage/Ullage, I = Innage; U = Ullage.</v>
      </c>
      <c r="AG154" s="373"/>
    </row>
    <row r="155" ht="14.25" spans="1:33">
      <c r="A155" t="str">
        <f t="shared" si="6"/>
        <v>显示</v>
      </c>
      <c r="O155" s="357" t="str">
        <f>S17</f>
        <v>Remark:</v>
      </c>
      <c r="AG155" s="464"/>
    </row>
    <row r="156" ht="14.25" spans="1:33">
      <c r="A156" t="str">
        <f t="shared" si="6"/>
        <v>显示</v>
      </c>
      <c r="O156" s="397" t="str">
        <f>S92</f>
        <v>- Reference Standards: API MPMS Chapter 3.1A (2013), Chapter 7 (2012), Chapter 17.4 (2016), Chapter 17.11(2016).</v>
      </c>
      <c r="AG156" s="464"/>
    </row>
    <row r="157" ht="14.25" spans="1:33">
      <c r="A157" t="str">
        <f t="shared" si="6"/>
        <v>显示</v>
      </c>
      <c r="O157" s="397" t="str">
        <f>S93</f>
        <v>- The above OBQ does not  address clingage, remaining in vessel’s lines, or cargo pumpablity. unless otherwise stated in this report.</v>
      </c>
      <c r="AG157" s="464"/>
    </row>
    <row r="158" ht="14.25" spans="1:33">
      <c r="A158" t="str">
        <f t="shared" si="6"/>
        <v>显示</v>
      </c>
      <c r="O158" s="357" t="str">
        <f>S94</f>
        <v>- Wedge volume refer to the wedge calculation report.</v>
      </c>
      <c r="AG158" s="464"/>
    </row>
    <row r="159" ht="7.95" customHeight="1" spans="1:33">
      <c r="A159" t="str">
        <f t="shared" si="6"/>
        <v>显示</v>
      </c>
      <c r="AG159" s="464"/>
    </row>
    <row r="160" ht="7.95" customHeight="1" spans="1:33">
      <c r="A160" t="str">
        <f t="shared" si="6"/>
        <v>显示</v>
      </c>
      <c r="AG160" s="464"/>
    </row>
    <row r="161" ht="7.95" customHeight="1" spans="1:33">
      <c r="A161" t="str">
        <f t="shared" si="6"/>
        <v>显示</v>
      </c>
      <c r="O161" s="439"/>
      <c r="P161" s="439"/>
      <c r="Q161" s="439"/>
      <c r="R161" s="439"/>
      <c r="S161" s="439"/>
      <c r="T161" s="439"/>
      <c r="U161" s="439"/>
      <c r="V161" s="439"/>
      <c r="W161" s="439"/>
      <c r="X161" s="439"/>
      <c r="Y161" s="439"/>
      <c r="Z161" s="439"/>
      <c r="AA161" s="439"/>
      <c r="AB161" s="439"/>
      <c r="AC161" s="439"/>
      <c r="AD161" s="439"/>
      <c r="AE161" s="439"/>
      <c r="AF161" s="439"/>
      <c r="AG161" s="439"/>
    </row>
    <row r="162" ht="14.4" hidden="1" customHeight="1" spans="1:24">
      <c r="A162" t="str">
        <f t="shared" si="6"/>
        <v>隐藏</v>
      </c>
      <c r="B162" t="str">
        <f>IF(Report_type="正式报告 Official Report","隐藏","显示")</f>
        <v>隐藏</v>
      </c>
      <c r="O162" s="440" t="str">
        <f>S10</f>
        <v>Master/Chief Officer</v>
      </c>
      <c r="X162" s="448" t="str">
        <f>S11</f>
        <v>CCIC Surveyor</v>
      </c>
    </row>
    <row r="163" ht="31.8" hidden="1" customHeight="1" spans="1:29">
      <c r="A163" t="str">
        <f t="shared" si="6"/>
        <v>隐藏</v>
      </c>
      <c r="B163" t="str">
        <f>IF(Report_type="正式报告 Official Report","隐藏","显示")</f>
        <v>隐藏</v>
      </c>
      <c r="O163" s="441" t="str">
        <f>S12</f>
        <v>Name</v>
      </c>
      <c r="Q163" s="449"/>
      <c r="R163" s="449"/>
      <c r="S163" s="449"/>
      <c r="T163" s="449"/>
      <c r="X163" s="397" t="str">
        <f>S12</f>
        <v>Name</v>
      </c>
      <c r="Y163" s="461" t="s">
        <v>10</v>
      </c>
      <c r="Z163" s="461"/>
      <c r="AA163" s="461"/>
      <c r="AB163" s="377"/>
      <c r="AC163" s="377"/>
    </row>
    <row r="164" ht="36.6" hidden="1" customHeight="1" spans="1:29">
      <c r="A164" t="str">
        <f t="shared" si="6"/>
        <v>隐藏</v>
      </c>
      <c r="B164" t="str">
        <f>IF(Report_type="正式报告 Official Report","隐藏","显示")</f>
        <v>隐藏</v>
      </c>
      <c r="O164" s="441" t="str">
        <f>S13</f>
        <v>Signature</v>
      </c>
      <c r="Q164" s="450"/>
      <c r="R164" s="450"/>
      <c r="S164" s="450"/>
      <c r="T164" s="450"/>
      <c r="X164" s="397" t="str">
        <f>S13</f>
        <v>Signature</v>
      </c>
      <c r="Y164" s="450"/>
      <c r="Z164" s="450"/>
      <c r="AA164" s="450"/>
      <c r="AB164" s="377"/>
      <c r="AC164" s="377"/>
    </row>
    <row r="165" ht="14.25" hidden="1" spans="1:1">
      <c r="A165" t="str">
        <f t="shared" si="6"/>
        <v>显示</v>
      </c>
    </row>
    <row r="166" ht="14.25" spans="1:26">
      <c r="A166" t="str">
        <f t="shared" si="6"/>
        <v>显示</v>
      </c>
      <c r="Z166" s="462"/>
    </row>
    <row r="167" ht="14.25" spans="1:26">
      <c r="A167" t="str">
        <f>IF(OR(B167="隐藏",C167="隐藏"),"隐藏","显示")</f>
        <v>显示</v>
      </c>
      <c r="Z167" s="463"/>
    </row>
    <row r="168" ht="72.6" customHeight="1" spans="1:29">
      <c r="A168" t="str">
        <f>IF(OR(B168="隐藏",C168="隐藏"),"隐藏","显示")</f>
        <v>显示</v>
      </c>
      <c r="B168" t="str">
        <f>IF(Report_type="正式报告 Official Report","显示","隐藏")</f>
        <v>显示</v>
      </c>
      <c r="Z168" s="449"/>
      <c r="AA168" s="449"/>
      <c r="AB168" s="449"/>
      <c r="AC168" s="449"/>
    </row>
    <row r="169" ht="12" customHeight="1" spans="1:26">
      <c r="A169" t="str">
        <f>IF(OR(B169="隐藏",C169="隐藏"),"隐藏","显示")</f>
        <v>显示</v>
      </c>
      <c r="B169" t="str">
        <f>IF(Report_type="正式报告 Official Report","显示","隐藏")</f>
        <v>显示</v>
      </c>
      <c r="Z169" s="357" t="str">
        <f>S14</f>
        <v>Authorized Signature (S)</v>
      </c>
    </row>
    <row r="170" ht="14.25" spans="1:1">
      <c r="A170" t="str">
        <f>IF(OR(B170="隐藏",C170="隐藏"),"隐藏","显示")</f>
        <v>显示</v>
      </c>
    </row>
    <row r="171" ht="34.2" customHeight="1" spans="1:30">
      <c r="A171" t="str">
        <f>IF(OR(B171="隐藏",C171="隐藏"),"隐藏","显示")</f>
        <v>显示</v>
      </c>
      <c r="O171" s="442" t="str">
        <f>S15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P171" s="442"/>
      <c r="Q171" s="442"/>
      <c r="R171" s="442"/>
      <c r="S171" s="442"/>
      <c r="T171" s="442"/>
      <c r="U171" s="442"/>
      <c r="V171" s="442"/>
      <c r="W171" s="442"/>
      <c r="X171" s="442"/>
      <c r="Y171" s="442"/>
      <c r="Z171" s="442"/>
      <c r="AA171" s="442"/>
      <c r="AB171" s="442"/>
      <c r="AC171" s="442"/>
      <c r="AD171" s="442"/>
    </row>
    <row r="182" spans="37:37">
      <c r="AK182" s="465"/>
    </row>
  </sheetData>
  <mergeCells count="70">
    <mergeCell ref="O101:S101"/>
    <mergeCell ref="T101:V101"/>
    <mergeCell ref="W101:Z101"/>
    <mergeCell ref="AB103:AD103"/>
    <mergeCell ref="AB104:AD104"/>
    <mergeCell ref="W106:Y106"/>
    <mergeCell ref="Z106:AD106"/>
    <mergeCell ref="W107:Y107"/>
    <mergeCell ref="Z107:AD107"/>
    <mergeCell ref="W108:Y108"/>
    <mergeCell ref="Z108:AD108"/>
    <mergeCell ref="W109:Y109"/>
    <mergeCell ref="Z109:AD109"/>
    <mergeCell ref="W110:Y110"/>
    <mergeCell ref="Z110:AD110"/>
    <mergeCell ref="W111:Y111"/>
    <mergeCell ref="Z111:AD111"/>
    <mergeCell ref="W112:Y112"/>
    <mergeCell ref="Z112:AD112"/>
    <mergeCell ref="P115:R115"/>
    <mergeCell ref="P116:R116"/>
    <mergeCell ref="AC116:AD116"/>
    <mergeCell ref="Q118:S118"/>
    <mergeCell ref="T118:V118"/>
    <mergeCell ref="W118:Z118"/>
    <mergeCell ref="T119:U119"/>
    <mergeCell ref="W119:X119"/>
    <mergeCell ref="Y119:Z119"/>
    <mergeCell ref="R141:S141"/>
    <mergeCell ref="AA141:AC141"/>
    <mergeCell ref="V142:X142"/>
    <mergeCell ref="AA142:AC142"/>
    <mergeCell ref="V143:X143"/>
    <mergeCell ref="AA143:AC143"/>
    <mergeCell ref="R144:S144"/>
    <mergeCell ref="V144:X144"/>
    <mergeCell ref="AA144:AC144"/>
    <mergeCell ref="R145:S145"/>
    <mergeCell ref="V145:Z145"/>
    <mergeCell ref="AA145:AC145"/>
    <mergeCell ref="R146:S146"/>
    <mergeCell ref="Z146:AC146"/>
    <mergeCell ref="R147:S147"/>
    <mergeCell ref="Z147:AC147"/>
    <mergeCell ref="R148:S148"/>
    <mergeCell ref="Z148:AC148"/>
    <mergeCell ref="Y163:AA163"/>
    <mergeCell ref="O171:AD171"/>
    <mergeCell ref="O118:O121"/>
    <mergeCell ref="P1:P9"/>
    <mergeCell ref="P10:P14"/>
    <mergeCell ref="P15:P19"/>
    <mergeCell ref="P20:P21"/>
    <mergeCell ref="P22:P31"/>
    <mergeCell ref="P32:P36"/>
    <mergeCell ref="P37:P44"/>
    <mergeCell ref="P45:P55"/>
    <mergeCell ref="P56:P76"/>
    <mergeCell ref="P118:P121"/>
    <mergeCell ref="Q119:Q121"/>
    <mergeCell ref="R119:R120"/>
    <mergeCell ref="S119:S120"/>
    <mergeCell ref="W120:W121"/>
    <mergeCell ref="AA118:AA120"/>
    <mergeCell ref="AB118:AB120"/>
    <mergeCell ref="AC118:AC119"/>
    <mergeCell ref="AD118:AD119"/>
    <mergeCell ref="AD120:AD121"/>
    <mergeCell ref="O106:V112"/>
    <mergeCell ref="V146:X148"/>
  </mergeCells>
  <conditionalFormatting sqref="AD115">
    <cfRule type="expression" dxfId="2" priority="2">
      <formula>OR($AC$115=$J$20,$AC$115=$J$21,$AC$115=$J$23)</formula>
    </cfRule>
  </conditionalFormatting>
  <conditionalFormatting sqref="AC116:AD116">
    <cfRule type="expression" dxfId="3" priority="1">
      <formula>AND(Cargo_type&lt;&gt;"C")</formula>
    </cfRule>
  </conditionalFormatting>
  <conditionalFormatting sqref="AB122:AB139">
    <cfRule type="expression" dxfId="1" priority="3">
      <formula>AND($AB$121=$S$40)</formula>
    </cfRule>
    <cfRule type="expression" dxfId="4" priority="4">
      <formula>AND($AB$121=$S$41)</formula>
    </cfRule>
  </conditionalFormatting>
  <conditionalFormatting sqref="T122:V139 Y122:AA139">
    <cfRule type="expression" dxfId="1" priority="5">
      <formula>AND($T$121=$S$39)</formula>
    </cfRule>
    <cfRule type="expression" dxfId="0" priority="6">
      <formula>AND($T$121=$S$38)</formula>
    </cfRule>
  </conditionalFormatting>
  <dataValidations count="12">
    <dataValidation type="list" allowBlank="1" showInputMessage="1" showErrorMessage="1" sqref="AB121 JX121 TT121 ADP121 ANL121 AXH121 BHD121 BQZ121 CAV121 CKR121 CUN121 DEJ121 DOF121 DYB121 EHX121 ERT121 FBP121 FLL121 FVH121 GFD121 GOZ121 GYV121 HIR121 HSN121 ICJ121 IMF121 IWB121 JFX121 JPT121 JZP121 KJL121 KTH121 LDD121 LMZ121 LWV121 MGR121 MQN121 NAJ121 NKF121 NUB121 ODX121 ONT121 OXP121 PHL121 PRH121 QBD121 QKZ121 QUV121 RER121 RON121 RYJ121 SIF121 SSB121 TBX121 TLT121 TVP121 UFL121 UPH121 UZD121 VIZ121 VSV121 WCR121 WMN121 WWJ121 AB65657 JX65657 TT65657 ADP65657 ANL65657 AXH65657 BHD65657 BQZ65657 CAV65657 CKR65657 CUN65657 DEJ65657 DOF65657 DYB65657 EHX65657 ERT65657 FBP65657 FLL65657 FVH65657 GFD65657 GOZ65657 GYV65657 HIR65657 HSN65657 ICJ65657 IMF65657 IWB65657 JFX65657 JPT65657 JZP65657 KJL65657 KTH65657 LDD65657 LMZ65657 LWV65657 MGR65657 MQN65657 NAJ65657 NKF65657 NUB65657 ODX65657 ONT65657 OXP65657 PHL65657 PRH65657 QBD65657 QKZ65657 QUV65657 RER65657 RON65657 RYJ65657 SIF65657 SSB65657 TBX65657 TLT65657 TVP65657 UFL65657 UPH65657 UZD65657 VIZ65657 VSV65657 WCR65657 WMN65657 WWJ65657 AB131193 JX131193 TT131193 ADP131193 ANL131193 AXH131193 BHD131193 BQZ131193 CAV131193 CKR131193 CUN131193 DEJ131193 DOF131193 DYB131193 EHX131193 ERT131193 FBP131193 FLL131193 FVH131193 GFD131193 GOZ131193 GYV131193 HIR131193 HSN131193 ICJ131193 IMF131193 IWB131193 JFX131193 JPT131193 JZP131193 KJL131193 KTH131193 LDD131193 LMZ131193 LWV131193 MGR131193 MQN131193 NAJ131193 NKF131193 NUB131193 ODX131193 ONT131193 OXP131193 PHL131193 PRH131193 QBD131193 QKZ131193 QUV131193 RER131193 RON131193 RYJ131193 SIF131193 SSB131193 TBX131193 TLT131193 TVP131193 UFL131193 UPH131193 UZD131193 VIZ131193 VSV131193 WCR131193 WMN131193 WWJ131193 AB196729 JX196729 TT196729 ADP196729 ANL196729 AXH196729 BHD196729 BQZ196729 CAV196729 CKR196729 CUN196729 DEJ196729 DOF196729 DYB196729 EHX196729 ERT196729 FBP196729 FLL196729 FVH196729 GFD196729 GOZ196729 GYV196729 HIR196729 HSN196729 ICJ196729 IMF196729 IWB196729 JFX196729 JPT196729 JZP196729 KJL196729 KTH196729 LDD196729 LMZ196729 LWV196729 MGR196729 MQN196729 NAJ196729 NKF196729 NUB196729 ODX196729 ONT196729 OXP196729 PHL196729 PRH196729 QBD196729 QKZ196729 QUV196729 RER196729 RON196729 RYJ196729 SIF196729 SSB196729 TBX196729 TLT196729 TVP196729 UFL196729 UPH196729 UZD196729 VIZ196729 VSV196729 WCR196729 WMN196729 WWJ196729 AB262265 JX262265 TT262265 ADP262265 ANL262265 AXH262265 BHD262265 BQZ262265 CAV262265 CKR262265 CUN262265 DEJ262265 DOF262265 DYB262265 EHX262265 ERT262265 FBP262265 FLL262265 FVH262265 GFD262265 GOZ262265 GYV262265 HIR262265 HSN262265 ICJ262265 IMF262265 IWB262265 JFX262265 JPT262265 JZP262265 KJL262265 KTH262265 LDD262265 LMZ262265 LWV262265 MGR262265 MQN262265 NAJ262265 NKF262265 NUB262265 ODX262265 ONT262265 OXP262265 PHL262265 PRH262265 QBD262265 QKZ262265 QUV262265 RER262265 RON262265 RYJ262265 SIF262265 SSB262265 TBX262265 TLT262265 TVP262265 UFL262265 UPH262265 UZD262265 VIZ262265 VSV262265 WCR262265 WMN262265 WWJ262265 AB327801 JX327801 TT327801 ADP327801 ANL327801 AXH327801 BHD327801 BQZ327801 CAV327801 CKR327801 CUN327801 DEJ327801 DOF327801 DYB327801 EHX327801 ERT327801 FBP327801 FLL327801 FVH327801 GFD327801 GOZ327801 GYV327801 HIR327801 HSN327801 ICJ327801 IMF327801 IWB327801 JFX327801 JPT327801 JZP327801 KJL327801 KTH327801 LDD327801 LMZ327801 LWV327801 MGR327801 MQN327801 NAJ327801 NKF327801 NUB327801 ODX327801 ONT327801 OXP327801 PHL327801 PRH327801 QBD327801 QKZ327801 QUV327801 RER327801 RON327801 RYJ327801 SIF327801 SSB327801 TBX327801 TLT327801 TVP327801 UFL327801 UPH327801 UZD327801 VIZ327801 VSV327801 WCR327801 WMN327801 WWJ327801 AB393337 JX393337 TT393337 ADP393337 ANL393337 AXH393337 BHD393337 BQZ393337 CAV393337 CKR393337 CUN393337 DEJ393337 DOF393337 DYB393337 EHX393337 ERT393337 FBP393337 FLL393337 FVH393337 GFD393337 GOZ393337 GYV393337 HIR393337 HSN393337 ICJ393337 IMF393337 IWB393337 JFX393337 JPT393337 JZP393337 KJL393337 KTH393337 LDD393337 LMZ393337 LWV393337 MGR393337 MQN393337 NAJ393337 NKF393337 NUB393337 ODX393337 ONT393337 OXP393337 PHL393337 PRH393337 QBD393337 QKZ393337 QUV393337 RER393337 RON393337 RYJ393337 SIF393337 SSB393337 TBX393337 TLT393337 TVP393337 UFL393337 UPH393337 UZD393337 VIZ393337 VSV393337 WCR393337 WMN393337 WWJ393337 AB458873 JX458873 TT458873 ADP458873 ANL458873 AXH458873 BHD458873 BQZ458873 CAV458873 CKR458873 CUN458873 DEJ458873 DOF458873 DYB458873 EHX458873 ERT458873 FBP458873 FLL458873 FVH458873 GFD458873 GOZ458873 GYV458873 HIR458873 HSN458873 ICJ458873 IMF458873 IWB458873 JFX458873 JPT458873 JZP458873 KJL458873 KTH458873 LDD458873 LMZ458873 LWV458873 MGR458873 MQN458873 NAJ458873 NKF458873 NUB458873 ODX458873 ONT458873 OXP458873 PHL458873 PRH458873 QBD458873 QKZ458873 QUV458873 RER458873 RON458873 RYJ458873 SIF458873 SSB458873 TBX458873 TLT458873 TVP458873 UFL458873 UPH458873 UZD458873 VIZ458873 VSV458873 WCR458873 WMN458873 WWJ458873 AB524409 JX524409 TT524409 ADP524409 ANL524409 AXH524409 BHD524409 BQZ524409 CAV524409 CKR524409 CUN524409 DEJ524409 DOF524409 DYB524409 EHX524409 ERT524409 FBP524409 FLL524409 FVH524409 GFD524409 GOZ524409 GYV524409 HIR524409 HSN524409 ICJ524409 IMF524409 IWB524409 JFX524409 JPT524409 JZP524409 KJL524409 KTH524409 LDD524409 LMZ524409 LWV524409 MGR524409 MQN524409 NAJ524409 NKF524409 NUB524409 ODX524409 ONT524409 OXP524409 PHL524409 PRH524409 QBD524409 QKZ524409 QUV524409 RER524409 RON524409 RYJ524409 SIF524409 SSB524409 TBX524409 TLT524409 TVP524409 UFL524409 UPH524409 UZD524409 VIZ524409 VSV524409 WCR524409 WMN524409 WWJ524409 AB589945 JX589945 TT589945 ADP589945 ANL589945 AXH589945 BHD589945 BQZ589945 CAV589945 CKR589945 CUN589945 DEJ589945 DOF589945 DYB589945 EHX589945 ERT589945 FBP589945 FLL589945 FVH589945 GFD589945 GOZ589945 GYV589945 HIR589945 HSN589945 ICJ589945 IMF589945 IWB589945 JFX589945 JPT589945 JZP589945 KJL589945 KTH589945 LDD589945 LMZ589945 LWV589945 MGR589945 MQN589945 NAJ589945 NKF589945 NUB589945 ODX589945 ONT589945 OXP589945 PHL589945 PRH589945 QBD589945 QKZ589945 QUV589945 RER589945 RON589945 RYJ589945 SIF589945 SSB589945 TBX589945 TLT589945 TVP589945 UFL589945 UPH589945 UZD589945 VIZ589945 VSV589945 WCR589945 WMN589945 WWJ589945 AB655481 JX655481 TT655481 ADP655481 ANL655481 AXH655481 BHD655481 BQZ655481 CAV655481 CKR655481 CUN655481 DEJ655481 DOF655481 DYB655481 EHX655481 ERT655481 FBP655481 FLL655481 FVH655481 GFD655481 GOZ655481 GYV655481 HIR655481 HSN655481 ICJ655481 IMF655481 IWB655481 JFX655481 JPT655481 JZP655481 KJL655481 KTH655481 LDD655481 LMZ655481 LWV655481 MGR655481 MQN655481 NAJ655481 NKF655481 NUB655481 ODX655481 ONT655481 OXP655481 PHL655481 PRH655481 QBD655481 QKZ655481 QUV655481 RER655481 RON655481 RYJ655481 SIF655481 SSB655481 TBX655481 TLT655481 TVP655481 UFL655481 UPH655481 UZD655481 VIZ655481 VSV655481 WCR655481 WMN655481 WWJ655481 AB721017 JX721017 TT721017 ADP721017 ANL721017 AXH721017 BHD721017 BQZ721017 CAV721017 CKR721017 CUN721017 DEJ721017 DOF721017 DYB721017 EHX721017 ERT721017 FBP721017 FLL721017 FVH721017 GFD721017 GOZ721017 GYV721017 HIR721017 HSN721017 ICJ721017 IMF721017 IWB721017 JFX721017 JPT721017 JZP721017 KJL721017 KTH721017 LDD721017 LMZ721017 LWV721017 MGR721017 MQN721017 NAJ721017 NKF721017 NUB721017 ODX721017 ONT721017 OXP721017 PHL721017 PRH721017 QBD721017 QKZ721017 QUV721017 RER721017 RON721017 RYJ721017 SIF721017 SSB721017 TBX721017 TLT721017 TVP721017 UFL721017 UPH721017 UZD721017 VIZ721017 VSV721017 WCR721017 WMN721017 WWJ721017 AB786553 JX786553 TT786553 ADP786553 ANL786553 AXH786553 BHD786553 BQZ786553 CAV786553 CKR786553 CUN786553 DEJ786553 DOF786553 DYB786553 EHX786553 ERT786553 FBP786553 FLL786553 FVH786553 GFD786553 GOZ786553 GYV786553 HIR786553 HSN786553 ICJ786553 IMF786553 IWB786553 JFX786553 JPT786553 JZP786553 KJL786553 KTH786553 LDD786553 LMZ786553 LWV786553 MGR786553 MQN786553 NAJ786553 NKF786553 NUB786553 ODX786553 ONT786553 OXP786553 PHL786553 PRH786553 QBD786553 QKZ786553 QUV786553 RER786553 RON786553 RYJ786553 SIF786553 SSB786553 TBX786553 TLT786553 TVP786553 UFL786553 UPH786553 UZD786553 VIZ786553 VSV786553 WCR786553 WMN786553 WWJ786553 AB852089 JX852089 TT852089 ADP852089 ANL852089 AXH852089 BHD852089 BQZ852089 CAV852089 CKR852089 CUN852089 DEJ852089 DOF852089 DYB852089 EHX852089 ERT852089 FBP852089 FLL852089 FVH852089 GFD852089 GOZ852089 GYV852089 HIR852089 HSN852089 ICJ852089 IMF852089 IWB852089 JFX852089 JPT852089 JZP852089 KJL852089 KTH852089 LDD852089 LMZ852089 LWV852089 MGR852089 MQN852089 NAJ852089 NKF852089 NUB852089 ODX852089 ONT852089 OXP852089 PHL852089 PRH852089 QBD852089 QKZ852089 QUV852089 RER852089 RON852089 RYJ852089 SIF852089 SSB852089 TBX852089 TLT852089 TVP852089 UFL852089 UPH852089 UZD852089 VIZ852089 VSV852089 WCR852089 WMN852089 WWJ852089 AB917625 JX917625 TT917625 ADP917625 ANL917625 AXH917625 BHD917625 BQZ917625 CAV917625 CKR917625 CUN917625 DEJ917625 DOF917625 DYB917625 EHX917625 ERT917625 FBP917625 FLL917625 FVH917625 GFD917625 GOZ917625 GYV917625 HIR917625 HSN917625 ICJ917625 IMF917625 IWB917625 JFX917625 JPT917625 JZP917625 KJL917625 KTH917625 LDD917625 LMZ917625 LWV917625 MGR917625 MQN917625 NAJ917625 NKF917625 NUB917625 ODX917625 ONT917625 OXP917625 PHL917625 PRH917625 QBD917625 QKZ917625 QUV917625 RER917625 RON917625 RYJ917625 SIF917625 SSB917625 TBX917625 TLT917625 TVP917625 UFL917625 UPH917625 UZD917625 VIZ917625 VSV917625 WCR917625 WMN917625 WWJ917625 AB983161 JX983161 TT983161 ADP983161 ANL983161 AXH983161 BHD983161 BQZ983161 CAV983161 CKR983161 CUN983161 DEJ983161 DOF983161 DYB983161 EHX983161 ERT983161 FBP983161 FLL983161 FVH983161 GFD983161 GOZ983161 GYV983161 HIR983161 HSN983161 ICJ983161 IMF983161 IWB983161 JFX983161 JPT983161 JZP983161 KJL983161 KTH983161 LDD983161 LMZ983161 LWV983161 MGR983161 MQN983161 NAJ983161 NKF983161 NUB983161 ODX983161 ONT983161 OXP983161 PHL983161 PRH983161 QBD983161 QKZ983161 QUV983161 RER983161 RON983161 RYJ983161 SIF983161 SSB983161 TBX983161 TLT983161 TVP983161 UFL983161 UPH983161 UZD983161 VIZ983161 VSV983161 WCR983161 WMN983161 WWJ983161">
      <formula1>OFFSET($S$40:$S$41,,,2)</formula1>
    </dataValidation>
    <dataValidation type="list" allowBlank="1" showInputMessage="1" showErrorMessage="1" sqref="JK102:JO102 TG102:TK102 ADC102:ADG102 AMY102:ANC102 AWU102:AWY102 BGQ102:BGU102 BQM102:BQQ102 CAI102:CAM102 CKE102:CKI102 CUA102:CUE102 DDW102:DEA102 DNS102:DNW102 DXO102:DXS102 EHK102:EHO102 ERG102:ERK102 FBC102:FBG102 FKY102:FLC102 FUU102:FUY102 GEQ102:GEU102 GOM102:GOQ102 GYI102:GYM102 HIE102:HII102 HSA102:HSE102 IBW102:ICA102 ILS102:ILW102 IVO102:IVS102 JFK102:JFO102 JPG102:JPK102 JZC102:JZG102 KIY102:KJC102 KSU102:KSY102 LCQ102:LCU102 LMM102:LMQ102 LWI102:LWM102 MGE102:MGI102 MQA102:MQE102 MZW102:NAA102 NJS102:NJW102 NTO102:NTS102 ODK102:ODO102 ONG102:ONK102 OXC102:OXG102 PGY102:PHC102 PQU102:PQY102 QAQ102:QAU102 QKM102:QKQ102 QUI102:QUM102 REE102:REI102 ROA102:ROE102 RXW102:RYA102 SHS102:SHW102 SRO102:SRS102 TBK102:TBO102 TLG102:TLK102 TVC102:TVG102 UEY102:UFC102 UOU102:UOY102 UYQ102:UYU102 VIM102:VIQ102 VSI102:VSM102 WCE102:WCI102 WMA102:WME102 WVW102:WWA102 O65639:S65639 JK65639:JO65639 TG65639:TK65639 ADC65639:ADG65639 AMY65639:ANC65639 AWU65639:AWY65639 BGQ65639:BGU65639 BQM65639:BQQ65639 CAI65639:CAM65639 CKE65639:CKI65639 CUA65639:CUE65639 DDW65639:DEA65639 DNS65639:DNW65639 DXO65639:DXS65639 EHK65639:EHO65639 ERG65639:ERK65639 FBC65639:FBG65639 FKY65639:FLC65639 FUU65639:FUY65639 GEQ65639:GEU65639 GOM65639:GOQ65639 GYI65639:GYM65639 HIE65639:HII65639 HSA65639:HSE65639 IBW65639:ICA65639 ILS65639:ILW65639 IVO65639:IVS65639 JFK65639:JFO65639 JPG65639:JPK65639 JZC65639:JZG65639 KIY65639:KJC65639 KSU65639:KSY65639 LCQ65639:LCU65639 LMM65639:LMQ65639 LWI65639:LWM65639 MGE65639:MGI65639 MQA65639:MQE65639 MZW65639:NAA65639 NJS65639:NJW65639 NTO65639:NTS65639 ODK65639:ODO65639 ONG65639:ONK65639 OXC65639:OXG65639 PGY65639:PHC65639 PQU65639:PQY65639 QAQ65639:QAU65639 QKM65639:QKQ65639 QUI65639:QUM65639 REE65639:REI65639 ROA65639:ROE65639 RXW65639:RYA65639 SHS65639:SHW65639 SRO65639:SRS65639 TBK65639:TBO65639 TLG65639:TLK65639 TVC65639:TVG65639 UEY65639:UFC65639 UOU65639:UOY65639 UYQ65639:UYU65639 VIM65639:VIQ65639 VSI65639:VSM65639 WCE65639:WCI65639 WMA65639:WME65639 WVW65639:WWA65639 O131175:S131175 JK131175:JO131175 TG131175:TK131175 ADC131175:ADG131175 AMY131175:ANC131175 AWU131175:AWY131175 BGQ131175:BGU131175 BQM131175:BQQ131175 CAI131175:CAM131175 CKE131175:CKI131175 CUA131175:CUE131175 DDW131175:DEA131175 DNS131175:DNW131175 DXO131175:DXS131175 EHK131175:EHO131175 ERG131175:ERK131175 FBC131175:FBG131175 FKY131175:FLC131175 FUU131175:FUY131175 GEQ131175:GEU131175 GOM131175:GOQ131175 GYI131175:GYM131175 HIE131175:HII131175 HSA131175:HSE131175 IBW131175:ICA131175 ILS131175:ILW131175 IVO131175:IVS131175 JFK131175:JFO131175 JPG131175:JPK131175 JZC131175:JZG131175 KIY131175:KJC131175 KSU131175:KSY131175 LCQ131175:LCU131175 LMM131175:LMQ131175 LWI131175:LWM131175 MGE131175:MGI131175 MQA131175:MQE131175 MZW131175:NAA131175 NJS131175:NJW131175 NTO131175:NTS131175 ODK131175:ODO131175 ONG131175:ONK131175 OXC131175:OXG131175 PGY131175:PHC131175 PQU131175:PQY131175 QAQ131175:QAU131175 QKM131175:QKQ131175 QUI131175:QUM131175 REE131175:REI131175 ROA131175:ROE131175 RXW131175:RYA131175 SHS131175:SHW131175 SRO131175:SRS131175 TBK131175:TBO131175 TLG131175:TLK131175 TVC131175:TVG131175 UEY131175:UFC131175 UOU131175:UOY131175 UYQ131175:UYU131175 VIM131175:VIQ131175 VSI131175:VSM131175 WCE131175:WCI131175 WMA131175:WME131175 WVW131175:WWA131175 O196711:S196711 JK196711:JO196711 TG196711:TK196711 ADC196711:ADG196711 AMY196711:ANC196711 AWU196711:AWY196711 BGQ196711:BGU196711 BQM196711:BQQ196711 CAI196711:CAM196711 CKE196711:CKI196711 CUA196711:CUE196711 DDW196711:DEA196711 DNS196711:DNW196711 DXO196711:DXS196711 EHK196711:EHO196711 ERG196711:ERK196711 FBC196711:FBG196711 FKY196711:FLC196711 FUU196711:FUY196711 GEQ196711:GEU196711 GOM196711:GOQ196711 GYI196711:GYM196711 HIE196711:HII196711 HSA196711:HSE196711 IBW196711:ICA196711 ILS196711:ILW196711 IVO196711:IVS196711 JFK196711:JFO196711 JPG196711:JPK196711 JZC196711:JZG196711 KIY196711:KJC196711 KSU196711:KSY196711 LCQ196711:LCU196711 LMM196711:LMQ196711 LWI196711:LWM196711 MGE196711:MGI196711 MQA196711:MQE196711 MZW196711:NAA196711 NJS196711:NJW196711 NTO196711:NTS196711 ODK196711:ODO196711 ONG196711:ONK196711 OXC196711:OXG196711 PGY196711:PHC196711 PQU196711:PQY196711 QAQ196711:QAU196711 QKM196711:QKQ196711 QUI196711:QUM196711 REE196711:REI196711 ROA196711:ROE196711 RXW196711:RYA196711 SHS196711:SHW196711 SRO196711:SRS196711 TBK196711:TBO196711 TLG196711:TLK196711 TVC196711:TVG196711 UEY196711:UFC196711 UOU196711:UOY196711 UYQ196711:UYU196711 VIM196711:VIQ196711 VSI196711:VSM196711 WCE196711:WCI196711 WMA196711:WME196711 WVW196711:WWA196711 O262247:S262247 JK262247:JO262247 TG262247:TK262247 ADC262247:ADG262247 AMY262247:ANC262247 AWU262247:AWY262247 BGQ262247:BGU262247 BQM262247:BQQ262247 CAI262247:CAM262247 CKE262247:CKI262247 CUA262247:CUE262247 DDW262247:DEA262247 DNS262247:DNW262247 DXO262247:DXS262247 EHK262247:EHO262247 ERG262247:ERK262247 FBC262247:FBG262247 FKY262247:FLC262247 FUU262247:FUY262247 GEQ262247:GEU262247 GOM262247:GOQ262247 GYI262247:GYM262247 HIE262247:HII262247 HSA262247:HSE262247 IBW262247:ICA262247 ILS262247:ILW262247 IVO262247:IVS262247 JFK262247:JFO262247 JPG262247:JPK262247 JZC262247:JZG262247 KIY262247:KJC262247 KSU262247:KSY262247 LCQ262247:LCU262247 LMM262247:LMQ262247 LWI262247:LWM262247 MGE262247:MGI262247 MQA262247:MQE262247 MZW262247:NAA262247 NJS262247:NJW262247 NTO262247:NTS262247 ODK262247:ODO262247 ONG262247:ONK262247 OXC262247:OXG262247 PGY262247:PHC262247 PQU262247:PQY262247 QAQ262247:QAU262247 QKM262247:QKQ262247 QUI262247:QUM262247 REE262247:REI262247 ROA262247:ROE262247 RXW262247:RYA262247 SHS262247:SHW262247 SRO262247:SRS262247 TBK262247:TBO262247 TLG262247:TLK262247 TVC262247:TVG262247 UEY262247:UFC262247 UOU262247:UOY262247 UYQ262247:UYU262247 VIM262247:VIQ262247 VSI262247:VSM262247 WCE262247:WCI262247 WMA262247:WME262247 WVW262247:WWA262247 O327783:S327783 JK327783:JO327783 TG327783:TK327783 ADC327783:ADG327783 AMY327783:ANC327783 AWU327783:AWY327783 BGQ327783:BGU327783 BQM327783:BQQ327783 CAI327783:CAM327783 CKE327783:CKI327783 CUA327783:CUE327783 DDW327783:DEA327783 DNS327783:DNW327783 DXO327783:DXS327783 EHK327783:EHO327783 ERG327783:ERK327783 FBC327783:FBG327783 FKY327783:FLC327783 FUU327783:FUY327783 GEQ327783:GEU327783 GOM327783:GOQ327783 GYI327783:GYM327783 HIE327783:HII327783 HSA327783:HSE327783 IBW327783:ICA327783 ILS327783:ILW327783 IVO327783:IVS327783 JFK327783:JFO327783 JPG327783:JPK327783 JZC327783:JZG327783 KIY327783:KJC327783 KSU327783:KSY327783 LCQ327783:LCU327783 LMM327783:LMQ327783 LWI327783:LWM327783 MGE327783:MGI327783 MQA327783:MQE327783 MZW327783:NAA327783 NJS327783:NJW327783 NTO327783:NTS327783 ODK327783:ODO327783 ONG327783:ONK327783 OXC327783:OXG327783 PGY327783:PHC327783 PQU327783:PQY327783 QAQ327783:QAU327783 QKM327783:QKQ327783 QUI327783:QUM327783 REE327783:REI327783 ROA327783:ROE327783 RXW327783:RYA327783 SHS327783:SHW327783 SRO327783:SRS327783 TBK327783:TBO327783 TLG327783:TLK327783 TVC327783:TVG327783 UEY327783:UFC327783 UOU327783:UOY327783 UYQ327783:UYU327783 VIM327783:VIQ327783 VSI327783:VSM327783 WCE327783:WCI327783 WMA327783:WME327783 WVW327783:WWA327783 O393319:S393319 JK393319:JO393319 TG393319:TK393319 ADC393319:ADG393319 AMY393319:ANC393319 AWU393319:AWY393319 BGQ393319:BGU393319 BQM393319:BQQ393319 CAI393319:CAM393319 CKE393319:CKI393319 CUA393319:CUE393319 DDW393319:DEA393319 DNS393319:DNW393319 DXO393319:DXS393319 EHK393319:EHO393319 ERG393319:ERK393319 FBC393319:FBG393319 FKY393319:FLC393319 FUU393319:FUY393319 GEQ393319:GEU393319 GOM393319:GOQ393319 GYI393319:GYM393319 HIE393319:HII393319 HSA393319:HSE393319 IBW393319:ICA393319 ILS393319:ILW393319 IVO393319:IVS393319 JFK393319:JFO393319 JPG393319:JPK393319 JZC393319:JZG393319 KIY393319:KJC393319 KSU393319:KSY393319 LCQ393319:LCU393319 LMM393319:LMQ393319 LWI393319:LWM393319 MGE393319:MGI393319 MQA393319:MQE393319 MZW393319:NAA393319 NJS393319:NJW393319 NTO393319:NTS393319 ODK393319:ODO393319 ONG393319:ONK393319 OXC393319:OXG393319 PGY393319:PHC393319 PQU393319:PQY393319 QAQ393319:QAU393319 QKM393319:QKQ393319 QUI393319:QUM393319 REE393319:REI393319 ROA393319:ROE393319 RXW393319:RYA393319 SHS393319:SHW393319 SRO393319:SRS393319 TBK393319:TBO393319 TLG393319:TLK393319 TVC393319:TVG393319 UEY393319:UFC393319 UOU393319:UOY393319 UYQ393319:UYU393319 VIM393319:VIQ393319 VSI393319:VSM393319 WCE393319:WCI393319 WMA393319:WME393319 WVW393319:WWA393319 O458855:S458855 JK458855:JO458855 TG458855:TK458855 ADC458855:ADG458855 AMY458855:ANC458855 AWU458855:AWY458855 BGQ458855:BGU458855 BQM458855:BQQ458855 CAI458855:CAM458855 CKE458855:CKI458855 CUA458855:CUE458855 DDW458855:DEA458855 DNS458855:DNW458855 DXO458855:DXS458855 EHK458855:EHO458855 ERG458855:ERK458855 FBC458855:FBG458855 FKY458855:FLC458855 FUU458855:FUY458855 GEQ458855:GEU458855 GOM458855:GOQ458855 GYI458855:GYM458855 HIE458855:HII458855 HSA458855:HSE458855 IBW458855:ICA458855 ILS458855:ILW458855 IVO458855:IVS458855 JFK458855:JFO458855 JPG458855:JPK458855 JZC458855:JZG458855 KIY458855:KJC458855 KSU458855:KSY458855 LCQ458855:LCU458855 LMM458855:LMQ458855 LWI458855:LWM458855 MGE458855:MGI458855 MQA458855:MQE458855 MZW458855:NAA458855 NJS458855:NJW458855 NTO458855:NTS458855 ODK458855:ODO458855 ONG458855:ONK458855 OXC458855:OXG458855 PGY458855:PHC458855 PQU458855:PQY458855 QAQ458855:QAU458855 QKM458855:QKQ458855 QUI458855:QUM458855 REE458855:REI458855 ROA458855:ROE458855 RXW458855:RYA458855 SHS458855:SHW458855 SRO458855:SRS458855 TBK458855:TBO458855 TLG458855:TLK458855 TVC458855:TVG458855 UEY458855:UFC458855 UOU458855:UOY458855 UYQ458855:UYU458855 VIM458855:VIQ458855 VSI458855:VSM458855 WCE458855:WCI458855 WMA458855:WME458855 WVW458855:WWA458855 O524391:S524391 JK524391:JO524391 TG524391:TK524391 ADC524391:ADG524391 AMY524391:ANC524391 AWU524391:AWY524391 BGQ524391:BGU524391 BQM524391:BQQ524391 CAI524391:CAM524391 CKE524391:CKI524391 CUA524391:CUE524391 DDW524391:DEA524391 DNS524391:DNW524391 DXO524391:DXS524391 EHK524391:EHO524391 ERG524391:ERK524391 FBC524391:FBG524391 FKY524391:FLC524391 FUU524391:FUY524391 GEQ524391:GEU524391 GOM524391:GOQ524391 GYI524391:GYM524391 HIE524391:HII524391 HSA524391:HSE524391 IBW524391:ICA524391 ILS524391:ILW524391 IVO524391:IVS524391 JFK524391:JFO524391 JPG524391:JPK524391 JZC524391:JZG524391 KIY524391:KJC524391 KSU524391:KSY524391 LCQ524391:LCU524391 LMM524391:LMQ524391 LWI524391:LWM524391 MGE524391:MGI524391 MQA524391:MQE524391 MZW524391:NAA524391 NJS524391:NJW524391 NTO524391:NTS524391 ODK524391:ODO524391 ONG524391:ONK524391 OXC524391:OXG524391 PGY524391:PHC524391 PQU524391:PQY524391 QAQ524391:QAU524391 QKM524391:QKQ524391 QUI524391:QUM524391 REE524391:REI524391 ROA524391:ROE524391 RXW524391:RYA524391 SHS524391:SHW524391 SRO524391:SRS524391 TBK524391:TBO524391 TLG524391:TLK524391 TVC524391:TVG524391 UEY524391:UFC524391 UOU524391:UOY524391 UYQ524391:UYU524391 VIM524391:VIQ524391 VSI524391:VSM524391 WCE524391:WCI524391 WMA524391:WME524391 WVW524391:WWA524391 O589927:S589927 JK589927:JO589927 TG589927:TK589927 ADC589927:ADG589927 AMY589927:ANC589927 AWU589927:AWY589927 BGQ589927:BGU589927 BQM589927:BQQ589927 CAI589927:CAM589927 CKE589927:CKI589927 CUA589927:CUE589927 DDW589927:DEA589927 DNS589927:DNW589927 DXO589927:DXS589927 EHK589927:EHO589927 ERG589927:ERK589927 FBC589927:FBG589927 FKY589927:FLC589927 FUU589927:FUY589927 GEQ589927:GEU589927 GOM589927:GOQ589927 GYI589927:GYM589927 HIE589927:HII589927 HSA589927:HSE589927 IBW589927:ICA589927 ILS589927:ILW589927 IVO589927:IVS589927 JFK589927:JFO589927 JPG589927:JPK589927 JZC589927:JZG589927 KIY589927:KJC589927 KSU589927:KSY589927 LCQ589927:LCU589927 LMM589927:LMQ589927 LWI589927:LWM589927 MGE589927:MGI589927 MQA589927:MQE589927 MZW589927:NAA589927 NJS589927:NJW589927 NTO589927:NTS589927 ODK589927:ODO589927 ONG589927:ONK589927 OXC589927:OXG589927 PGY589927:PHC589927 PQU589927:PQY589927 QAQ589927:QAU589927 QKM589927:QKQ589927 QUI589927:QUM589927 REE589927:REI589927 ROA589927:ROE589927 RXW589927:RYA589927 SHS589927:SHW589927 SRO589927:SRS589927 TBK589927:TBO589927 TLG589927:TLK589927 TVC589927:TVG589927 UEY589927:UFC589927 UOU589927:UOY589927 UYQ589927:UYU589927 VIM589927:VIQ589927 VSI589927:VSM589927 WCE589927:WCI589927 WMA589927:WME589927 WVW589927:WWA589927 O655463:S655463 JK655463:JO655463 TG655463:TK655463 ADC655463:ADG655463 AMY655463:ANC655463 AWU655463:AWY655463 BGQ655463:BGU655463 BQM655463:BQQ655463 CAI655463:CAM655463 CKE655463:CKI655463 CUA655463:CUE655463 DDW655463:DEA655463 DNS655463:DNW655463 DXO655463:DXS655463 EHK655463:EHO655463 ERG655463:ERK655463 FBC655463:FBG655463 FKY655463:FLC655463 FUU655463:FUY655463 GEQ655463:GEU655463 GOM655463:GOQ655463 GYI655463:GYM655463 HIE655463:HII655463 HSA655463:HSE655463 IBW655463:ICA655463 ILS655463:ILW655463 IVO655463:IVS655463 JFK655463:JFO655463 JPG655463:JPK655463 JZC655463:JZG655463 KIY655463:KJC655463 KSU655463:KSY655463 LCQ655463:LCU655463 LMM655463:LMQ655463 LWI655463:LWM655463 MGE655463:MGI655463 MQA655463:MQE655463 MZW655463:NAA655463 NJS655463:NJW655463 NTO655463:NTS655463 ODK655463:ODO655463 ONG655463:ONK655463 OXC655463:OXG655463 PGY655463:PHC655463 PQU655463:PQY655463 QAQ655463:QAU655463 QKM655463:QKQ655463 QUI655463:QUM655463 REE655463:REI655463 ROA655463:ROE655463 RXW655463:RYA655463 SHS655463:SHW655463 SRO655463:SRS655463 TBK655463:TBO655463 TLG655463:TLK655463 TVC655463:TVG655463 UEY655463:UFC655463 UOU655463:UOY655463 UYQ655463:UYU655463 VIM655463:VIQ655463 VSI655463:VSM655463 WCE655463:WCI655463 WMA655463:WME655463 WVW655463:WWA655463 O720999:S720999 JK720999:JO720999 TG720999:TK720999 ADC720999:ADG720999 AMY720999:ANC720999 AWU720999:AWY720999 BGQ720999:BGU720999 BQM720999:BQQ720999 CAI720999:CAM720999 CKE720999:CKI720999 CUA720999:CUE720999 DDW720999:DEA720999 DNS720999:DNW720999 DXO720999:DXS720999 EHK720999:EHO720999 ERG720999:ERK720999 FBC720999:FBG720999 FKY720999:FLC720999 FUU720999:FUY720999 GEQ720999:GEU720999 GOM720999:GOQ720999 GYI720999:GYM720999 HIE720999:HII720999 HSA720999:HSE720999 IBW720999:ICA720999 ILS720999:ILW720999 IVO720999:IVS720999 JFK720999:JFO720999 JPG720999:JPK720999 JZC720999:JZG720999 KIY720999:KJC720999 KSU720999:KSY720999 LCQ720999:LCU720999 LMM720999:LMQ720999 LWI720999:LWM720999 MGE720999:MGI720999 MQA720999:MQE720999 MZW720999:NAA720999 NJS720999:NJW720999 NTO720999:NTS720999 ODK720999:ODO720999 ONG720999:ONK720999 OXC720999:OXG720999 PGY720999:PHC720999 PQU720999:PQY720999 QAQ720999:QAU720999 QKM720999:QKQ720999 QUI720999:QUM720999 REE720999:REI720999 ROA720999:ROE720999 RXW720999:RYA720999 SHS720999:SHW720999 SRO720999:SRS720999 TBK720999:TBO720999 TLG720999:TLK720999 TVC720999:TVG720999 UEY720999:UFC720999 UOU720999:UOY720999 UYQ720999:UYU720999 VIM720999:VIQ720999 VSI720999:VSM720999 WCE720999:WCI720999 WMA720999:WME720999 WVW720999:WWA720999 O786535:S786535 JK786535:JO786535 TG786535:TK786535 ADC786535:ADG786535 AMY786535:ANC786535 AWU786535:AWY786535 BGQ786535:BGU786535 BQM786535:BQQ786535 CAI786535:CAM786535 CKE786535:CKI786535 CUA786535:CUE786535 DDW786535:DEA786535 DNS786535:DNW786535 DXO786535:DXS786535 EHK786535:EHO786535 ERG786535:ERK786535 FBC786535:FBG786535 FKY786535:FLC786535 FUU786535:FUY786535 GEQ786535:GEU786535 GOM786535:GOQ786535 GYI786535:GYM786535 HIE786535:HII786535 HSA786535:HSE786535 IBW786535:ICA786535 ILS786535:ILW786535 IVO786535:IVS786535 JFK786535:JFO786535 JPG786535:JPK786535 JZC786535:JZG786535 KIY786535:KJC786535 KSU786535:KSY786535 LCQ786535:LCU786535 LMM786535:LMQ786535 LWI786535:LWM786535 MGE786535:MGI786535 MQA786535:MQE786535 MZW786535:NAA786535 NJS786535:NJW786535 NTO786535:NTS786535 ODK786535:ODO786535 ONG786535:ONK786535 OXC786535:OXG786535 PGY786535:PHC786535 PQU786535:PQY786535 QAQ786535:QAU786535 QKM786535:QKQ786535 QUI786535:QUM786535 REE786535:REI786535 ROA786535:ROE786535 RXW786535:RYA786535 SHS786535:SHW786535 SRO786535:SRS786535 TBK786535:TBO786535 TLG786535:TLK786535 TVC786535:TVG786535 UEY786535:UFC786535 UOU786535:UOY786535 UYQ786535:UYU786535 VIM786535:VIQ786535 VSI786535:VSM786535 WCE786535:WCI786535 WMA786535:WME786535 WVW786535:WWA786535 O852071:S852071 JK852071:JO852071 TG852071:TK852071 ADC852071:ADG852071 AMY852071:ANC852071 AWU852071:AWY852071 BGQ852071:BGU852071 BQM852071:BQQ852071 CAI852071:CAM852071 CKE852071:CKI852071 CUA852071:CUE852071 DDW852071:DEA852071 DNS852071:DNW852071 DXO852071:DXS852071 EHK852071:EHO852071 ERG852071:ERK852071 FBC852071:FBG852071 FKY852071:FLC852071 FUU852071:FUY852071 GEQ852071:GEU852071 GOM852071:GOQ852071 GYI852071:GYM852071 HIE852071:HII852071 HSA852071:HSE852071 IBW852071:ICA852071 ILS852071:ILW852071 IVO852071:IVS852071 JFK852071:JFO852071 JPG852071:JPK852071 JZC852071:JZG852071 KIY852071:KJC852071 KSU852071:KSY852071 LCQ852071:LCU852071 LMM852071:LMQ852071 LWI852071:LWM852071 MGE852071:MGI852071 MQA852071:MQE852071 MZW852071:NAA852071 NJS852071:NJW852071 NTO852071:NTS852071 ODK852071:ODO852071 ONG852071:ONK852071 OXC852071:OXG852071 PGY852071:PHC852071 PQU852071:PQY852071 QAQ852071:QAU852071 QKM852071:QKQ852071 QUI852071:QUM852071 REE852071:REI852071 ROA852071:ROE852071 RXW852071:RYA852071 SHS852071:SHW852071 SRO852071:SRS852071 TBK852071:TBO852071 TLG852071:TLK852071 TVC852071:TVG852071 UEY852071:UFC852071 UOU852071:UOY852071 UYQ852071:UYU852071 VIM852071:VIQ852071 VSI852071:VSM852071 WCE852071:WCI852071 WMA852071:WME852071 WVW852071:WWA852071 O917607:S917607 JK917607:JO917607 TG917607:TK917607 ADC917607:ADG917607 AMY917607:ANC917607 AWU917607:AWY917607 BGQ917607:BGU917607 BQM917607:BQQ917607 CAI917607:CAM917607 CKE917607:CKI917607 CUA917607:CUE917607 DDW917607:DEA917607 DNS917607:DNW917607 DXO917607:DXS917607 EHK917607:EHO917607 ERG917607:ERK917607 FBC917607:FBG917607 FKY917607:FLC917607 FUU917607:FUY917607 GEQ917607:GEU917607 GOM917607:GOQ917607 GYI917607:GYM917607 HIE917607:HII917607 HSA917607:HSE917607 IBW917607:ICA917607 ILS917607:ILW917607 IVO917607:IVS917607 JFK917607:JFO917607 JPG917607:JPK917607 JZC917607:JZG917607 KIY917607:KJC917607 KSU917607:KSY917607 LCQ917607:LCU917607 LMM917607:LMQ917607 LWI917607:LWM917607 MGE917607:MGI917607 MQA917607:MQE917607 MZW917607:NAA917607 NJS917607:NJW917607 NTO917607:NTS917607 ODK917607:ODO917607 ONG917607:ONK917607 OXC917607:OXG917607 PGY917607:PHC917607 PQU917607:PQY917607 QAQ917607:QAU917607 QKM917607:QKQ917607 QUI917607:QUM917607 REE917607:REI917607 ROA917607:ROE917607 RXW917607:RYA917607 SHS917607:SHW917607 SRO917607:SRS917607 TBK917607:TBO917607 TLG917607:TLK917607 TVC917607:TVG917607 UEY917607:UFC917607 UOU917607:UOY917607 UYQ917607:UYU917607 VIM917607:VIQ917607 VSI917607:VSM917607 WCE917607:WCI917607 WMA917607:WME917607 WVW917607:WWA917607 O983143:S983143 JK983143:JO983143 TG983143:TK983143 ADC983143:ADG983143 AMY983143:ANC983143 AWU983143:AWY983143 BGQ983143:BGU983143 BQM983143:BQQ983143 CAI983143:CAM983143 CKE983143:CKI983143 CUA983143:CUE983143 DDW983143:DEA983143 DNS983143:DNW983143 DXO983143:DXS983143 EHK983143:EHO983143 ERG983143:ERK983143 FBC983143:FBG983143 FKY983143:FLC983143 FUU983143:FUY983143 GEQ983143:GEU983143 GOM983143:GOQ983143 GYI983143:GYM983143 HIE983143:HII983143 HSA983143:HSE983143 IBW983143:ICA983143 ILS983143:ILW983143 IVO983143:IVS983143 JFK983143:JFO983143 JPG983143:JPK983143 JZC983143:JZG983143 KIY983143:KJC983143 KSU983143:KSY983143 LCQ983143:LCU983143 LMM983143:LMQ983143 LWI983143:LWM983143 MGE983143:MGI983143 MQA983143:MQE983143 MZW983143:NAA983143 NJS983143:NJW983143 NTO983143:NTS983143 ODK983143:ODO983143 ONG983143:ONK983143 OXC983143:OXG983143 PGY983143:PHC983143 PQU983143:PQY983143 QAQ983143:QAU983143 QKM983143:QKQ983143 QUI983143:QUM983143 REE983143:REI983143 ROA983143:ROE983143 RXW983143:RYA983143 SHS983143:SHW983143 SRO983143:SRS983143 TBK983143:TBO983143 TLG983143:TLK983143 TVC983143:TVG983143 UEY983143:UFC983143 UOU983143:UOY983143 UYQ983143:UYU983143 VIM983143:VIQ983143 VSI983143:VSM983143 WCE983143:WCI983143 WMA983143:WME983143 WVW983143:WWA983143">
      <formula1>$Q$1:$R$1</formula1>
    </dataValidation>
    <dataValidation type="list" allowBlank="1" showInputMessage="1" showErrorMessage="1" sqref="JY121 TU121 ADQ121 ANM121 AXI121 BHE121 BRA121 CAW121 CKS121 CUO121 DEK121 DOG121 DYC121 EHY121 ERU121 FBQ121 FLM121 FVI121 GFE121 GPA121 GYW121 HIS121 HSO121 ICK121 IMG121 IWC121 JFY121 JPU121 JZQ121 KJM121 KTI121 LDE121 LNA121 LWW121 MGS121 MQO121 NAK121 NKG121 NUC121 ODY121 ONU121 OXQ121 PHM121 PRI121 QBE121 QLA121 QUW121 RES121 ROO121 RYK121 SIG121 SSC121 TBY121 TLU121 TVQ121 UFM121 UPI121 UZE121 VJA121 VSW121 WCS121 WMO121 WWK121 AC65657 JY65657 TU65657 ADQ65657 ANM65657 AXI65657 BHE65657 BRA65657 CAW65657 CKS65657 CUO65657 DEK65657 DOG65657 DYC65657 EHY65657 ERU65657 FBQ65657 FLM65657 FVI65657 GFE65657 GPA65657 GYW65657 HIS65657 HSO65657 ICK65657 IMG65657 IWC65657 JFY65657 JPU65657 JZQ65657 KJM65657 KTI65657 LDE65657 LNA65657 LWW65657 MGS65657 MQO65657 NAK65657 NKG65657 NUC65657 ODY65657 ONU65657 OXQ65657 PHM65657 PRI65657 QBE65657 QLA65657 QUW65657 RES65657 ROO65657 RYK65657 SIG65657 SSC65657 TBY65657 TLU65657 TVQ65657 UFM65657 UPI65657 UZE65657 VJA65657 VSW65657 WCS65657 WMO65657 WWK65657 AC131193 JY131193 TU131193 ADQ131193 ANM131193 AXI131193 BHE131193 BRA131193 CAW131193 CKS131193 CUO131193 DEK131193 DOG131193 DYC131193 EHY131193 ERU131193 FBQ131193 FLM131193 FVI131193 GFE131193 GPA131193 GYW131193 HIS131193 HSO131193 ICK131193 IMG131193 IWC131193 JFY131193 JPU131193 JZQ131193 KJM131193 KTI131193 LDE131193 LNA131193 LWW131193 MGS131193 MQO131193 NAK131193 NKG131193 NUC131193 ODY131193 ONU131193 OXQ131193 PHM131193 PRI131193 QBE131193 QLA131193 QUW131193 RES131193 ROO131193 RYK131193 SIG131193 SSC131193 TBY131193 TLU131193 TVQ131193 UFM131193 UPI131193 UZE131193 VJA131193 VSW131193 WCS131193 WMO131193 WWK131193 AC196729 JY196729 TU196729 ADQ196729 ANM196729 AXI196729 BHE196729 BRA196729 CAW196729 CKS196729 CUO196729 DEK196729 DOG196729 DYC196729 EHY196729 ERU196729 FBQ196729 FLM196729 FVI196729 GFE196729 GPA196729 GYW196729 HIS196729 HSO196729 ICK196729 IMG196729 IWC196729 JFY196729 JPU196729 JZQ196729 KJM196729 KTI196729 LDE196729 LNA196729 LWW196729 MGS196729 MQO196729 NAK196729 NKG196729 NUC196729 ODY196729 ONU196729 OXQ196729 PHM196729 PRI196729 QBE196729 QLA196729 QUW196729 RES196729 ROO196729 RYK196729 SIG196729 SSC196729 TBY196729 TLU196729 TVQ196729 UFM196729 UPI196729 UZE196729 VJA196729 VSW196729 WCS196729 WMO196729 WWK196729 AC262265 JY262265 TU262265 ADQ262265 ANM262265 AXI262265 BHE262265 BRA262265 CAW262265 CKS262265 CUO262265 DEK262265 DOG262265 DYC262265 EHY262265 ERU262265 FBQ262265 FLM262265 FVI262265 GFE262265 GPA262265 GYW262265 HIS262265 HSO262265 ICK262265 IMG262265 IWC262265 JFY262265 JPU262265 JZQ262265 KJM262265 KTI262265 LDE262265 LNA262265 LWW262265 MGS262265 MQO262265 NAK262265 NKG262265 NUC262265 ODY262265 ONU262265 OXQ262265 PHM262265 PRI262265 QBE262265 QLA262265 QUW262265 RES262265 ROO262265 RYK262265 SIG262265 SSC262265 TBY262265 TLU262265 TVQ262265 UFM262265 UPI262265 UZE262265 VJA262265 VSW262265 WCS262265 WMO262265 WWK262265 AC327801 JY327801 TU327801 ADQ327801 ANM327801 AXI327801 BHE327801 BRA327801 CAW327801 CKS327801 CUO327801 DEK327801 DOG327801 DYC327801 EHY327801 ERU327801 FBQ327801 FLM327801 FVI327801 GFE327801 GPA327801 GYW327801 HIS327801 HSO327801 ICK327801 IMG327801 IWC327801 JFY327801 JPU327801 JZQ327801 KJM327801 KTI327801 LDE327801 LNA327801 LWW327801 MGS327801 MQO327801 NAK327801 NKG327801 NUC327801 ODY327801 ONU327801 OXQ327801 PHM327801 PRI327801 QBE327801 QLA327801 QUW327801 RES327801 ROO327801 RYK327801 SIG327801 SSC327801 TBY327801 TLU327801 TVQ327801 UFM327801 UPI327801 UZE327801 VJA327801 VSW327801 WCS327801 WMO327801 WWK327801 AC393337 JY393337 TU393337 ADQ393337 ANM393337 AXI393337 BHE393337 BRA393337 CAW393337 CKS393337 CUO393337 DEK393337 DOG393337 DYC393337 EHY393337 ERU393337 FBQ393337 FLM393337 FVI393337 GFE393337 GPA393337 GYW393337 HIS393337 HSO393337 ICK393337 IMG393337 IWC393337 JFY393337 JPU393337 JZQ393337 KJM393337 KTI393337 LDE393337 LNA393337 LWW393337 MGS393337 MQO393337 NAK393337 NKG393337 NUC393337 ODY393337 ONU393337 OXQ393337 PHM393337 PRI393337 QBE393337 QLA393337 QUW393337 RES393337 ROO393337 RYK393337 SIG393337 SSC393337 TBY393337 TLU393337 TVQ393337 UFM393337 UPI393337 UZE393337 VJA393337 VSW393337 WCS393337 WMO393337 WWK393337 AC458873 JY458873 TU458873 ADQ458873 ANM458873 AXI458873 BHE458873 BRA458873 CAW458873 CKS458873 CUO458873 DEK458873 DOG458873 DYC458873 EHY458873 ERU458873 FBQ458873 FLM458873 FVI458873 GFE458873 GPA458873 GYW458873 HIS458873 HSO458873 ICK458873 IMG458873 IWC458873 JFY458873 JPU458873 JZQ458873 KJM458873 KTI458873 LDE458873 LNA458873 LWW458873 MGS458873 MQO458873 NAK458873 NKG458873 NUC458873 ODY458873 ONU458873 OXQ458873 PHM458873 PRI458873 QBE458873 QLA458873 QUW458873 RES458873 ROO458873 RYK458873 SIG458873 SSC458873 TBY458873 TLU458873 TVQ458873 UFM458873 UPI458873 UZE458873 VJA458873 VSW458873 WCS458873 WMO458873 WWK458873 AC524409 JY524409 TU524409 ADQ524409 ANM524409 AXI524409 BHE524409 BRA524409 CAW524409 CKS524409 CUO524409 DEK524409 DOG524409 DYC524409 EHY524409 ERU524409 FBQ524409 FLM524409 FVI524409 GFE524409 GPA524409 GYW524409 HIS524409 HSO524409 ICK524409 IMG524409 IWC524409 JFY524409 JPU524409 JZQ524409 KJM524409 KTI524409 LDE524409 LNA524409 LWW524409 MGS524409 MQO524409 NAK524409 NKG524409 NUC524409 ODY524409 ONU524409 OXQ524409 PHM524409 PRI524409 QBE524409 QLA524409 QUW524409 RES524409 ROO524409 RYK524409 SIG524409 SSC524409 TBY524409 TLU524409 TVQ524409 UFM524409 UPI524409 UZE524409 VJA524409 VSW524409 WCS524409 WMO524409 WWK524409 AC589945 JY589945 TU589945 ADQ589945 ANM589945 AXI589945 BHE589945 BRA589945 CAW589945 CKS589945 CUO589945 DEK589945 DOG589945 DYC589945 EHY589945 ERU589945 FBQ589945 FLM589945 FVI589945 GFE589945 GPA589945 GYW589945 HIS589945 HSO589945 ICK589945 IMG589945 IWC589945 JFY589945 JPU589945 JZQ589945 KJM589945 KTI589945 LDE589945 LNA589945 LWW589945 MGS589945 MQO589945 NAK589945 NKG589945 NUC589945 ODY589945 ONU589945 OXQ589945 PHM589945 PRI589945 QBE589945 QLA589945 QUW589945 RES589945 ROO589945 RYK589945 SIG589945 SSC589945 TBY589945 TLU589945 TVQ589945 UFM589945 UPI589945 UZE589945 VJA589945 VSW589945 WCS589945 WMO589945 WWK589945 AC655481 JY655481 TU655481 ADQ655481 ANM655481 AXI655481 BHE655481 BRA655481 CAW655481 CKS655481 CUO655481 DEK655481 DOG655481 DYC655481 EHY655481 ERU655481 FBQ655481 FLM655481 FVI655481 GFE655481 GPA655481 GYW655481 HIS655481 HSO655481 ICK655481 IMG655481 IWC655481 JFY655481 JPU655481 JZQ655481 KJM655481 KTI655481 LDE655481 LNA655481 LWW655481 MGS655481 MQO655481 NAK655481 NKG655481 NUC655481 ODY655481 ONU655481 OXQ655481 PHM655481 PRI655481 QBE655481 QLA655481 QUW655481 RES655481 ROO655481 RYK655481 SIG655481 SSC655481 TBY655481 TLU655481 TVQ655481 UFM655481 UPI655481 UZE655481 VJA655481 VSW655481 WCS655481 WMO655481 WWK655481 AC721017 JY721017 TU721017 ADQ721017 ANM721017 AXI721017 BHE721017 BRA721017 CAW721017 CKS721017 CUO721017 DEK721017 DOG721017 DYC721017 EHY721017 ERU721017 FBQ721017 FLM721017 FVI721017 GFE721017 GPA721017 GYW721017 HIS721017 HSO721017 ICK721017 IMG721017 IWC721017 JFY721017 JPU721017 JZQ721017 KJM721017 KTI721017 LDE721017 LNA721017 LWW721017 MGS721017 MQO721017 NAK721017 NKG721017 NUC721017 ODY721017 ONU721017 OXQ721017 PHM721017 PRI721017 QBE721017 QLA721017 QUW721017 RES721017 ROO721017 RYK721017 SIG721017 SSC721017 TBY721017 TLU721017 TVQ721017 UFM721017 UPI721017 UZE721017 VJA721017 VSW721017 WCS721017 WMO721017 WWK721017 AC786553 JY786553 TU786553 ADQ786553 ANM786553 AXI786553 BHE786553 BRA786553 CAW786553 CKS786553 CUO786553 DEK786553 DOG786553 DYC786553 EHY786553 ERU786553 FBQ786553 FLM786553 FVI786553 GFE786553 GPA786553 GYW786553 HIS786553 HSO786553 ICK786553 IMG786553 IWC786553 JFY786553 JPU786553 JZQ786553 KJM786553 KTI786553 LDE786553 LNA786553 LWW786553 MGS786553 MQO786553 NAK786553 NKG786553 NUC786553 ODY786553 ONU786553 OXQ786553 PHM786553 PRI786553 QBE786553 QLA786553 QUW786553 RES786553 ROO786553 RYK786553 SIG786553 SSC786553 TBY786553 TLU786553 TVQ786553 UFM786553 UPI786553 UZE786553 VJA786553 VSW786553 WCS786553 WMO786553 WWK786553 AC852089 JY852089 TU852089 ADQ852089 ANM852089 AXI852089 BHE852089 BRA852089 CAW852089 CKS852089 CUO852089 DEK852089 DOG852089 DYC852089 EHY852089 ERU852089 FBQ852089 FLM852089 FVI852089 GFE852089 GPA852089 GYW852089 HIS852089 HSO852089 ICK852089 IMG852089 IWC852089 JFY852089 JPU852089 JZQ852089 KJM852089 KTI852089 LDE852089 LNA852089 LWW852089 MGS852089 MQO852089 NAK852089 NKG852089 NUC852089 ODY852089 ONU852089 OXQ852089 PHM852089 PRI852089 QBE852089 QLA852089 QUW852089 RES852089 ROO852089 RYK852089 SIG852089 SSC852089 TBY852089 TLU852089 TVQ852089 UFM852089 UPI852089 UZE852089 VJA852089 VSW852089 WCS852089 WMO852089 WWK852089 AC917625 JY917625 TU917625 ADQ917625 ANM917625 AXI917625 BHE917625 BRA917625 CAW917625 CKS917625 CUO917625 DEK917625 DOG917625 DYC917625 EHY917625 ERU917625 FBQ917625 FLM917625 FVI917625 GFE917625 GPA917625 GYW917625 HIS917625 HSO917625 ICK917625 IMG917625 IWC917625 JFY917625 JPU917625 JZQ917625 KJM917625 KTI917625 LDE917625 LNA917625 LWW917625 MGS917625 MQO917625 NAK917625 NKG917625 NUC917625 ODY917625 ONU917625 OXQ917625 PHM917625 PRI917625 QBE917625 QLA917625 QUW917625 RES917625 ROO917625 RYK917625 SIG917625 SSC917625 TBY917625 TLU917625 TVQ917625 UFM917625 UPI917625 UZE917625 VJA917625 VSW917625 WCS917625 WMO917625 WWK917625 AC983161 JY983161 TU983161 ADQ983161 ANM983161 AXI983161 BHE983161 BRA983161 CAW983161 CKS983161 CUO983161 DEK983161 DOG983161 DYC983161 EHY983161 ERU983161 FBQ983161 FLM983161 FVI983161 GFE983161 GPA983161 GYW983161 HIS983161 HSO983161 ICK983161 IMG983161 IWC983161 JFY983161 JPU983161 JZQ983161 KJM983161 KTI983161 LDE983161 LNA983161 LWW983161 MGS983161 MQO983161 NAK983161 NKG983161 NUC983161 ODY983161 ONU983161 OXQ983161 PHM983161 PRI983161 QBE983161 QLA983161 QUW983161 RES983161 ROO983161 RYK983161 SIG983161 SSC983161 TBY983161 TLU983161 TVQ983161 UFM983161 UPI983161 UZE983161 VJA983161 VSW983161 WCS983161 WMO983161 WWK983161">
      <formula1>$AA$2:$AA$4</formula1>
    </dataValidation>
    <dataValidation type="list" allowBlank="1" showInputMessage="1" showErrorMessage="1" sqref="JP102:JR102 TL102:TN102 ADH102:ADJ102 AND102:ANF102 AWZ102:AXB102 BGV102:BGX102 BQR102:BQT102 CAN102:CAP102 CKJ102:CKL102 CUF102:CUH102 DEB102:DED102 DNX102:DNZ102 DXT102:DXV102 EHP102:EHR102 ERL102:ERN102 FBH102:FBJ102 FLD102:FLF102 FUZ102:FVB102 GEV102:GEX102 GOR102:GOT102 GYN102:GYP102 HIJ102:HIL102 HSF102:HSH102 ICB102:ICD102 ILX102:ILZ102 IVT102:IVV102 JFP102:JFR102 JPL102:JPN102 JZH102:JZJ102 KJD102:KJF102 KSZ102:KTB102 LCV102:LCX102 LMR102:LMT102 LWN102:LWP102 MGJ102:MGL102 MQF102:MQH102 NAB102:NAD102 NJX102:NJZ102 NTT102:NTV102 ODP102:ODR102 ONL102:ONN102 OXH102:OXJ102 PHD102:PHF102 PQZ102:PRB102 QAV102:QAX102 QKR102:QKT102 QUN102:QUP102 REJ102:REL102 ROF102:ROH102 RYB102:RYD102 SHX102:SHZ102 SRT102:SRV102 TBP102:TBR102 TLL102:TLN102 TVH102:TVJ102 UFD102:UFF102 UOZ102:UPB102 UYV102:UYX102 VIR102:VIT102 VSN102:VSP102 WCJ102:WCL102 WMF102:WMH102 WWB102:WWD102 T65639:V65639 JP65639:JR65639 TL65639:TN65639 ADH65639:ADJ65639 AND65639:ANF65639 AWZ65639:AXB65639 BGV65639:BGX65639 BQR65639:BQT65639 CAN65639:CAP65639 CKJ65639:CKL65639 CUF65639:CUH65639 DEB65639:DED65639 DNX65639:DNZ65639 DXT65639:DXV65639 EHP65639:EHR65639 ERL65639:ERN65639 FBH65639:FBJ65639 FLD65639:FLF65639 FUZ65639:FVB65639 GEV65639:GEX65639 GOR65639:GOT65639 GYN65639:GYP65639 HIJ65639:HIL65639 HSF65639:HSH65639 ICB65639:ICD65639 ILX65639:ILZ65639 IVT65639:IVV65639 JFP65639:JFR65639 JPL65639:JPN65639 JZH65639:JZJ65639 KJD65639:KJF65639 KSZ65639:KTB65639 LCV65639:LCX65639 LMR65639:LMT65639 LWN65639:LWP65639 MGJ65639:MGL65639 MQF65639:MQH65639 NAB65639:NAD65639 NJX65639:NJZ65639 NTT65639:NTV65639 ODP65639:ODR65639 ONL65639:ONN65639 OXH65639:OXJ65639 PHD65639:PHF65639 PQZ65639:PRB65639 QAV65639:QAX65639 QKR65639:QKT65639 QUN65639:QUP65639 REJ65639:REL65639 ROF65639:ROH65639 RYB65639:RYD65639 SHX65639:SHZ65639 SRT65639:SRV65639 TBP65639:TBR65639 TLL65639:TLN65639 TVH65639:TVJ65639 UFD65639:UFF65639 UOZ65639:UPB65639 UYV65639:UYX65639 VIR65639:VIT65639 VSN65639:VSP65639 WCJ65639:WCL65639 WMF65639:WMH65639 WWB65639:WWD65639 T131175:V131175 JP131175:JR131175 TL131175:TN131175 ADH131175:ADJ131175 AND131175:ANF131175 AWZ131175:AXB131175 BGV131175:BGX131175 BQR131175:BQT131175 CAN131175:CAP131175 CKJ131175:CKL131175 CUF131175:CUH131175 DEB131175:DED131175 DNX131175:DNZ131175 DXT131175:DXV131175 EHP131175:EHR131175 ERL131175:ERN131175 FBH131175:FBJ131175 FLD131175:FLF131175 FUZ131175:FVB131175 GEV131175:GEX131175 GOR131175:GOT131175 GYN131175:GYP131175 HIJ131175:HIL131175 HSF131175:HSH131175 ICB131175:ICD131175 ILX131175:ILZ131175 IVT131175:IVV131175 JFP131175:JFR131175 JPL131175:JPN131175 JZH131175:JZJ131175 KJD131175:KJF131175 KSZ131175:KTB131175 LCV131175:LCX131175 LMR131175:LMT131175 LWN131175:LWP131175 MGJ131175:MGL131175 MQF131175:MQH131175 NAB131175:NAD131175 NJX131175:NJZ131175 NTT131175:NTV131175 ODP131175:ODR131175 ONL131175:ONN131175 OXH131175:OXJ131175 PHD131175:PHF131175 PQZ131175:PRB131175 QAV131175:QAX131175 QKR131175:QKT131175 QUN131175:QUP131175 REJ131175:REL131175 ROF131175:ROH131175 RYB131175:RYD131175 SHX131175:SHZ131175 SRT131175:SRV131175 TBP131175:TBR131175 TLL131175:TLN131175 TVH131175:TVJ131175 UFD131175:UFF131175 UOZ131175:UPB131175 UYV131175:UYX131175 VIR131175:VIT131175 VSN131175:VSP131175 WCJ131175:WCL131175 WMF131175:WMH131175 WWB131175:WWD131175 T196711:V196711 JP196711:JR196711 TL196711:TN196711 ADH196711:ADJ196711 AND196711:ANF196711 AWZ196711:AXB196711 BGV196711:BGX196711 BQR196711:BQT196711 CAN196711:CAP196711 CKJ196711:CKL196711 CUF196711:CUH196711 DEB196711:DED196711 DNX196711:DNZ196711 DXT196711:DXV196711 EHP196711:EHR196711 ERL196711:ERN196711 FBH196711:FBJ196711 FLD196711:FLF196711 FUZ196711:FVB196711 GEV196711:GEX196711 GOR196711:GOT196711 GYN196711:GYP196711 HIJ196711:HIL196711 HSF196711:HSH196711 ICB196711:ICD196711 ILX196711:ILZ196711 IVT196711:IVV196711 JFP196711:JFR196711 JPL196711:JPN196711 JZH196711:JZJ196711 KJD196711:KJF196711 KSZ196711:KTB196711 LCV196711:LCX196711 LMR196711:LMT196711 LWN196711:LWP196711 MGJ196711:MGL196711 MQF196711:MQH196711 NAB196711:NAD196711 NJX196711:NJZ196711 NTT196711:NTV196711 ODP196711:ODR196711 ONL196711:ONN196711 OXH196711:OXJ196711 PHD196711:PHF196711 PQZ196711:PRB196711 QAV196711:QAX196711 QKR196711:QKT196711 QUN196711:QUP196711 REJ196711:REL196711 ROF196711:ROH196711 RYB196711:RYD196711 SHX196711:SHZ196711 SRT196711:SRV196711 TBP196711:TBR196711 TLL196711:TLN196711 TVH196711:TVJ196711 UFD196711:UFF196711 UOZ196711:UPB196711 UYV196711:UYX196711 VIR196711:VIT196711 VSN196711:VSP196711 WCJ196711:WCL196711 WMF196711:WMH196711 WWB196711:WWD196711 T262247:V262247 JP262247:JR262247 TL262247:TN262247 ADH262247:ADJ262247 AND262247:ANF262247 AWZ262247:AXB262247 BGV262247:BGX262247 BQR262247:BQT262247 CAN262247:CAP262247 CKJ262247:CKL262247 CUF262247:CUH262247 DEB262247:DED262247 DNX262247:DNZ262247 DXT262247:DXV262247 EHP262247:EHR262247 ERL262247:ERN262247 FBH262247:FBJ262247 FLD262247:FLF262247 FUZ262247:FVB262247 GEV262247:GEX262247 GOR262247:GOT262247 GYN262247:GYP262247 HIJ262247:HIL262247 HSF262247:HSH262247 ICB262247:ICD262247 ILX262247:ILZ262247 IVT262247:IVV262247 JFP262247:JFR262247 JPL262247:JPN262247 JZH262247:JZJ262247 KJD262247:KJF262247 KSZ262247:KTB262247 LCV262247:LCX262247 LMR262247:LMT262247 LWN262247:LWP262247 MGJ262247:MGL262247 MQF262247:MQH262247 NAB262247:NAD262247 NJX262247:NJZ262247 NTT262247:NTV262247 ODP262247:ODR262247 ONL262247:ONN262247 OXH262247:OXJ262247 PHD262247:PHF262247 PQZ262247:PRB262247 QAV262247:QAX262247 QKR262247:QKT262247 QUN262247:QUP262247 REJ262247:REL262247 ROF262247:ROH262247 RYB262247:RYD262247 SHX262247:SHZ262247 SRT262247:SRV262247 TBP262247:TBR262247 TLL262247:TLN262247 TVH262247:TVJ262247 UFD262247:UFF262247 UOZ262247:UPB262247 UYV262247:UYX262247 VIR262247:VIT262247 VSN262247:VSP262247 WCJ262247:WCL262247 WMF262247:WMH262247 WWB262247:WWD262247 T327783:V327783 JP327783:JR327783 TL327783:TN327783 ADH327783:ADJ327783 AND327783:ANF327783 AWZ327783:AXB327783 BGV327783:BGX327783 BQR327783:BQT327783 CAN327783:CAP327783 CKJ327783:CKL327783 CUF327783:CUH327783 DEB327783:DED327783 DNX327783:DNZ327783 DXT327783:DXV327783 EHP327783:EHR327783 ERL327783:ERN327783 FBH327783:FBJ327783 FLD327783:FLF327783 FUZ327783:FVB327783 GEV327783:GEX327783 GOR327783:GOT327783 GYN327783:GYP327783 HIJ327783:HIL327783 HSF327783:HSH327783 ICB327783:ICD327783 ILX327783:ILZ327783 IVT327783:IVV327783 JFP327783:JFR327783 JPL327783:JPN327783 JZH327783:JZJ327783 KJD327783:KJF327783 KSZ327783:KTB327783 LCV327783:LCX327783 LMR327783:LMT327783 LWN327783:LWP327783 MGJ327783:MGL327783 MQF327783:MQH327783 NAB327783:NAD327783 NJX327783:NJZ327783 NTT327783:NTV327783 ODP327783:ODR327783 ONL327783:ONN327783 OXH327783:OXJ327783 PHD327783:PHF327783 PQZ327783:PRB327783 QAV327783:QAX327783 QKR327783:QKT327783 QUN327783:QUP327783 REJ327783:REL327783 ROF327783:ROH327783 RYB327783:RYD327783 SHX327783:SHZ327783 SRT327783:SRV327783 TBP327783:TBR327783 TLL327783:TLN327783 TVH327783:TVJ327783 UFD327783:UFF327783 UOZ327783:UPB327783 UYV327783:UYX327783 VIR327783:VIT327783 VSN327783:VSP327783 WCJ327783:WCL327783 WMF327783:WMH327783 WWB327783:WWD327783 T393319:V393319 JP393319:JR393319 TL393319:TN393319 ADH393319:ADJ393319 AND393319:ANF393319 AWZ393319:AXB393319 BGV393319:BGX393319 BQR393319:BQT393319 CAN393319:CAP393319 CKJ393319:CKL393319 CUF393319:CUH393319 DEB393319:DED393319 DNX393319:DNZ393319 DXT393319:DXV393319 EHP393319:EHR393319 ERL393319:ERN393319 FBH393319:FBJ393319 FLD393319:FLF393319 FUZ393319:FVB393319 GEV393319:GEX393319 GOR393319:GOT393319 GYN393319:GYP393319 HIJ393319:HIL393319 HSF393319:HSH393319 ICB393319:ICD393319 ILX393319:ILZ393319 IVT393319:IVV393319 JFP393319:JFR393319 JPL393319:JPN393319 JZH393319:JZJ393319 KJD393319:KJF393319 KSZ393319:KTB393319 LCV393319:LCX393319 LMR393319:LMT393319 LWN393319:LWP393319 MGJ393319:MGL393319 MQF393319:MQH393319 NAB393319:NAD393319 NJX393319:NJZ393319 NTT393319:NTV393319 ODP393319:ODR393319 ONL393319:ONN393319 OXH393319:OXJ393319 PHD393319:PHF393319 PQZ393319:PRB393319 QAV393319:QAX393319 QKR393319:QKT393319 QUN393319:QUP393319 REJ393319:REL393319 ROF393319:ROH393319 RYB393319:RYD393319 SHX393319:SHZ393319 SRT393319:SRV393319 TBP393319:TBR393319 TLL393319:TLN393319 TVH393319:TVJ393319 UFD393319:UFF393319 UOZ393319:UPB393319 UYV393319:UYX393319 VIR393319:VIT393319 VSN393319:VSP393319 WCJ393319:WCL393319 WMF393319:WMH393319 WWB393319:WWD393319 T458855:V458855 JP458855:JR458855 TL458855:TN458855 ADH458855:ADJ458855 AND458855:ANF458855 AWZ458855:AXB458855 BGV458855:BGX458855 BQR458855:BQT458855 CAN458855:CAP458855 CKJ458855:CKL458855 CUF458855:CUH458855 DEB458855:DED458855 DNX458855:DNZ458855 DXT458855:DXV458855 EHP458855:EHR458855 ERL458855:ERN458855 FBH458855:FBJ458855 FLD458855:FLF458855 FUZ458855:FVB458855 GEV458855:GEX458855 GOR458855:GOT458855 GYN458855:GYP458855 HIJ458855:HIL458855 HSF458855:HSH458855 ICB458855:ICD458855 ILX458855:ILZ458855 IVT458855:IVV458855 JFP458855:JFR458855 JPL458855:JPN458855 JZH458855:JZJ458855 KJD458855:KJF458855 KSZ458855:KTB458855 LCV458855:LCX458855 LMR458855:LMT458855 LWN458855:LWP458855 MGJ458855:MGL458855 MQF458855:MQH458855 NAB458855:NAD458855 NJX458855:NJZ458855 NTT458855:NTV458855 ODP458855:ODR458855 ONL458855:ONN458855 OXH458855:OXJ458855 PHD458855:PHF458855 PQZ458855:PRB458855 QAV458855:QAX458855 QKR458855:QKT458855 QUN458855:QUP458855 REJ458855:REL458855 ROF458855:ROH458855 RYB458855:RYD458855 SHX458855:SHZ458855 SRT458855:SRV458855 TBP458855:TBR458855 TLL458855:TLN458855 TVH458855:TVJ458855 UFD458855:UFF458855 UOZ458855:UPB458855 UYV458855:UYX458855 VIR458855:VIT458855 VSN458855:VSP458855 WCJ458855:WCL458855 WMF458855:WMH458855 WWB458855:WWD458855 T524391:V524391 JP524391:JR524391 TL524391:TN524391 ADH524391:ADJ524391 AND524391:ANF524391 AWZ524391:AXB524391 BGV524391:BGX524391 BQR524391:BQT524391 CAN524391:CAP524391 CKJ524391:CKL524391 CUF524391:CUH524391 DEB524391:DED524391 DNX524391:DNZ524391 DXT524391:DXV524391 EHP524391:EHR524391 ERL524391:ERN524391 FBH524391:FBJ524391 FLD524391:FLF524391 FUZ524391:FVB524391 GEV524391:GEX524391 GOR524391:GOT524391 GYN524391:GYP524391 HIJ524391:HIL524391 HSF524391:HSH524391 ICB524391:ICD524391 ILX524391:ILZ524391 IVT524391:IVV524391 JFP524391:JFR524391 JPL524391:JPN524391 JZH524391:JZJ524391 KJD524391:KJF524391 KSZ524391:KTB524391 LCV524391:LCX524391 LMR524391:LMT524391 LWN524391:LWP524391 MGJ524391:MGL524391 MQF524391:MQH524391 NAB524391:NAD524391 NJX524391:NJZ524391 NTT524391:NTV524391 ODP524391:ODR524391 ONL524391:ONN524391 OXH524391:OXJ524391 PHD524391:PHF524391 PQZ524391:PRB524391 QAV524391:QAX524391 QKR524391:QKT524391 QUN524391:QUP524391 REJ524391:REL524391 ROF524391:ROH524391 RYB524391:RYD524391 SHX524391:SHZ524391 SRT524391:SRV524391 TBP524391:TBR524391 TLL524391:TLN524391 TVH524391:TVJ524391 UFD524391:UFF524391 UOZ524391:UPB524391 UYV524391:UYX524391 VIR524391:VIT524391 VSN524391:VSP524391 WCJ524391:WCL524391 WMF524391:WMH524391 WWB524391:WWD524391 T589927:V589927 JP589927:JR589927 TL589927:TN589927 ADH589927:ADJ589927 AND589927:ANF589927 AWZ589927:AXB589927 BGV589927:BGX589927 BQR589927:BQT589927 CAN589927:CAP589927 CKJ589927:CKL589927 CUF589927:CUH589927 DEB589927:DED589927 DNX589927:DNZ589927 DXT589927:DXV589927 EHP589927:EHR589927 ERL589927:ERN589927 FBH589927:FBJ589927 FLD589927:FLF589927 FUZ589927:FVB589927 GEV589927:GEX589927 GOR589927:GOT589927 GYN589927:GYP589927 HIJ589927:HIL589927 HSF589927:HSH589927 ICB589927:ICD589927 ILX589927:ILZ589927 IVT589927:IVV589927 JFP589927:JFR589927 JPL589927:JPN589927 JZH589927:JZJ589927 KJD589927:KJF589927 KSZ589927:KTB589927 LCV589927:LCX589927 LMR589927:LMT589927 LWN589927:LWP589927 MGJ589927:MGL589927 MQF589927:MQH589927 NAB589927:NAD589927 NJX589927:NJZ589927 NTT589927:NTV589927 ODP589927:ODR589927 ONL589927:ONN589927 OXH589927:OXJ589927 PHD589927:PHF589927 PQZ589927:PRB589927 QAV589927:QAX589927 QKR589927:QKT589927 QUN589927:QUP589927 REJ589927:REL589927 ROF589927:ROH589927 RYB589927:RYD589927 SHX589927:SHZ589927 SRT589927:SRV589927 TBP589927:TBR589927 TLL589927:TLN589927 TVH589927:TVJ589927 UFD589927:UFF589927 UOZ589927:UPB589927 UYV589927:UYX589927 VIR589927:VIT589927 VSN589927:VSP589927 WCJ589927:WCL589927 WMF589927:WMH589927 WWB589927:WWD589927 T655463:V655463 JP655463:JR655463 TL655463:TN655463 ADH655463:ADJ655463 AND655463:ANF655463 AWZ655463:AXB655463 BGV655463:BGX655463 BQR655463:BQT655463 CAN655463:CAP655463 CKJ655463:CKL655463 CUF655463:CUH655463 DEB655463:DED655463 DNX655463:DNZ655463 DXT655463:DXV655463 EHP655463:EHR655463 ERL655463:ERN655463 FBH655463:FBJ655463 FLD655463:FLF655463 FUZ655463:FVB655463 GEV655463:GEX655463 GOR655463:GOT655463 GYN655463:GYP655463 HIJ655463:HIL655463 HSF655463:HSH655463 ICB655463:ICD655463 ILX655463:ILZ655463 IVT655463:IVV655463 JFP655463:JFR655463 JPL655463:JPN655463 JZH655463:JZJ655463 KJD655463:KJF655463 KSZ655463:KTB655463 LCV655463:LCX655463 LMR655463:LMT655463 LWN655463:LWP655463 MGJ655463:MGL655463 MQF655463:MQH655463 NAB655463:NAD655463 NJX655463:NJZ655463 NTT655463:NTV655463 ODP655463:ODR655463 ONL655463:ONN655463 OXH655463:OXJ655463 PHD655463:PHF655463 PQZ655463:PRB655463 QAV655463:QAX655463 QKR655463:QKT655463 QUN655463:QUP655463 REJ655463:REL655463 ROF655463:ROH655463 RYB655463:RYD655463 SHX655463:SHZ655463 SRT655463:SRV655463 TBP655463:TBR655463 TLL655463:TLN655463 TVH655463:TVJ655463 UFD655463:UFF655463 UOZ655463:UPB655463 UYV655463:UYX655463 VIR655463:VIT655463 VSN655463:VSP655463 WCJ655463:WCL655463 WMF655463:WMH655463 WWB655463:WWD655463 T720999:V720999 JP720999:JR720999 TL720999:TN720999 ADH720999:ADJ720999 AND720999:ANF720999 AWZ720999:AXB720999 BGV720999:BGX720999 BQR720999:BQT720999 CAN720999:CAP720999 CKJ720999:CKL720999 CUF720999:CUH720999 DEB720999:DED720999 DNX720999:DNZ720999 DXT720999:DXV720999 EHP720999:EHR720999 ERL720999:ERN720999 FBH720999:FBJ720999 FLD720999:FLF720999 FUZ720999:FVB720999 GEV720999:GEX720999 GOR720999:GOT720999 GYN720999:GYP720999 HIJ720999:HIL720999 HSF720999:HSH720999 ICB720999:ICD720999 ILX720999:ILZ720999 IVT720999:IVV720999 JFP720999:JFR720999 JPL720999:JPN720999 JZH720999:JZJ720999 KJD720999:KJF720999 KSZ720999:KTB720999 LCV720999:LCX720999 LMR720999:LMT720999 LWN720999:LWP720999 MGJ720999:MGL720999 MQF720999:MQH720999 NAB720999:NAD720999 NJX720999:NJZ720999 NTT720999:NTV720999 ODP720999:ODR720999 ONL720999:ONN720999 OXH720999:OXJ720999 PHD720999:PHF720999 PQZ720999:PRB720999 QAV720999:QAX720999 QKR720999:QKT720999 QUN720999:QUP720999 REJ720999:REL720999 ROF720999:ROH720999 RYB720999:RYD720999 SHX720999:SHZ720999 SRT720999:SRV720999 TBP720999:TBR720999 TLL720999:TLN720999 TVH720999:TVJ720999 UFD720999:UFF720999 UOZ720999:UPB720999 UYV720999:UYX720999 VIR720999:VIT720999 VSN720999:VSP720999 WCJ720999:WCL720999 WMF720999:WMH720999 WWB720999:WWD720999 T786535:V786535 JP786535:JR786535 TL786535:TN786535 ADH786535:ADJ786535 AND786535:ANF786535 AWZ786535:AXB786535 BGV786535:BGX786535 BQR786535:BQT786535 CAN786535:CAP786535 CKJ786535:CKL786535 CUF786535:CUH786535 DEB786535:DED786535 DNX786535:DNZ786535 DXT786535:DXV786535 EHP786535:EHR786535 ERL786535:ERN786535 FBH786535:FBJ786535 FLD786535:FLF786535 FUZ786535:FVB786535 GEV786535:GEX786535 GOR786535:GOT786535 GYN786535:GYP786535 HIJ786535:HIL786535 HSF786535:HSH786535 ICB786535:ICD786535 ILX786535:ILZ786535 IVT786535:IVV786535 JFP786535:JFR786535 JPL786535:JPN786535 JZH786535:JZJ786535 KJD786535:KJF786535 KSZ786535:KTB786535 LCV786535:LCX786535 LMR786535:LMT786535 LWN786535:LWP786535 MGJ786535:MGL786535 MQF786535:MQH786535 NAB786535:NAD786535 NJX786535:NJZ786535 NTT786535:NTV786535 ODP786535:ODR786535 ONL786535:ONN786535 OXH786535:OXJ786535 PHD786535:PHF786535 PQZ786535:PRB786535 QAV786535:QAX786535 QKR786535:QKT786535 QUN786535:QUP786535 REJ786535:REL786535 ROF786535:ROH786535 RYB786535:RYD786535 SHX786535:SHZ786535 SRT786535:SRV786535 TBP786535:TBR786535 TLL786535:TLN786535 TVH786535:TVJ786535 UFD786535:UFF786535 UOZ786535:UPB786535 UYV786535:UYX786535 VIR786535:VIT786535 VSN786535:VSP786535 WCJ786535:WCL786535 WMF786535:WMH786535 WWB786535:WWD786535 T852071:V852071 JP852071:JR852071 TL852071:TN852071 ADH852071:ADJ852071 AND852071:ANF852071 AWZ852071:AXB852071 BGV852071:BGX852071 BQR852071:BQT852071 CAN852071:CAP852071 CKJ852071:CKL852071 CUF852071:CUH852071 DEB852071:DED852071 DNX852071:DNZ852071 DXT852071:DXV852071 EHP852071:EHR852071 ERL852071:ERN852071 FBH852071:FBJ852071 FLD852071:FLF852071 FUZ852071:FVB852071 GEV852071:GEX852071 GOR852071:GOT852071 GYN852071:GYP852071 HIJ852071:HIL852071 HSF852071:HSH852071 ICB852071:ICD852071 ILX852071:ILZ852071 IVT852071:IVV852071 JFP852071:JFR852071 JPL852071:JPN852071 JZH852071:JZJ852071 KJD852071:KJF852071 KSZ852071:KTB852071 LCV852071:LCX852071 LMR852071:LMT852071 LWN852071:LWP852071 MGJ852071:MGL852071 MQF852071:MQH852071 NAB852071:NAD852071 NJX852071:NJZ852071 NTT852071:NTV852071 ODP852071:ODR852071 ONL852071:ONN852071 OXH852071:OXJ852071 PHD852071:PHF852071 PQZ852071:PRB852071 QAV852071:QAX852071 QKR852071:QKT852071 QUN852071:QUP852071 REJ852071:REL852071 ROF852071:ROH852071 RYB852071:RYD852071 SHX852071:SHZ852071 SRT852071:SRV852071 TBP852071:TBR852071 TLL852071:TLN852071 TVH852071:TVJ852071 UFD852071:UFF852071 UOZ852071:UPB852071 UYV852071:UYX852071 VIR852071:VIT852071 VSN852071:VSP852071 WCJ852071:WCL852071 WMF852071:WMH852071 WWB852071:WWD852071 T917607:V917607 JP917607:JR917607 TL917607:TN917607 ADH917607:ADJ917607 AND917607:ANF917607 AWZ917607:AXB917607 BGV917607:BGX917607 BQR917607:BQT917607 CAN917607:CAP917607 CKJ917607:CKL917607 CUF917607:CUH917607 DEB917607:DED917607 DNX917607:DNZ917607 DXT917607:DXV917607 EHP917607:EHR917607 ERL917607:ERN917607 FBH917607:FBJ917607 FLD917607:FLF917607 FUZ917607:FVB917607 GEV917607:GEX917607 GOR917607:GOT917607 GYN917607:GYP917607 HIJ917607:HIL917607 HSF917607:HSH917607 ICB917607:ICD917607 ILX917607:ILZ917607 IVT917607:IVV917607 JFP917607:JFR917607 JPL917607:JPN917607 JZH917607:JZJ917607 KJD917607:KJF917607 KSZ917607:KTB917607 LCV917607:LCX917607 LMR917607:LMT917607 LWN917607:LWP917607 MGJ917607:MGL917607 MQF917607:MQH917607 NAB917607:NAD917607 NJX917607:NJZ917607 NTT917607:NTV917607 ODP917607:ODR917607 ONL917607:ONN917607 OXH917607:OXJ917607 PHD917607:PHF917607 PQZ917607:PRB917607 QAV917607:QAX917607 QKR917607:QKT917607 QUN917607:QUP917607 REJ917607:REL917607 ROF917607:ROH917607 RYB917607:RYD917607 SHX917607:SHZ917607 SRT917607:SRV917607 TBP917607:TBR917607 TLL917607:TLN917607 TVH917607:TVJ917607 UFD917607:UFF917607 UOZ917607:UPB917607 UYV917607:UYX917607 VIR917607:VIT917607 VSN917607:VSP917607 WCJ917607:WCL917607 WMF917607:WMH917607 WWB917607:WWD917607 T983143:V983143 JP983143:JR983143 TL983143:TN983143 ADH983143:ADJ983143 AND983143:ANF983143 AWZ983143:AXB983143 BGV983143:BGX983143 BQR983143:BQT983143 CAN983143:CAP983143 CKJ983143:CKL983143 CUF983143:CUH983143 DEB983143:DED983143 DNX983143:DNZ983143 DXT983143:DXV983143 EHP983143:EHR983143 ERL983143:ERN983143 FBH983143:FBJ983143 FLD983143:FLF983143 FUZ983143:FVB983143 GEV983143:GEX983143 GOR983143:GOT983143 GYN983143:GYP983143 HIJ983143:HIL983143 HSF983143:HSH983143 ICB983143:ICD983143 ILX983143:ILZ983143 IVT983143:IVV983143 JFP983143:JFR983143 JPL983143:JPN983143 JZH983143:JZJ983143 KJD983143:KJF983143 KSZ983143:KTB983143 LCV983143:LCX983143 LMR983143:LMT983143 LWN983143:LWP983143 MGJ983143:MGL983143 MQF983143:MQH983143 NAB983143:NAD983143 NJX983143:NJZ983143 NTT983143:NTV983143 ODP983143:ODR983143 ONL983143:ONN983143 OXH983143:OXJ983143 PHD983143:PHF983143 PQZ983143:PRB983143 QAV983143:QAX983143 QKR983143:QKT983143 QUN983143:QUP983143 REJ983143:REL983143 ROF983143:ROH983143 RYB983143:RYD983143 SHX983143:SHZ983143 SRT983143:SRV983143 TBP983143:TBR983143 TLL983143:TLN983143 TVH983143:TVJ983143 UFD983143:UFF983143 UOZ983143:UPB983143 UYV983143:UYX983143 VIR983143:VIT983143 VSN983143:VSP983143 WCJ983143:WCL983143 WMF983143:WMH983143 WWB983143:WWD983143">
      <formula1>"现场报告 Field Report,正式报告 Official Report"</formula1>
    </dataValidation>
    <dataValidation type="list" allowBlank="1" showInputMessage="1" showErrorMessage="1" sqref="JS102:JV102 TO102:TR102 ADK102:ADN102 ANG102:ANJ102 AXC102:AXF102 BGY102:BHB102 BQU102:BQX102 CAQ102:CAT102 CKM102:CKP102 CUI102:CUL102 DEE102:DEH102 DOA102:DOD102 DXW102:DXZ102 EHS102:EHV102 ERO102:ERR102 FBK102:FBN102 FLG102:FLJ102 FVC102:FVF102 GEY102:GFB102 GOU102:GOX102 GYQ102:GYT102 HIM102:HIP102 HSI102:HSL102 ICE102:ICH102 IMA102:IMD102 IVW102:IVZ102 JFS102:JFV102 JPO102:JPR102 JZK102:JZN102 KJG102:KJJ102 KTC102:KTF102 LCY102:LDB102 LMU102:LMX102 LWQ102:LWT102 MGM102:MGP102 MQI102:MQL102 NAE102:NAH102 NKA102:NKD102 NTW102:NTZ102 ODS102:ODV102 ONO102:ONR102 OXK102:OXN102 PHG102:PHJ102 PRC102:PRF102 QAY102:QBB102 QKU102:QKX102 QUQ102:QUT102 REM102:REP102 ROI102:ROL102 RYE102:RYH102 SIA102:SID102 SRW102:SRZ102 TBS102:TBV102 TLO102:TLR102 TVK102:TVN102 UFG102:UFJ102 UPC102:UPF102 UYY102:UZB102 VIU102:VIX102 VSQ102:VST102 WCM102:WCP102 WMI102:WML102 WWE102:WWH102 W65639:Z65639 JS65639:JV65639 TO65639:TR65639 ADK65639:ADN65639 ANG65639:ANJ65639 AXC65639:AXF65639 BGY65639:BHB65639 BQU65639:BQX65639 CAQ65639:CAT65639 CKM65639:CKP65639 CUI65639:CUL65639 DEE65639:DEH65639 DOA65639:DOD65639 DXW65639:DXZ65639 EHS65639:EHV65639 ERO65639:ERR65639 FBK65639:FBN65639 FLG65639:FLJ65639 FVC65639:FVF65639 GEY65639:GFB65639 GOU65639:GOX65639 GYQ65639:GYT65639 HIM65639:HIP65639 HSI65639:HSL65639 ICE65639:ICH65639 IMA65639:IMD65639 IVW65639:IVZ65639 JFS65639:JFV65639 JPO65639:JPR65639 JZK65639:JZN65639 KJG65639:KJJ65639 KTC65639:KTF65639 LCY65639:LDB65639 LMU65639:LMX65639 LWQ65639:LWT65639 MGM65639:MGP65639 MQI65639:MQL65639 NAE65639:NAH65639 NKA65639:NKD65639 NTW65639:NTZ65639 ODS65639:ODV65639 ONO65639:ONR65639 OXK65639:OXN65639 PHG65639:PHJ65639 PRC65639:PRF65639 QAY65639:QBB65639 QKU65639:QKX65639 QUQ65639:QUT65639 REM65639:REP65639 ROI65639:ROL65639 RYE65639:RYH65639 SIA65639:SID65639 SRW65639:SRZ65639 TBS65639:TBV65639 TLO65639:TLR65639 TVK65639:TVN65639 UFG65639:UFJ65639 UPC65639:UPF65639 UYY65639:UZB65639 VIU65639:VIX65639 VSQ65639:VST65639 WCM65639:WCP65639 WMI65639:WML65639 WWE65639:WWH65639 W131175:Z131175 JS131175:JV131175 TO131175:TR131175 ADK131175:ADN131175 ANG131175:ANJ131175 AXC131175:AXF131175 BGY131175:BHB131175 BQU131175:BQX131175 CAQ131175:CAT131175 CKM131175:CKP131175 CUI131175:CUL131175 DEE131175:DEH131175 DOA131175:DOD131175 DXW131175:DXZ131175 EHS131175:EHV131175 ERO131175:ERR131175 FBK131175:FBN131175 FLG131175:FLJ131175 FVC131175:FVF131175 GEY131175:GFB131175 GOU131175:GOX131175 GYQ131175:GYT131175 HIM131175:HIP131175 HSI131175:HSL131175 ICE131175:ICH131175 IMA131175:IMD131175 IVW131175:IVZ131175 JFS131175:JFV131175 JPO131175:JPR131175 JZK131175:JZN131175 KJG131175:KJJ131175 KTC131175:KTF131175 LCY131175:LDB131175 LMU131175:LMX131175 LWQ131175:LWT131175 MGM131175:MGP131175 MQI131175:MQL131175 NAE131175:NAH131175 NKA131175:NKD131175 NTW131175:NTZ131175 ODS131175:ODV131175 ONO131175:ONR131175 OXK131175:OXN131175 PHG131175:PHJ131175 PRC131175:PRF131175 QAY131175:QBB131175 QKU131175:QKX131175 QUQ131175:QUT131175 REM131175:REP131175 ROI131175:ROL131175 RYE131175:RYH131175 SIA131175:SID131175 SRW131175:SRZ131175 TBS131175:TBV131175 TLO131175:TLR131175 TVK131175:TVN131175 UFG131175:UFJ131175 UPC131175:UPF131175 UYY131175:UZB131175 VIU131175:VIX131175 VSQ131175:VST131175 WCM131175:WCP131175 WMI131175:WML131175 WWE131175:WWH131175 W196711:Z196711 JS196711:JV196711 TO196711:TR196711 ADK196711:ADN196711 ANG196711:ANJ196711 AXC196711:AXF196711 BGY196711:BHB196711 BQU196711:BQX196711 CAQ196711:CAT196711 CKM196711:CKP196711 CUI196711:CUL196711 DEE196711:DEH196711 DOA196711:DOD196711 DXW196711:DXZ196711 EHS196711:EHV196711 ERO196711:ERR196711 FBK196711:FBN196711 FLG196711:FLJ196711 FVC196711:FVF196711 GEY196711:GFB196711 GOU196711:GOX196711 GYQ196711:GYT196711 HIM196711:HIP196711 HSI196711:HSL196711 ICE196711:ICH196711 IMA196711:IMD196711 IVW196711:IVZ196711 JFS196711:JFV196711 JPO196711:JPR196711 JZK196711:JZN196711 KJG196711:KJJ196711 KTC196711:KTF196711 LCY196711:LDB196711 LMU196711:LMX196711 LWQ196711:LWT196711 MGM196711:MGP196711 MQI196711:MQL196711 NAE196711:NAH196711 NKA196711:NKD196711 NTW196711:NTZ196711 ODS196711:ODV196711 ONO196711:ONR196711 OXK196711:OXN196711 PHG196711:PHJ196711 PRC196711:PRF196711 QAY196711:QBB196711 QKU196711:QKX196711 QUQ196711:QUT196711 REM196711:REP196711 ROI196711:ROL196711 RYE196711:RYH196711 SIA196711:SID196711 SRW196711:SRZ196711 TBS196711:TBV196711 TLO196711:TLR196711 TVK196711:TVN196711 UFG196711:UFJ196711 UPC196711:UPF196711 UYY196711:UZB196711 VIU196711:VIX196711 VSQ196711:VST196711 WCM196711:WCP196711 WMI196711:WML196711 WWE196711:WWH196711 W262247:Z262247 JS262247:JV262247 TO262247:TR262247 ADK262247:ADN262247 ANG262247:ANJ262247 AXC262247:AXF262247 BGY262247:BHB262247 BQU262247:BQX262247 CAQ262247:CAT262247 CKM262247:CKP262247 CUI262247:CUL262247 DEE262247:DEH262247 DOA262247:DOD262247 DXW262247:DXZ262247 EHS262247:EHV262247 ERO262247:ERR262247 FBK262247:FBN262247 FLG262247:FLJ262247 FVC262247:FVF262247 GEY262247:GFB262247 GOU262247:GOX262247 GYQ262247:GYT262247 HIM262247:HIP262247 HSI262247:HSL262247 ICE262247:ICH262247 IMA262247:IMD262247 IVW262247:IVZ262247 JFS262247:JFV262247 JPO262247:JPR262247 JZK262247:JZN262247 KJG262247:KJJ262247 KTC262247:KTF262247 LCY262247:LDB262247 LMU262247:LMX262247 LWQ262247:LWT262247 MGM262247:MGP262247 MQI262247:MQL262247 NAE262247:NAH262247 NKA262247:NKD262247 NTW262247:NTZ262247 ODS262247:ODV262247 ONO262247:ONR262247 OXK262247:OXN262247 PHG262247:PHJ262247 PRC262247:PRF262247 QAY262247:QBB262247 QKU262247:QKX262247 QUQ262247:QUT262247 REM262247:REP262247 ROI262247:ROL262247 RYE262247:RYH262247 SIA262247:SID262247 SRW262247:SRZ262247 TBS262247:TBV262247 TLO262247:TLR262247 TVK262247:TVN262247 UFG262247:UFJ262247 UPC262247:UPF262247 UYY262247:UZB262247 VIU262247:VIX262247 VSQ262247:VST262247 WCM262247:WCP262247 WMI262247:WML262247 WWE262247:WWH262247 W327783:Z327783 JS327783:JV327783 TO327783:TR327783 ADK327783:ADN327783 ANG327783:ANJ327783 AXC327783:AXF327783 BGY327783:BHB327783 BQU327783:BQX327783 CAQ327783:CAT327783 CKM327783:CKP327783 CUI327783:CUL327783 DEE327783:DEH327783 DOA327783:DOD327783 DXW327783:DXZ327783 EHS327783:EHV327783 ERO327783:ERR327783 FBK327783:FBN327783 FLG327783:FLJ327783 FVC327783:FVF327783 GEY327783:GFB327783 GOU327783:GOX327783 GYQ327783:GYT327783 HIM327783:HIP327783 HSI327783:HSL327783 ICE327783:ICH327783 IMA327783:IMD327783 IVW327783:IVZ327783 JFS327783:JFV327783 JPO327783:JPR327783 JZK327783:JZN327783 KJG327783:KJJ327783 KTC327783:KTF327783 LCY327783:LDB327783 LMU327783:LMX327783 LWQ327783:LWT327783 MGM327783:MGP327783 MQI327783:MQL327783 NAE327783:NAH327783 NKA327783:NKD327783 NTW327783:NTZ327783 ODS327783:ODV327783 ONO327783:ONR327783 OXK327783:OXN327783 PHG327783:PHJ327783 PRC327783:PRF327783 QAY327783:QBB327783 QKU327783:QKX327783 QUQ327783:QUT327783 REM327783:REP327783 ROI327783:ROL327783 RYE327783:RYH327783 SIA327783:SID327783 SRW327783:SRZ327783 TBS327783:TBV327783 TLO327783:TLR327783 TVK327783:TVN327783 UFG327783:UFJ327783 UPC327783:UPF327783 UYY327783:UZB327783 VIU327783:VIX327783 VSQ327783:VST327783 WCM327783:WCP327783 WMI327783:WML327783 WWE327783:WWH327783 W393319:Z393319 JS393319:JV393319 TO393319:TR393319 ADK393319:ADN393319 ANG393319:ANJ393319 AXC393319:AXF393319 BGY393319:BHB393319 BQU393319:BQX393319 CAQ393319:CAT393319 CKM393319:CKP393319 CUI393319:CUL393319 DEE393319:DEH393319 DOA393319:DOD393319 DXW393319:DXZ393319 EHS393319:EHV393319 ERO393319:ERR393319 FBK393319:FBN393319 FLG393319:FLJ393319 FVC393319:FVF393319 GEY393319:GFB393319 GOU393319:GOX393319 GYQ393319:GYT393319 HIM393319:HIP393319 HSI393319:HSL393319 ICE393319:ICH393319 IMA393319:IMD393319 IVW393319:IVZ393319 JFS393319:JFV393319 JPO393319:JPR393319 JZK393319:JZN393319 KJG393319:KJJ393319 KTC393319:KTF393319 LCY393319:LDB393319 LMU393319:LMX393319 LWQ393319:LWT393319 MGM393319:MGP393319 MQI393319:MQL393319 NAE393319:NAH393319 NKA393319:NKD393319 NTW393319:NTZ393319 ODS393319:ODV393319 ONO393319:ONR393319 OXK393319:OXN393319 PHG393319:PHJ393319 PRC393319:PRF393319 QAY393319:QBB393319 QKU393319:QKX393319 QUQ393319:QUT393319 REM393319:REP393319 ROI393319:ROL393319 RYE393319:RYH393319 SIA393319:SID393319 SRW393319:SRZ393319 TBS393319:TBV393319 TLO393319:TLR393319 TVK393319:TVN393319 UFG393319:UFJ393319 UPC393319:UPF393319 UYY393319:UZB393319 VIU393319:VIX393319 VSQ393319:VST393319 WCM393319:WCP393319 WMI393319:WML393319 WWE393319:WWH393319 W458855:Z458855 JS458855:JV458855 TO458855:TR458855 ADK458855:ADN458855 ANG458855:ANJ458855 AXC458855:AXF458855 BGY458855:BHB458855 BQU458855:BQX458855 CAQ458855:CAT458855 CKM458855:CKP458855 CUI458855:CUL458855 DEE458855:DEH458855 DOA458855:DOD458855 DXW458855:DXZ458855 EHS458855:EHV458855 ERO458855:ERR458855 FBK458855:FBN458855 FLG458855:FLJ458855 FVC458855:FVF458855 GEY458855:GFB458855 GOU458855:GOX458855 GYQ458855:GYT458855 HIM458855:HIP458855 HSI458855:HSL458855 ICE458855:ICH458855 IMA458855:IMD458855 IVW458855:IVZ458855 JFS458855:JFV458855 JPO458855:JPR458855 JZK458855:JZN458855 KJG458855:KJJ458855 KTC458855:KTF458855 LCY458855:LDB458855 LMU458855:LMX458855 LWQ458855:LWT458855 MGM458855:MGP458855 MQI458855:MQL458855 NAE458855:NAH458855 NKA458855:NKD458855 NTW458855:NTZ458855 ODS458855:ODV458855 ONO458855:ONR458855 OXK458855:OXN458855 PHG458855:PHJ458855 PRC458855:PRF458855 QAY458855:QBB458855 QKU458855:QKX458855 QUQ458855:QUT458855 REM458855:REP458855 ROI458855:ROL458855 RYE458855:RYH458855 SIA458855:SID458855 SRW458855:SRZ458855 TBS458855:TBV458855 TLO458855:TLR458855 TVK458855:TVN458855 UFG458855:UFJ458855 UPC458855:UPF458855 UYY458855:UZB458855 VIU458855:VIX458855 VSQ458855:VST458855 WCM458855:WCP458855 WMI458855:WML458855 WWE458855:WWH458855 W524391:Z524391 JS524391:JV524391 TO524391:TR524391 ADK524391:ADN524391 ANG524391:ANJ524391 AXC524391:AXF524391 BGY524391:BHB524391 BQU524391:BQX524391 CAQ524391:CAT524391 CKM524391:CKP524391 CUI524391:CUL524391 DEE524391:DEH524391 DOA524391:DOD524391 DXW524391:DXZ524391 EHS524391:EHV524391 ERO524391:ERR524391 FBK524391:FBN524391 FLG524391:FLJ524391 FVC524391:FVF524391 GEY524391:GFB524391 GOU524391:GOX524391 GYQ524391:GYT524391 HIM524391:HIP524391 HSI524391:HSL524391 ICE524391:ICH524391 IMA524391:IMD524391 IVW524391:IVZ524391 JFS524391:JFV524391 JPO524391:JPR524391 JZK524391:JZN524391 KJG524391:KJJ524391 KTC524391:KTF524391 LCY524391:LDB524391 LMU524391:LMX524391 LWQ524391:LWT524391 MGM524391:MGP524391 MQI524391:MQL524391 NAE524391:NAH524391 NKA524391:NKD524391 NTW524391:NTZ524391 ODS524391:ODV524391 ONO524391:ONR524391 OXK524391:OXN524391 PHG524391:PHJ524391 PRC524391:PRF524391 QAY524391:QBB524391 QKU524391:QKX524391 QUQ524391:QUT524391 REM524391:REP524391 ROI524391:ROL524391 RYE524391:RYH524391 SIA524391:SID524391 SRW524391:SRZ524391 TBS524391:TBV524391 TLO524391:TLR524391 TVK524391:TVN524391 UFG524391:UFJ524391 UPC524391:UPF524391 UYY524391:UZB524391 VIU524391:VIX524391 VSQ524391:VST524391 WCM524391:WCP524391 WMI524391:WML524391 WWE524391:WWH524391 W589927:Z589927 JS589927:JV589927 TO589927:TR589927 ADK589927:ADN589927 ANG589927:ANJ589927 AXC589927:AXF589927 BGY589927:BHB589927 BQU589927:BQX589927 CAQ589927:CAT589927 CKM589927:CKP589927 CUI589927:CUL589927 DEE589927:DEH589927 DOA589927:DOD589927 DXW589927:DXZ589927 EHS589927:EHV589927 ERO589927:ERR589927 FBK589927:FBN589927 FLG589927:FLJ589927 FVC589927:FVF589927 GEY589927:GFB589927 GOU589927:GOX589927 GYQ589927:GYT589927 HIM589927:HIP589927 HSI589927:HSL589927 ICE589927:ICH589927 IMA589927:IMD589927 IVW589927:IVZ589927 JFS589927:JFV589927 JPO589927:JPR589927 JZK589927:JZN589927 KJG589927:KJJ589927 KTC589927:KTF589927 LCY589927:LDB589927 LMU589927:LMX589927 LWQ589927:LWT589927 MGM589927:MGP589927 MQI589927:MQL589927 NAE589927:NAH589927 NKA589927:NKD589927 NTW589927:NTZ589927 ODS589927:ODV589927 ONO589927:ONR589927 OXK589927:OXN589927 PHG589927:PHJ589927 PRC589927:PRF589927 QAY589927:QBB589927 QKU589927:QKX589927 QUQ589927:QUT589927 REM589927:REP589927 ROI589927:ROL589927 RYE589927:RYH589927 SIA589927:SID589927 SRW589927:SRZ589927 TBS589927:TBV589927 TLO589927:TLR589927 TVK589927:TVN589927 UFG589927:UFJ589927 UPC589927:UPF589927 UYY589927:UZB589927 VIU589927:VIX589927 VSQ589927:VST589927 WCM589927:WCP589927 WMI589927:WML589927 WWE589927:WWH589927 W655463:Z655463 JS655463:JV655463 TO655463:TR655463 ADK655463:ADN655463 ANG655463:ANJ655463 AXC655463:AXF655463 BGY655463:BHB655463 BQU655463:BQX655463 CAQ655463:CAT655463 CKM655463:CKP655463 CUI655463:CUL655463 DEE655463:DEH655463 DOA655463:DOD655463 DXW655463:DXZ655463 EHS655463:EHV655463 ERO655463:ERR655463 FBK655463:FBN655463 FLG655463:FLJ655463 FVC655463:FVF655463 GEY655463:GFB655463 GOU655463:GOX655463 GYQ655463:GYT655463 HIM655463:HIP655463 HSI655463:HSL655463 ICE655463:ICH655463 IMA655463:IMD655463 IVW655463:IVZ655463 JFS655463:JFV655463 JPO655463:JPR655463 JZK655463:JZN655463 KJG655463:KJJ655463 KTC655463:KTF655463 LCY655463:LDB655463 LMU655463:LMX655463 LWQ655463:LWT655463 MGM655463:MGP655463 MQI655463:MQL655463 NAE655463:NAH655463 NKA655463:NKD655463 NTW655463:NTZ655463 ODS655463:ODV655463 ONO655463:ONR655463 OXK655463:OXN655463 PHG655463:PHJ655463 PRC655463:PRF655463 QAY655463:QBB655463 QKU655463:QKX655463 QUQ655463:QUT655463 REM655463:REP655463 ROI655463:ROL655463 RYE655463:RYH655463 SIA655463:SID655463 SRW655463:SRZ655463 TBS655463:TBV655463 TLO655463:TLR655463 TVK655463:TVN655463 UFG655463:UFJ655463 UPC655463:UPF655463 UYY655463:UZB655463 VIU655463:VIX655463 VSQ655463:VST655463 WCM655463:WCP655463 WMI655463:WML655463 WWE655463:WWH655463 W720999:Z720999 JS720999:JV720999 TO720999:TR720999 ADK720999:ADN720999 ANG720999:ANJ720999 AXC720999:AXF720999 BGY720999:BHB720999 BQU720999:BQX720999 CAQ720999:CAT720999 CKM720999:CKP720999 CUI720999:CUL720999 DEE720999:DEH720999 DOA720999:DOD720999 DXW720999:DXZ720999 EHS720999:EHV720999 ERO720999:ERR720999 FBK720999:FBN720999 FLG720999:FLJ720999 FVC720999:FVF720999 GEY720999:GFB720999 GOU720999:GOX720999 GYQ720999:GYT720999 HIM720999:HIP720999 HSI720999:HSL720999 ICE720999:ICH720999 IMA720999:IMD720999 IVW720999:IVZ720999 JFS720999:JFV720999 JPO720999:JPR720999 JZK720999:JZN720999 KJG720999:KJJ720999 KTC720999:KTF720999 LCY720999:LDB720999 LMU720999:LMX720999 LWQ720999:LWT720999 MGM720999:MGP720999 MQI720999:MQL720999 NAE720999:NAH720999 NKA720999:NKD720999 NTW720999:NTZ720999 ODS720999:ODV720999 ONO720999:ONR720999 OXK720999:OXN720999 PHG720999:PHJ720999 PRC720999:PRF720999 QAY720999:QBB720999 QKU720999:QKX720999 QUQ720999:QUT720999 REM720999:REP720999 ROI720999:ROL720999 RYE720999:RYH720999 SIA720999:SID720999 SRW720999:SRZ720999 TBS720999:TBV720999 TLO720999:TLR720999 TVK720999:TVN720999 UFG720999:UFJ720999 UPC720999:UPF720999 UYY720999:UZB720999 VIU720999:VIX720999 VSQ720999:VST720999 WCM720999:WCP720999 WMI720999:WML720999 WWE720999:WWH720999 W786535:Z786535 JS786535:JV786535 TO786535:TR786535 ADK786535:ADN786535 ANG786535:ANJ786535 AXC786535:AXF786535 BGY786535:BHB786535 BQU786535:BQX786535 CAQ786535:CAT786535 CKM786535:CKP786535 CUI786535:CUL786535 DEE786535:DEH786535 DOA786535:DOD786535 DXW786535:DXZ786535 EHS786535:EHV786535 ERO786535:ERR786535 FBK786535:FBN786535 FLG786535:FLJ786535 FVC786535:FVF786535 GEY786535:GFB786535 GOU786535:GOX786535 GYQ786535:GYT786535 HIM786535:HIP786535 HSI786535:HSL786535 ICE786535:ICH786535 IMA786535:IMD786535 IVW786535:IVZ786535 JFS786535:JFV786535 JPO786535:JPR786535 JZK786535:JZN786535 KJG786535:KJJ786535 KTC786535:KTF786535 LCY786535:LDB786535 LMU786535:LMX786535 LWQ786535:LWT786535 MGM786535:MGP786535 MQI786535:MQL786535 NAE786535:NAH786535 NKA786535:NKD786535 NTW786535:NTZ786535 ODS786535:ODV786535 ONO786535:ONR786535 OXK786535:OXN786535 PHG786535:PHJ786535 PRC786535:PRF786535 QAY786535:QBB786535 QKU786535:QKX786535 QUQ786535:QUT786535 REM786535:REP786535 ROI786535:ROL786535 RYE786535:RYH786535 SIA786535:SID786535 SRW786535:SRZ786535 TBS786535:TBV786535 TLO786535:TLR786535 TVK786535:TVN786535 UFG786535:UFJ786535 UPC786535:UPF786535 UYY786535:UZB786535 VIU786535:VIX786535 VSQ786535:VST786535 WCM786535:WCP786535 WMI786535:WML786535 WWE786535:WWH786535 W852071:Z852071 JS852071:JV852071 TO852071:TR852071 ADK852071:ADN852071 ANG852071:ANJ852071 AXC852071:AXF852071 BGY852071:BHB852071 BQU852071:BQX852071 CAQ852071:CAT852071 CKM852071:CKP852071 CUI852071:CUL852071 DEE852071:DEH852071 DOA852071:DOD852071 DXW852071:DXZ852071 EHS852071:EHV852071 ERO852071:ERR852071 FBK852071:FBN852071 FLG852071:FLJ852071 FVC852071:FVF852071 GEY852071:GFB852071 GOU852071:GOX852071 GYQ852071:GYT852071 HIM852071:HIP852071 HSI852071:HSL852071 ICE852071:ICH852071 IMA852071:IMD852071 IVW852071:IVZ852071 JFS852071:JFV852071 JPO852071:JPR852071 JZK852071:JZN852071 KJG852071:KJJ852071 KTC852071:KTF852071 LCY852071:LDB852071 LMU852071:LMX852071 LWQ852071:LWT852071 MGM852071:MGP852071 MQI852071:MQL852071 NAE852071:NAH852071 NKA852071:NKD852071 NTW852071:NTZ852071 ODS852071:ODV852071 ONO852071:ONR852071 OXK852071:OXN852071 PHG852071:PHJ852071 PRC852071:PRF852071 QAY852071:QBB852071 QKU852071:QKX852071 QUQ852071:QUT852071 REM852071:REP852071 ROI852071:ROL852071 RYE852071:RYH852071 SIA852071:SID852071 SRW852071:SRZ852071 TBS852071:TBV852071 TLO852071:TLR852071 TVK852071:TVN852071 UFG852071:UFJ852071 UPC852071:UPF852071 UYY852071:UZB852071 VIU852071:VIX852071 VSQ852071:VST852071 WCM852071:WCP852071 WMI852071:WML852071 WWE852071:WWH852071 W917607:Z917607 JS917607:JV917607 TO917607:TR917607 ADK917607:ADN917607 ANG917607:ANJ917607 AXC917607:AXF917607 BGY917607:BHB917607 BQU917607:BQX917607 CAQ917607:CAT917607 CKM917607:CKP917607 CUI917607:CUL917607 DEE917607:DEH917607 DOA917607:DOD917607 DXW917607:DXZ917607 EHS917607:EHV917607 ERO917607:ERR917607 FBK917607:FBN917607 FLG917607:FLJ917607 FVC917607:FVF917607 GEY917607:GFB917607 GOU917607:GOX917607 GYQ917607:GYT917607 HIM917607:HIP917607 HSI917607:HSL917607 ICE917607:ICH917607 IMA917607:IMD917607 IVW917607:IVZ917607 JFS917607:JFV917607 JPO917607:JPR917607 JZK917607:JZN917607 KJG917607:KJJ917607 KTC917607:KTF917607 LCY917607:LDB917607 LMU917607:LMX917607 LWQ917607:LWT917607 MGM917607:MGP917607 MQI917607:MQL917607 NAE917607:NAH917607 NKA917607:NKD917607 NTW917607:NTZ917607 ODS917607:ODV917607 ONO917607:ONR917607 OXK917607:OXN917607 PHG917607:PHJ917607 PRC917607:PRF917607 QAY917607:QBB917607 QKU917607:QKX917607 QUQ917607:QUT917607 REM917607:REP917607 ROI917607:ROL917607 RYE917607:RYH917607 SIA917607:SID917607 SRW917607:SRZ917607 TBS917607:TBV917607 TLO917607:TLR917607 TVK917607:TVN917607 UFG917607:UFJ917607 UPC917607:UPF917607 UYY917607:UZB917607 VIU917607:VIX917607 VSQ917607:VST917607 WCM917607:WCP917607 WMI917607:WML917607 WWE917607:WWH917607 W983143:Z983143 JS983143:JV983143 TO983143:TR983143 ADK983143:ADN983143 ANG983143:ANJ983143 AXC983143:AXF983143 BGY983143:BHB983143 BQU983143:BQX983143 CAQ983143:CAT983143 CKM983143:CKP983143 CUI983143:CUL983143 DEE983143:DEH983143 DOA983143:DOD983143 DXW983143:DXZ983143 EHS983143:EHV983143 ERO983143:ERR983143 FBK983143:FBN983143 FLG983143:FLJ983143 FVC983143:FVF983143 GEY983143:GFB983143 GOU983143:GOX983143 GYQ983143:GYT983143 HIM983143:HIP983143 HSI983143:HSL983143 ICE983143:ICH983143 IMA983143:IMD983143 IVW983143:IVZ983143 JFS983143:JFV983143 JPO983143:JPR983143 JZK983143:JZN983143 KJG983143:KJJ983143 KTC983143:KTF983143 LCY983143:LDB983143 LMU983143:LMX983143 LWQ983143:LWT983143 MGM983143:MGP983143 MQI983143:MQL983143 NAE983143:NAH983143 NKA983143:NKD983143 NTW983143:NTZ983143 ODS983143:ODV983143 ONO983143:ONR983143 OXK983143:OXN983143 PHG983143:PHJ983143 PRC983143:PRF983143 QAY983143:QBB983143 QKU983143:QKX983143 QUQ983143:QUT983143 REM983143:REP983143 ROI983143:ROL983143 RYE983143:RYH983143 SIA983143:SID983143 SRW983143:SRZ983143 TBS983143:TBV983143 TLO983143:TLR983143 TVK983143:TVN983143 UFG983143:UFJ983143 UPC983143:UPF983143 UYY983143:UZB983143 VIU983143:VIX983143 VSQ983143:VST983143 WCM983143:WCP983143 WMI983143:WML983143 WWE983143:WWH983143">
      <formula1>"A--原油 Crude Oil,B--成品油 Refined Products,C--特殊应用 Special Application,D--滑油类 Lubricating Oils"</formula1>
    </dataValidation>
    <dataValidation allowBlank="1" showInputMessage="1" showErrorMessage="1" prompt="Please Choose&#10;if Draft Fwd&gt;Aft, choose &quot;m By Head&quot;&#10;otherwise, choose &quot;m By Stern&quot;&#10;如果艏吃水大于艉吃水，选择”米 艏倾“&#10;否则，选择”米 艉倾“" sqref="W113 JS113 TO113 ADK113 ANG113 AXC113 BGY113 BQU113 CAQ113 CKM113 CUI113 DEE113 DOA113 DXW113 EHS113 ERO113 FBK113 FLG113 FVC113 GEY113 GOU113 GYQ113 HIM113 HSI113 ICE113 IMA113 IVW113 JFS113 JPO113 JZK113 KJG113 KTC113 LCY113 LMU113 LWQ113 MGM113 MQI113 NAE113 NKA113 NTW113 ODS113 ONO113 OXK113 PHG113 PRC113 QAY113 QKU113 QUQ113 REM113 ROI113 RYE113 SIA113 SRW113 TBS113 TLO113 TVK113 UFG113 UPC113 UYY113 VIU113 VSQ113 WCM113 WMI113 WWE113 W65649 JS65649 TO65649 ADK65649 ANG65649 AXC65649 BGY65649 BQU65649 CAQ65649 CKM65649 CUI65649 DEE65649 DOA65649 DXW65649 EHS65649 ERO65649 FBK65649 FLG65649 FVC65649 GEY65649 GOU65649 GYQ65649 HIM65649 HSI65649 ICE65649 IMA65649 IVW65649 JFS65649 JPO65649 JZK65649 KJG65649 KTC65649 LCY65649 LMU65649 LWQ65649 MGM65649 MQI65649 NAE65649 NKA65649 NTW65649 ODS65649 ONO65649 OXK65649 PHG65649 PRC65649 QAY65649 QKU65649 QUQ65649 REM65649 ROI65649 RYE65649 SIA65649 SRW65649 TBS65649 TLO65649 TVK65649 UFG65649 UPC65649 UYY65649 VIU65649 VSQ65649 WCM65649 WMI65649 WWE65649 W131185 JS131185 TO131185 ADK131185 ANG131185 AXC131185 BGY131185 BQU131185 CAQ131185 CKM131185 CUI131185 DEE131185 DOA131185 DXW131185 EHS131185 ERO131185 FBK131185 FLG131185 FVC131185 GEY131185 GOU131185 GYQ131185 HIM131185 HSI131185 ICE131185 IMA131185 IVW131185 JFS131185 JPO131185 JZK131185 KJG131185 KTC131185 LCY131185 LMU131185 LWQ131185 MGM131185 MQI131185 NAE131185 NKA131185 NTW131185 ODS131185 ONO131185 OXK131185 PHG131185 PRC131185 QAY131185 QKU131185 QUQ131185 REM131185 ROI131185 RYE131185 SIA131185 SRW131185 TBS131185 TLO131185 TVK131185 UFG131185 UPC131185 UYY131185 VIU131185 VSQ131185 WCM131185 WMI131185 WWE131185 W196721 JS196721 TO196721 ADK196721 ANG196721 AXC196721 BGY196721 BQU196721 CAQ196721 CKM196721 CUI196721 DEE196721 DOA196721 DXW196721 EHS196721 ERO196721 FBK196721 FLG196721 FVC196721 GEY196721 GOU196721 GYQ196721 HIM196721 HSI196721 ICE196721 IMA196721 IVW196721 JFS196721 JPO196721 JZK196721 KJG196721 KTC196721 LCY196721 LMU196721 LWQ196721 MGM196721 MQI196721 NAE196721 NKA196721 NTW196721 ODS196721 ONO196721 OXK196721 PHG196721 PRC196721 QAY196721 QKU196721 QUQ196721 REM196721 ROI196721 RYE196721 SIA196721 SRW196721 TBS196721 TLO196721 TVK196721 UFG196721 UPC196721 UYY196721 VIU196721 VSQ196721 WCM196721 WMI196721 WWE196721 W262257 JS262257 TO262257 ADK262257 ANG262257 AXC262257 BGY262257 BQU262257 CAQ262257 CKM262257 CUI262257 DEE262257 DOA262257 DXW262257 EHS262257 ERO262257 FBK262257 FLG262257 FVC262257 GEY262257 GOU262257 GYQ262257 HIM262257 HSI262257 ICE262257 IMA262257 IVW262257 JFS262257 JPO262257 JZK262257 KJG262257 KTC262257 LCY262257 LMU262257 LWQ262257 MGM262257 MQI262257 NAE262257 NKA262257 NTW262257 ODS262257 ONO262257 OXK262257 PHG262257 PRC262257 QAY262257 QKU262257 QUQ262257 REM262257 ROI262257 RYE262257 SIA262257 SRW262257 TBS262257 TLO262257 TVK262257 UFG262257 UPC262257 UYY262257 VIU262257 VSQ262257 WCM262257 WMI262257 WWE262257 W327793 JS327793 TO327793 ADK327793 ANG327793 AXC327793 BGY327793 BQU327793 CAQ327793 CKM327793 CUI327793 DEE327793 DOA327793 DXW327793 EHS327793 ERO327793 FBK327793 FLG327793 FVC327793 GEY327793 GOU327793 GYQ327793 HIM327793 HSI327793 ICE327793 IMA327793 IVW327793 JFS327793 JPO327793 JZK327793 KJG327793 KTC327793 LCY327793 LMU327793 LWQ327793 MGM327793 MQI327793 NAE327793 NKA327793 NTW327793 ODS327793 ONO327793 OXK327793 PHG327793 PRC327793 QAY327793 QKU327793 QUQ327793 REM327793 ROI327793 RYE327793 SIA327793 SRW327793 TBS327793 TLO327793 TVK327793 UFG327793 UPC327793 UYY327793 VIU327793 VSQ327793 WCM327793 WMI327793 WWE327793 W393329 JS393329 TO393329 ADK393329 ANG393329 AXC393329 BGY393329 BQU393329 CAQ393329 CKM393329 CUI393329 DEE393329 DOA393329 DXW393329 EHS393329 ERO393329 FBK393329 FLG393329 FVC393329 GEY393329 GOU393329 GYQ393329 HIM393329 HSI393329 ICE393329 IMA393329 IVW393329 JFS393329 JPO393329 JZK393329 KJG393329 KTC393329 LCY393329 LMU393329 LWQ393329 MGM393329 MQI393329 NAE393329 NKA393329 NTW393329 ODS393329 ONO393329 OXK393329 PHG393329 PRC393329 QAY393329 QKU393329 QUQ393329 REM393329 ROI393329 RYE393329 SIA393329 SRW393329 TBS393329 TLO393329 TVK393329 UFG393329 UPC393329 UYY393329 VIU393329 VSQ393329 WCM393329 WMI393329 WWE393329 W458865 JS458865 TO458865 ADK458865 ANG458865 AXC458865 BGY458865 BQU458865 CAQ458865 CKM458865 CUI458865 DEE458865 DOA458865 DXW458865 EHS458865 ERO458865 FBK458865 FLG458865 FVC458865 GEY458865 GOU458865 GYQ458865 HIM458865 HSI458865 ICE458865 IMA458865 IVW458865 JFS458865 JPO458865 JZK458865 KJG458865 KTC458865 LCY458865 LMU458865 LWQ458865 MGM458865 MQI458865 NAE458865 NKA458865 NTW458865 ODS458865 ONO458865 OXK458865 PHG458865 PRC458865 QAY458865 QKU458865 QUQ458865 REM458865 ROI458865 RYE458865 SIA458865 SRW458865 TBS458865 TLO458865 TVK458865 UFG458865 UPC458865 UYY458865 VIU458865 VSQ458865 WCM458865 WMI458865 WWE458865 W524401 JS524401 TO524401 ADK524401 ANG524401 AXC524401 BGY524401 BQU524401 CAQ524401 CKM524401 CUI524401 DEE524401 DOA524401 DXW524401 EHS524401 ERO524401 FBK524401 FLG524401 FVC524401 GEY524401 GOU524401 GYQ524401 HIM524401 HSI524401 ICE524401 IMA524401 IVW524401 JFS524401 JPO524401 JZK524401 KJG524401 KTC524401 LCY524401 LMU524401 LWQ524401 MGM524401 MQI524401 NAE524401 NKA524401 NTW524401 ODS524401 ONO524401 OXK524401 PHG524401 PRC524401 QAY524401 QKU524401 QUQ524401 REM524401 ROI524401 RYE524401 SIA524401 SRW524401 TBS524401 TLO524401 TVK524401 UFG524401 UPC524401 UYY524401 VIU524401 VSQ524401 WCM524401 WMI524401 WWE524401 W589937 JS589937 TO589937 ADK589937 ANG589937 AXC589937 BGY589937 BQU589937 CAQ589937 CKM589937 CUI589937 DEE589937 DOA589937 DXW589937 EHS589937 ERO589937 FBK589937 FLG589937 FVC589937 GEY589937 GOU589937 GYQ589937 HIM589937 HSI589937 ICE589937 IMA589937 IVW589937 JFS589937 JPO589937 JZK589937 KJG589937 KTC589937 LCY589937 LMU589937 LWQ589937 MGM589937 MQI589937 NAE589937 NKA589937 NTW589937 ODS589937 ONO589937 OXK589937 PHG589937 PRC589937 QAY589937 QKU589937 QUQ589937 REM589937 ROI589937 RYE589937 SIA589937 SRW589937 TBS589937 TLO589937 TVK589937 UFG589937 UPC589937 UYY589937 VIU589937 VSQ589937 WCM589937 WMI589937 WWE589937 W655473 JS655473 TO655473 ADK655473 ANG655473 AXC655473 BGY655473 BQU655473 CAQ655473 CKM655473 CUI655473 DEE655473 DOA655473 DXW655473 EHS655473 ERO655473 FBK655473 FLG655473 FVC655473 GEY655473 GOU655473 GYQ655473 HIM655473 HSI655473 ICE655473 IMA655473 IVW655473 JFS655473 JPO655473 JZK655473 KJG655473 KTC655473 LCY655473 LMU655473 LWQ655473 MGM655473 MQI655473 NAE655473 NKA655473 NTW655473 ODS655473 ONO655473 OXK655473 PHG655473 PRC655473 QAY655473 QKU655473 QUQ655473 REM655473 ROI655473 RYE655473 SIA655473 SRW655473 TBS655473 TLO655473 TVK655473 UFG655473 UPC655473 UYY655473 VIU655473 VSQ655473 WCM655473 WMI655473 WWE655473 W721009 JS721009 TO721009 ADK721009 ANG721009 AXC721009 BGY721009 BQU721009 CAQ721009 CKM721009 CUI721009 DEE721009 DOA721009 DXW721009 EHS721009 ERO721009 FBK721009 FLG721009 FVC721009 GEY721009 GOU721009 GYQ721009 HIM721009 HSI721009 ICE721009 IMA721009 IVW721009 JFS721009 JPO721009 JZK721009 KJG721009 KTC721009 LCY721009 LMU721009 LWQ721009 MGM721009 MQI721009 NAE721009 NKA721009 NTW721009 ODS721009 ONO721009 OXK721009 PHG721009 PRC721009 QAY721009 QKU721009 QUQ721009 REM721009 ROI721009 RYE721009 SIA721009 SRW721009 TBS721009 TLO721009 TVK721009 UFG721009 UPC721009 UYY721009 VIU721009 VSQ721009 WCM721009 WMI721009 WWE721009 W786545 JS786545 TO786545 ADK786545 ANG786545 AXC786545 BGY786545 BQU786545 CAQ786545 CKM786545 CUI786545 DEE786545 DOA786545 DXW786545 EHS786545 ERO786545 FBK786545 FLG786545 FVC786545 GEY786545 GOU786545 GYQ786545 HIM786545 HSI786545 ICE786545 IMA786545 IVW786545 JFS786545 JPO786545 JZK786545 KJG786545 KTC786545 LCY786545 LMU786545 LWQ786545 MGM786545 MQI786545 NAE786545 NKA786545 NTW786545 ODS786545 ONO786545 OXK786545 PHG786545 PRC786545 QAY786545 QKU786545 QUQ786545 REM786545 ROI786545 RYE786545 SIA786545 SRW786545 TBS786545 TLO786545 TVK786545 UFG786545 UPC786545 UYY786545 VIU786545 VSQ786545 WCM786545 WMI786545 WWE786545 W852081 JS852081 TO852081 ADK852081 ANG852081 AXC852081 BGY852081 BQU852081 CAQ852081 CKM852081 CUI852081 DEE852081 DOA852081 DXW852081 EHS852081 ERO852081 FBK852081 FLG852081 FVC852081 GEY852081 GOU852081 GYQ852081 HIM852081 HSI852081 ICE852081 IMA852081 IVW852081 JFS852081 JPO852081 JZK852081 KJG852081 KTC852081 LCY852081 LMU852081 LWQ852081 MGM852081 MQI852081 NAE852081 NKA852081 NTW852081 ODS852081 ONO852081 OXK852081 PHG852081 PRC852081 QAY852081 QKU852081 QUQ852081 REM852081 ROI852081 RYE852081 SIA852081 SRW852081 TBS852081 TLO852081 TVK852081 UFG852081 UPC852081 UYY852081 VIU852081 VSQ852081 WCM852081 WMI852081 WWE852081 W917617 JS917617 TO917617 ADK917617 ANG917617 AXC917617 BGY917617 BQU917617 CAQ917617 CKM917617 CUI917617 DEE917617 DOA917617 DXW917617 EHS917617 ERO917617 FBK917617 FLG917617 FVC917617 GEY917617 GOU917617 GYQ917617 HIM917617 HSI917617 ICE917617 IMA917617 IVW917617 JFS917617 JPO917617 JZK917617 KJG917617 KTC917617 LCY917617 LMU917617 LWQ917617 MGM917617 MQI917617 NAE917617 NKA917617 NTW917617 ODS917617 ONO917617 OXK917617 PHG917617 PRC917617 QAY917617 QKU917617 QUQ917617 REM917617 ROI917617 RYE917617 SIA917617 SRW917617 TBS917617 TLO917617 TVK917617 UFG917617 UPC917617 UYY917617 VIU917617 VSQ917617 WCM917617 WMI917617 WWE917617 W983153 JS983153 TO983153 ADK983153 ANG983153 AXC983153 BGY983153 BQU983153 CAQ983153 CKM983153 CUI983153 DEE983153 DOA983153 DXW983153 EHS983153 ERO983153 FBK983153 FLG983153 FVC983153 GEY983153 GOU983153 GYQ983153 HIM983153 HSI983153 ICE983153 IMA983153 IVW983153 JFS983153 JPO983153 JZK983153 KJG983153 KTC983153 LCY983153 LMU983153 LWQ983153 MGM983153 MQI983153 NAE983153 NKA983153 NTW983153 ODS983153 ONO983153 OXK983153 PHG983153 PRC983153 QAY983153 QKU983153 QUQ983153 REM983153 ROI983153 RYE983153 SIA983153 SRW983153 TBS983153 TLO983153 TVK983153 UFG983153 UPC983153 UYY983153 VIU983153 VSQ983153 WCM983153 WMI983153 WWE983153"/>
    <dataValidation type="list" allowBlank="1" showInputMessage="1" showErrorMessage="1" sqref="JW115:JY115 TS115:TU115 ADO115:ADQ115 ANK115:ANM115 AXG115:AXI115 BHC115:BHE115 BQY115:BRA115 CAU115:CAW115 CKQ115:CKS115 CUM115:CUO115 DEI115:DEK115 DOE115:DOG115 DYA115:DYC115 EHW115:EHY115 ERS115:ERU115 FBO115:FBQ115 FLK115:FLM115 FVG115:FVI115 GFC115:GFE115 GOY115:GPA115 GYU115:GYW115 HIQ115:HIS115 HSM115:HSO115 ICI115:ICK115 IME115:IMG115 IWA115:IWC115 JFW115:JFY115 JPS115:JPU115 JZO115:JZQ115 KJK115:KJM115 KTG115:KTI115 LDC115:LDE115 LMY115:LNA115 LWU115:LWW115 MGQ115:MGS115 MQM115:MQO115 NAI115:NAK115 NKE115:NKG115 NUA115:NUC115 ODW115:ODY115 ONS115:ONU115 OXO115:OXQ115 PHK115:PHM115 PRG115:PRI115 QBC115:QBE115 QKY115:QLA115 QUU115:QUW115 REQ115:RES115 ROM115:ROO115 RYI115:RYK115 SIE115:SIG115 SSA115:SSC115 TBW115:TBY115 TLS115:TLU115 TVO115:TVQ115 UFK115:UFM115 UPG115:UPI115 UZC115:UZE115 VIY115:VJA115 VSU115:VSW115 WCQ115:WCS115 WMM115:WMO115 WWI115:WWK115 AA65651:AC65651 JW65651:JY65651 TS65651:TU65651 ADO65651:ADQ65651 ANK65651:ANM65651 AXG65651:AXI65651 BHC65651:BHE65651 BQY65651:BRA65651 CAU65651:CAW65651 CKQ65651:CKS65651 CUM65651:CUO65651 DEI65651:DEK65651 DOE65651:DOG65651 DYA65651:DYC65651 EHW65651:EHY65651 ERS65651:ERU65651 FBO65651:FBQ65651 FLK65651:FLM65651 FVG65651:FVI65651 GFC65651:GFE65651 GOY65651:GPA65651 GYU65651:GYW65651 HIQ65651:HIS65651 HSM65651:HSO65651 ICI65651:ICK65651 IME65651:IMG65651 IWA65651:IWC65651 JFW65651:JFY65651 JPS65651:JPU65651 JZO65651:JZQ65651 KJK65651:KJM65651 KTG65651:KTI65651 LDC65651:LDE65651 LMY65651:LNA65651 LWU65651:LWW65651 MGQ65651:MGS65651 MQM65651:MQO65651 NAI65651:NAK65651 NKE65651:NKG65651 NUA65651:NUC65651 ODW65651:ODY65651 ONS65651:ONU65651 OXO65651:OXQ65651 PHK65651:PHM65651 PRG65651:PRI65651 QBC65651:QBE65651 QKY65651:QLA65651 QUU65651:QUW65651 REQ65651:RES65651 ROM65651:ROO65651 RYI65651:RYK65651 SIE65651:SIG65651 SSA65651:SSC65651 TBW65651:TBY65651 TLS65651:TLU65651 TVO65651:TVQ65651 UFK65651:UFM65651 UPG65651:UPI65651 UZC65651:UZE65651 VIY65651:VJA65651 VSU65651:VSW65651 WCQ65651:WCS65651 WMM65651:WMO65651 WWI65651:WWK65651 AA131187:AC131187 JW131187:JY131187 TS131187:TU131187 ADO131187:ADQ131187 ANK131187:ANM131187 AXG131187:AXI131187 BHC131187:BHE131187 BQY131187:BRA131187 CAU131187:CAW131187 CKQ131187:CKS131187 CUM131187:CUO131187 DEI131187:DEK131187 DOE131187:DOG131187 DYA131187:DYC131187 EHW131187:EHY131187 ERS131187:ERU131187 FBO131187:FBQ131187 FLK131187:FLM131187 FVG131187:FVI131187 GFC131187:GFE131187 GOY131187:GPA131187 GYU131187:GYW131187 HIQ131187:HIS131187 HSM131187:HSO131187 ICI131187:ICK131187 IME131187:IMG131187 IWA131187:IWC131187 JFW131187:JFY131187 JPS131187:JPU131187 JZO131187:JZQ131187 KJK131187:KJM131187 KTG131187:KTI131187 LDC131187:LDE131187 LMY131187:LNA131187 LWU131187:LWW131187 MGQ131187:MGS131187 MQM131187:MQO131187 NAI131187:NAK131187 NKE131187:NKG131187 NUA131187:NUC131187 ODW131187:ODY131187 ONS131187:ONU131187 OXO131187:OXQ131187 PHK131187:PHM131187 PRG131187:PRI131187 QBC131187:QBE131187 QKY131187:QLA131187 QUU131187:QUW131187 REQ131187:RES131187 ROM131187:ROO131187 RYI131187:RYK131187 SIE131187:SIG131187 SSA131187:SSC131187 TBW131187:TBY131187 TLS131187:TLU131187 TVO131187:TVQ131187 UFK131187:UFM131187 UPG131187:UPI131187 UZC131187:UZE131187 VIY131187:VJA131187 VSU131187:VSW131187 WCQ131187:WCS131187 WMM131187:WMO131187 WWI131187:WWK131187 AA196723:AC196723 JW196723:JY196723 TS196723:TU196723 ADO196723:ADQ196723 ANK196723:ANM196723 AXG196723:AXI196723 BHC196723:BHE196723 BQY196723:BRA196723 CAU196723:CAW196723 CKQ196723:CKS196723 CUM196723:CUO196723 DEI196723:DEK196723 DOE196723:DOG196723 DYA196723:DYC196723 EHW196723:EHY196723 ERS196723:ERU196723 FBO196723:FBQ196723 FLK196723:FLM196723 FVG196723:FVI196723 GFC196723:GFE196723 GOY196723:GPA196723 GYU196723:GYW196723 HIQ196723:HIS196723 HSM196723:HSO196723 ICI196723:ICK196723 IME196723:IMG196723 IWA196723:IWC196723 JFW196723:JFY196723 JPS196723:JPU196723 JZO196723:JZQ196723 KJK196723:KJM196723 KTG196723:KTI196723 LDC196723:LDE196723 LMY196723:LNA196723 LWU196723:LWW196723 MGQ196723:MGS196723 MQM196723:MQO196723 NAI196723:NAK196723 NKE196723:NKG196723 NUA196723:NUC196723 ODW196723:ODY196723 ONS196723:ONU196723 OXO196723:OXQ196723 PHK196723:PHM196723 PRG196723:PRI196723 QBC196723:QBE196723 QKY196723:QLA196723 QUU196723:QUW196723 REQ196723:RES196723 ROM196723:ROO196723 RYI196723:RYK196723 SIE196723:SIG196723 SSA196723:SSC196723 TBW196723:TBY196723 TLS196723:TLU196723 TVO196723:TVQ196723 UFK196723:UFM196723 UPG196723:UPI196723 UZC196723:UZE196723 VIY196723:VJA196723 VSU196723:VSW196723 WCQ196723:WCS196723 WMM196723:WMO196723 WWI196723:WWK196723 AA262259:AC262259 JW262259:JY262259 TS262259:TU262259 ADO262259:ADQ262259 ANK262259:ANM262259 AXG262259:AXI262259 BHC262259:BHE262259 BQY262259:BRA262259 CAU262259:CAW262259 CKQ262259:CKS262259 CUM262259:CUO262259 DEI262259:DEK262259 DOE262259:DOG262259 DYA262259:DYC262259 EHW262259:EHY262259 ERS262259:ERU262259 FBO262259:FBQ262259 FLK262259:FLM262259 FVG262259:FVI262259 GFC262259:GFE262259 GOY262259:GPA262259 GYU262259:GYW262259 HIQ262259:HIS262259 HSM262259:HSO262259 ICI262259:ICK262259 IME262259:IMG262259 IWA262259:IWC262259 JFW262259:JFY262259 JPS262259:JPU262259 JZO262259:JZQ262259 KJK262259:KJM262259 KTG262259:KTI262259 LDC262259:LDE262259 LMY262259:LNA262259 LWU262259:LWW262259 MGQ262259:MGS262259 MQM262259:MQO262259 NAI262259:NAK262259 NKE262259:NKG262259 NUA262259:NUC262259 ODW262259:ODY262259 ONS262259:ONU262259 OXO262259:OXQ262259 PHK262259:PHM262259 PRG262259:PRI262259 QBC262259:QBE262259 QKY262259:QLA262259 QUU262259:QUW262259 REQ262259:RES262259 ROM262259:ROO262259 RYI262259:RYK262259 SIE262259:SIG262259 SSA262259:SSC262259 TBW262259:TBY262259 TLS262259:TLU262259 TVO262259:TVQ262259 UFK262259:UFM262259 UPG262259:UPI262259 UZC262259:UZE262259 VIY262259:VJA262259 VSU262259:VSW262259 WCQ262259:WCS262259 WMM262259:WMO262259 WWI262259:WWK262259 AA327795:AC327795 JW327795:JY327795 TS327795:TU327795 ADO327795:ADQ327795 ANK327795:ANM327795 AXG327795:AXI327795 BHC327795:BHE327795 BQY327795:BRA327795 CAU327795:CAW327795 CKQ327795:CKS327795 CUM327795:CUO327795 DEI327795:DEK327795 DOE327795:DOG327795 DYA327795:DYC327795 EHW327795:EHY327795 ERS327795:ERU327795 FBO327795:FBQ327795 FLK327795:FLM327795 FVG327795:FVI327795 GFC327795:GFE327795 GOY327795:GPA327795 GYU327795:GYW327795 HIQ327795:HIS327795 HSM327795:HSO327795 ICI327795:ICK327795 IME327795:IMG327795 IWA327795:IWC327795 JFW327795:JFY327795 JPS327795:JPU327795 JZO327795:JZQ327795 KJK327795:KJM327795 KTG327795:KTI327795 LDC327795:LDE327795 LMY327795:LNA327795 LWU327795:LWW327795 MGQ327795:MGS327795 MQM327795:MQO327795 NAI327795:NAK327795 NKE327795:NKG327795 NUA327795:NUC327795 ODW327795:ODY327795 ONS327795:ONU327795 OXO327795:OXQ327795 PHK327795:PHM327795 PRG327795:PRI327795 QBC327795:QBE327795 QKY327795:QLA327795 QUU327795:QUW327795 REQ327795:RES327795 ROM327795:ROO327795 RYI327795:RYK327795 SIE327795:SIG327795 SSA327795:SSC327795 TBW327795:TBY327795 TLS327795:TLU327795 TVO327795:TVQ327795 UFK327795:UFM327795 UPG327795:UPI327795 UZC327795:UZE327795 VIY327795:VJA327795 VSU327795:VSW327795 WCQ327795:WCS327795 WMM327795:WMO327795 WWI327795:WWK327795 AA393331:AC393331 JW393331:JY393331 TS393331:TU393331 ADO393331:ADQ393331 ANK393331:ANM393331 AXG393331:AXI393331 BHC393331:BHE393331 BQY393331:BRA393331 CAU393331:CAW393331 CKQ393331:CKS393331 CUM393331:CUO393331 DEI393331:DEK393331 DOE393331:DOG393331 DYA393331:DYC393331 EHW393331:EHY393331 ERS393331:ERU393331 FBO393331:FBQ393331 FLK393331:FLM393331 FVG393331:FVI393331 GFC393331:GFE393331 GOY393331:GPA393331 GYU393331:GYW393331 HIQ393331:HIS393331 HSM393331:HSO393331 ICI393331:ICK393331 IME393331:IMG393331 IWA393331:IWC393331 JFW393331:JFY393331 JPS393331:JPU393331 JZO393331:JZQ393331 KJK393331:KJM393331 KTG393331:KTI393331 LDC393331:LDE393331 LMY393331:LNA393331 LWU393331:LWW393331 MGQ393331:MGS393331 MQM393331:MQO393331 NAI393331:NAK393331 NKE393331:NKG393331 NUA393331:NUC393331 ODW393331:ODY393331 ONS393331:ONU393331 OXO393331:OXQ393331 PHK393331:PHM393331 PRG393331:PRI393331 QBC393331:QBE393331 QKY393331:QLA393331 QUU393331:QUW393331 REQ393331:RES393331 ROM393331:ROO393331 RYI393331:RYK393331 SIE393331:SIG393331 SSA393331:SSC393331 TBW393331:TBY393331 TLS393331:TLU393331 TVO393331:TVQ393331 UFK393331:UFM393331 UPG393331:UPI393331 UZC393331:UZE393331 VIY393331:VJA393331 VSU393331:VSW393331 WCQ393331:WCS393331 WMM393331:WMO393331 WWI393331:WWK393331 AA458867:AC458867 JW458867:JY458867 TS458867:TU458867 ADO458867:ADQ458867 ANK458867:ANM458867 AXG458867:AXI458867 BHC458867:BHE458867 BQY458867:BRA458867 CAU458867:CAW458867 CKQ458867:CKS458867 CUM458867:CUO458867 DEI458867:DEK458867 DOE458867:DOG458867 DYA458867:DYC458867 EHW458867:EHY458867 ERS458867:ERU458867 FBO458867:FBQ458867 FLK458867:FLM458867 FVG458867:FVI458867 GFC458867:GFE458867 GOY458867:GPA458867 GYU458867:GYW458867 HIQ458867:HIS458867 HSM458867:HSO458867 ICI458867:ICK458867 IME458867:IMG458867 IWA458867:IWC458867 JFW458867:JFY458867 JPS458867:JPU458867 JZO458867:JZQ458867 KJK458867:KJM458867 KTG458867:KTI458867 LDC458867:LDE458867 LMY458867:LNA458867 LWU458867:LWW458867 MGQ458867:MGS458867 MQM458867:MQO458867 NAI458867:NAK458867 NKE458867:NKG458867 NUA458867:NUC458867 ODW458867:ODY458867 ONS458867:ONU458867 OXO458867:OXQ458867 PHK458867:PHM458867 PRG458867:PRI458867 QBC458867:QBE458867 QKY458867:QLA458867 QUU458867:QUW458867 REQ458867:RES458867 ROM458867:ROO458867 RYI458867:RYK458867 SIE458867:SIG458867 SSA458867:SSC458867 TBW458867:TBY458867 TLS458867:TLU458867 TVO458867:TVQ458867 UFK458867:UFM458867 UPG458867:UPI458867 UZC458867:UZE458867 VIY458867:VJA458867 VSU458867:VSW458867 WCQ458867:WCS458867 WMM458867:WMO458867 WWI458867:WWK458867 AA524403:AC524403 JW524403:JY524403 TS524403:TU524403 ADO524403:ADQ524403 ANK524403:ANM524403 AXG524403:AXI524403 BHC524403:BHE524403 BQY524403:BRA524403 CAU524403:CAW524403 CKQ524403:CKS524403 CUM524403:CUO524403 DEI524403:DEK524403 DOE524403:DOG524403 DYA524403:DYC524403 EHW524403:EHY524403 ERS524403:ERU524403 FBO524403:FBQ524403 FLK524403:FLM524403 FVG524403:FVI524403 GFC524403:GFE524403 GOY524403:GPA524403 GYU524403:GYW524403 HIQ524403:HIS524403 HSM524403:HSO524403 ICI524403:ICK524403 IME524403:IMG524403 IWA524403:IWC524403 JFW524403:JFY524403 JPS524403:JPU524403 JZO524403:JZQ524403 KJK524403:KJM524403 KTG524403:KTI524403 LDC524403:LDE524403 LMY524403:LNA524403 LWU524403:LWW524403 MGQ524403:MGS524403 MQM524403:MQO524403 NAI524403:NAK524403 NKE524403:NKG524403 NUA524403:NUC524403 ODW524403:ODY524403 ONS524403:ONU524403 OXO524403:OXQ524403 PHK524403:PHM524403 PRG524403:PRI524403 QBC524403:QBE524403 QKY524403:QLA524403 QUU524403:QUW524403 REQ524403:RES524403 ROM524403:ROO524403 RYI524403:RYK524403 SIE524403:SIG524403 SSA524403:SSC524403 TBW524403:TBY524403 TLS524403:TLU524403 TVO524403:TVQ524403 UFK524403:UFM524403 UPG524403:UPI524403 UZC524403:UZE524403 VIY524403:VJA524403 VSU524403:VSW524403 WCQ524403:WCS524403 WMM524403:WMO524403 WWI524403:WWK524403 AA589939:AC589939 JW589939:JY589939 TS589939:TU589939 ADO589939:ADQ589939 ANK589939:ANM589939 AXG589939:AXI589939 BHC589939:BHE589939 BQY589939:BRA589939 CAU589939:CAW589939 CKQ589939:CKS589939 CUM589939:CUO589939 DEI589939:DEK589939 DOE589939:DOG589939 DYA589939:DYC589939 EHW589939:EHY589939 ERS589939:ERU589939 FBO589939:FBQ589939 FLK589939:FLM589939 FVG589939:FVI589939 GFC589939:GFE589939 GOY589939:GPA589939 GYU589939:GYW589939 HIQ589939:HIS589939 HSM589939:HSO589939 ICI589939:ICK589939 IME589939:IMG589939 IWA589939:IWC589939 JFW589939:JFY589939 JPS589939:JPU589939 JZO589939:JZQ589939 KJK589939:KJM589939 KTG589939:KTI589939 LDC589939:LDE589939 LMY589939:LNA589939 LWU589939:LWW589939 MGQ589939:MGS589939 MQM589939:MQO589939 NAI589939:NAK589939 NKE589939:NKG589939 NUA589939:NUC589939 ODW589939:ODY589939 ONS589939:ONU589939 OXO589939:OXQ589939 PHK589939:PHM589939 PRG589939:PRI589939 QBC589939:QBE589939 QKY589939:QLA589939 QUU589939:QUW589939 REQ589939:RES589939 ROM589939:ROO589939 RYI589939:RYK589939 SIE589939:SIG589939 SSA589939:SSC589939 TBW589939:TBY589939 TLS589939:TLU589939 TVO589939:TVQ589939 UFK589939:UFM589939 UPG589939:UPI589939 UZC589939:UZE589939 VIY589939:VJA589939 VSU589939:VSW589939 WCQ589939:WCS589939 WMM589939:WMO589939 WWI589939:WWK589939 AA655475:AC655475 JW655475:JY655475 TS655475:TU655475 ADO655475:ADQ655475 ANK655475:ANM655475 AXG655475:AXI655475 BHC655475:BHE655475 BQY655475:BRA655475 CAU655475:CAW655475 CKQ655475:CKS655475 CUM655475:CUO655475 DEI655475:DEK655475 DOE655475:DOG655475 DYA655475:DYC655475 EHW655475:EHY655475 ERS655475:ERU655475 FBO655475:FBQ655475 FLK655475:FLM655475 FVG655475:FVI655475 GFC655475:GFE655475 GOY655475:GPA655475 GYU655475:GYW655475 HIQ655475:HIS655475 HSM655475:HSO655475 ICI655475:ICK655475 IME655475:IMG655475 IWA655475:IWC655475 JFW655475:JFY655475 JPS655475:JPU655475 JZO655475:JZQ655475 KJK655475:KJM655475 KTG655475:KTI655475 LDC655475:LDE655475 LMY655475:LNA655475 LWU655475:LWW655475 MGQ655475:MGS655475 MQM655475:MQO655475 NAI655475:NAK655475 NKE655475:NKG655475 NUA655475:NUC655475 ODW655475:ODY655475 ONS655475:ONU655475 OXO655475:OXQ655475 PHK655475:PHM655475 PRG655475:PRI655475 QBC655475:QBE655475 QKY655475:QLA655475 QUU655475:QUW655475 REQ655475:RES655475 ROM655475:ROO655475 RYI655475:RYK655475 SIE655475:SIG655475 SSA655475:SSC655475 TBW655475:TBY655475 TLS655475:TLU655475 TVO655475:TVQ655475 UFK655475:UFM655475 UPG655475:UPI655475 UZC655475:UZE655475 VIY655475:VJA655475 VSU655475:VSW655475 WCQ655475:WCS655475 WMM655475:WMO655475 WWI655475:WWK655475 AA721011:AC721011 JW721011:JY721011 TS721011:TU721011 ADO721011:ADQ721011 ANK721011:ANM721011 AXG721011:AXI721011 BHC721011:BHE721011 BQY721011:BRA721011 CAU721011:CAW721011 CKQ721011:CKS721011 CUM721011:CUO721011 DEI721011:DEK721011 DOE721011:DOG721011 DYA721011:DYC721011 EHW721011:EHY721011 ERS721011:ERU721011 FBO721011:FBQ721011 FLK721011:FLM721011 FVG721011:FVI721011 GFC721011:GFE721011 GOY721011:GPA721011 GYU721011:GYW721011 HIQ721011:HIS721011 HSM721011:HSO721011 ICI721011:ICK721011 IME721011:IMG721011 IWA721011:IWC721011 JFW721011:JFY721011 JPS721011:JPU721011 JZO721011:JZQ721011 KJK721011:KJM721011 KTG721011:KTI721011 LDC721011:LDE721011 LMY721011:LNA721011 LWU721011:LWW721011 MGQ721011:MGS721011 MQM721011:MQO721011 NAI721011:NAK721011 NKE721011:NKG721011 NUA721011:NUC721011 ODW721011:ODY721011 ONS721011:ONU721011 OXO721011:OXQ721011 PHK721011:PHM721011 PRG721011:PRI721011 QBC721011:QBE721011 QKY721011:QLA721011 QUU721011:QUW721011 REQ721011:RES721011 ROM721011:ROO721011 RYI721011:RYK721011 SIE721011:SIG721011 SSA721011:SSC721011 TBW721011:TBY721011 TLS721011:TLU721011 TVO721011:TVQ721011 UFK721011:UFM721011 UPG721011:UPI721011 UZC721011:UZE721011 VIY721011:VJA721011 VSU721011:VSW721011 WCQ721011:WCS721011 WMM721011:WMO721011 WWI721011:WWK721011 AA786547:AC786547 JW786547:JY786547 TS786547:TU786547 ADO786547:ADQ786547 ANK786547:ANM786547 AXG786547:AXI786547 BHC786547:BHE786547 BQY786547:BRA786547 CAU786547:CAW786547 CKQ786547:CKS786547 CUM786547:CUO786547 DEI786547:DEK786547 DOE786547:DOG786547 DYA786547:DYC786547 EHW786547:EHY786547 ERS786547:ERU786547 FBO786547:FBQ786547 FLK786547:FLM786547 FVG786547:FVI786547 GFC786547:GFE786547 GOY786547:GPA786547 GYU786547:GYW786547 HIQ786547:HIS786547 HSM786547:HSO786547 ICI786547:ICK786547 IME786547:IMG786547 IWA786547:IWC786547 JFW786547:JFY786547 JPS786547:JPU786547 JZO786547:JZQ786547 KJK786547:KJM786547 KTG786547:KTI786547 LDC786547:LDE786547 LMY786547:LNA786547 LWU786547:LWW786547 MGQ786547:MGS786547 MQM786547:MQO786547 NAI786547:NAK786547 NKE786547:NKG786547 NUA786547:NUC786547 ODW786547:ODY786547 ONS786547:ONU786547 OXO786547:OXQ786547 PHK786547:PHM786547 PRG786547:PRI786547 QBC786547:QBE786547 QKY786547:QLA786547 QUU786547:QUW786547 REQ786547:RES786547 ROM786547:ROO786547 RYI786547:RYK786547 SIE786547:SIG786547 SSA786547:SSC786547 TBW786547:TBY786547 TLS786547:TLU786547 TVO786547:TVQ786547 UFK786547:UFM786547 UPG786547:UPI786547 UZC786547:UZE786547 VIY786547:VJA786547 VSU786547:VSW786547 WCQ786547:WCS786547 WMM786547:WMO786547 WWI786547:WWK786547 AA852083:AC852083 JW852083:JY852083 TS852083:TU852083 ADO852083:ADQ852083 ANK852083:ANM852083 AXG852083:AXI852083 BHC852083:BHE852083 BQY852083:BRA852083 CAU852083:CAW852083 CKQ852083:CKS852083 CUM852083:CUO852083 DEI852083:DEK852083 DOE852083:DOG852083 DYA852083:DYC852083 EHW852083:EHY852083 ERS852083:ERU852083 FBO852083:FBQ852083 FLK852083:FLM852083 FVG852083:FVI852083 GFC852083:GFE852083 GOY852083:GPA852083 GYU852083:GYW852083 HIQ852083:HIS852083 HSM852083:HSO852083 ICI852083:ICK852083 IME852083:IMG852083 IWA852083:IWC852083 JFW852083:JFY852083 JPS852083:JPU852083 JZO852083:JZQ852083 KJK852083:KJM852083 KTG852083:KTI852083 LDC852083:LDE852083 LMY852083:LNA852083 LWU852083:LWW852083 MGQ852083:MGS852083 MQM852083:MQO852083 NAI852083:NAK852083 NKE852083:NKG852083 NUA852083:NUC852083 ODW852083:ODY852083 ONS852083:ONU852083 OXO852083:OXQ852083 PHK852083:PHM852083 PRG852083:PRI852083 QBC852083:QBE852083 QKY852083:QLA852083 QUU852083:QUW852083 REQ852083:RES852083 ROM852083:ROO852083 RYI852083:RYK852083 SIE852083:SIG852083 SSA852083:SSC852083 TBW852083:TBY852083 TLS852083:TLU852083 TVO852083:TVQ852083 UFK852083:UFM852083 UPG852083:UPI852083 UZC852083:UZE852083 VIY852083:VJA852083 VSU852083:VSW852083 WCQ852083:WCS852083 WMM852083:WMO852083 WWI852083:WWK852083 AA917619:AC917619 JW917619:JY917619 TS917619:TU917619 ADO917619:ADQ917619 ANK917619:ANM917619 AXG917619:AXI917619 BHC917619:BHE917619 BQY917619:BRA917619 CAU917619:CAW917619 CKQ917619:CKS917619 CUM917619:CUO917619 DEI917619:DEK917619 DOE917619:DOG917619 DYA917619:DYC917619 EHW917619:EHY917619 ERS917619:ERU917619 FBO917619:FBQ917619 FLK917619:FLM917619 FVG917619:FVI917619 GFC917619:GFE917619 GOY917619:GPA917619 GYU917619:GYW917619 HIQ917619:HIS917619 HSM917619:HSO917619 ICI917619:ICK917619 IME917619:IMG917619 IWA917619:IWC917619 JFW917619:JFY917619 JPS917619:JPU917619 JZO917619:JZQ917619 KJK917619:KJM917619 KTG917619:KTI917619 LDC917619:LDE917619 LMY917619:LNA917619 LWU917619:LWW917619 MGQ917619:MGS917619 MQM917619:MQO917619 NAI917619:NAK917619 NKE917619:NKG917619 NUA917619:NUC917619 ODW917619:ODY917619 ONS917619:ONU917619 OXO917619:OXQ917619 PHK917619:PHM917619 PRG917619:PRI917619 QBC917619:QBE917619 QKY917619:QLA917619 QUU917619:QUW917619 REQ917619:RES917619 ROM917619:ROO917619 RYI917619:RYK917619 SIE917619:SIG917619 SSA917619:SSC917619 TBW917619:TBY917619 TLS917619:TLU917619 TVO917619:TVQ917619 UFK917619:UFM917619 UPG917619:UPI917619 UZC917619:UZE917619 VIY917619:VJA917619 VSU917619:VSW917619 WCQ917619:WCS917619 WMM917619:WMO917619 WWI917619:WWK917619 AA983155:AC983155 JW983155:JY983155 TS983155:TU983155 ADO983155:ADQ983155 ANK983155:ANM983155 AXG983155:AXI983155 BHC983155:BHE983155 BQY983155:BRA983155 CAU983155:CAW983155 CKQ983155:CKS983155 CUM983155:CUO983155 DEI983155:DEK983155 DOE983155:DOG983155 DYA983155:DYC983155 EHW983155:EHY983155 ERS983155:ERU983155 FBO983155:FBQ983155 FLK983155:FLM983155 FVG983155:FVI983155 GFC983155:GFE983155 GOY983155:GPA983155 GYU983155:GYW983155 HIQ983155:HIS983155 HSM983155:HSO983155 ICI983155:ICK983155 IME983155:IMG983155 IWA983155:IWC983155 JFW983155:JFY983155 JPS983155:JPU983155 JZO983155:JZQ983155 KJK983155:KJM983155 KTG983155:KTI983155 LDC983155:LDE983155 LMY983155:LNA983155 LWU983155:LWW983155 MGQ983155:MGS983155 MQM983155:MQO983155 NAI983155:NAK983155 NKE983155:NKG983155 NUA983155:NUC983155 ODW983155:ODY983155 ONS983155:ONU983155 OXO983155:OXQ983155 PHK983155:PHM983155 PRG983155:PRI983155 QBC983155:QBE983155 QKY983155:QLA983155 QUU983155:QUW983155 REQ983155:RES983155 ROM983155:ROO983155 RYI983155:RYK983155 SIE983155:SIG983155 SSA983155:SSC983155 TBW983155:TBY983155 TLS983155:TLU983155 TVO983155:TVQ983155 UFK983155:UFM983155 UPG983155:UPI983155 UZC983155:UZE983155 VIY983155:VJA983155 VSU983155:VSW983155 WCQ983155:WCS983155 WMM983155:WMO983155 WWI983155:WWK983155">
      <formula1>$F$94:$F$97</formula1>
    </dataValidation>
    <dataValidation type="list" allowBlank="1" showInputMessage="1" showErrorMessage="1" sqref="JY120 TU120 ADQ120 ANM120 AXI120 BHE120 BRA120 CAW120 CKS120 CUO120 DEK120 DOG120 DYC120 EHY120 ERU120 FBQ120 FLM120 FVI120 GFE120 GPA120 GYW120 HIS120 HSO120 ICK120 IMG120 IWC120 JFY120 JPU120 JZQ120 KJM120 KTI120 LDE120 LNA120 LWW120 MGS120 MQO120 NAK120 NKG120 NUC120 ODY120 ONU120 OXQ120 PHM120 PRI120 QBE120 QLA120 QUW120 RES120 ROO120 RYK120 SIG120 SSC120 TBY120 TLU120 TVQ120 UFM120 UPI120 UZE120 VJA120 VSW120 WCS120 WMO120 WWK120 AC65656 JY65656 TU65656 ADQ65656 ANM65656 AXI65656 BHE65656 BRA65656 CAW65656 CKS65656 CUO65656 DEK65656 DOG65656 DYC65656 EHY65656 ERU65656 FBQ65656 FLM65656 FVI65656 GFE65656 GPA65656 GYW65656 HIS65656 HSO65656 ICK65656 IMG65656 IWC65656 JFY65656 JPU65656 JZQ65656 KJM65656 KTI65656 LDE65656 LNA65656 LWW65656 MGS65656 MQO65656 NAK65656 NKG65656 NUC65656 ODY65656 ONU65656 OXQ65656 PHM65656 PRI65656 QBE65656 QLA65656 QUW65656 RES65656 ROO65656 RYK65656 SIG65656 SSC65656 TBY65656 TLU65656 TVQ65656 UFM65656 UPI65656 UZE65656 VJA65656 VSW65656 WCS65656 WMO65656 WWK65656 AC131192 JY131192 TU131192 ADQ131192 ANM131192 AXI131192 BHE131192 BRA131192 CAW131192 CKS131192 CUO131192 DEK131192 DOG131192 DYC131192 EHY131192 ERU131192 FBQ131192 FLM131192 FVI131192 GFE131192 GPA131192 GYW131192 HIS131192 HSO131192 ICK131192 IMG131192 IWC131192 JFY131192 JPU131192 JZQ131192 KJM131192 KTI131192 LDE131192 LNA131192 LWW131192 MGS131192 MQO131192 NAK131192 NKG131192 NUC131192 ODY131192 ONU131192 OXQ131192 PHM131192 PRI131192 QBE131192 QLA131192 QUW131192 RES131192 ROO131192 RYK131192 SIG131192 SSC131192 TBY131192 TLU131192 TVQ131192 UFM131192 UPI131192 UZE131192 VJA131192 VSW131192 WCS131192 WMO131192 WWK131192 AC196728 JY196728 TU196728 ADQ196728 ANM196728 AXI196728 BHE196728 BRA196728 CAW196728 CKS196728 CUO196728 DEK196728 DOG196728 DYC196728 EHY196728 ERU196728 FBQ196728 FLM196728 FVI196728 GFE196728 GPA196728 GYW196728 HIS196728 HSO196728 ICK196728 IMG196728 IWC196728 JFY196728 JPU196728 JZQ196728 KJM196728 KTI196728 LDE196728 LNA196728 LWW196728 MGS196728 MQO196728 NAK196728 NKG196728 NUC196728 ODY196728 ONU196728 OXQ196728 PHM196728 PRI196728 QBE196728 QLA196728 QUW196728 RES196728 ROO196728 RYK196728 SIG196728 SSC196728 TBY196728 TLU196728 TVQ196728 UFM196728 UPI196728 UZE196728 VJA196728 VSW196728 WCS196728 WMO196728 WWK196728 AC262264 JY262264 TU262264 ADQ262264 ANM262264 AXI262264 BHE262264 BRA262264 CAW262264 CKS262264 CUO262264 DEK262264 DOG262264 DYC262264 EHY262264 ERU262264 FBQ262264 FLM262264 FVI262264 GFE262264 GPA262264 GYW262264 HIS262264 HSO262264 ICK262264 IMG262264 IWC262264 JFY262264 JPU262264 JZQ262264 KJM262264 KTI262264 LDE262264 LNA262264 LWW262264 MGS262264 MQO262264 NAK262264 NKG262264 NUC262264 ODY262264 ONU262264 OXQ262264 PHM262264 PRI262264 QBE262264 QLA262264 QUW262264 RES262264 ROO262264 RYK262264 SIG262264 SSC262264 TBY262264 TLU262264 TVQ262264 UFM262264 UPI262264 UZE262264 VJA262264 VSW262264 WCS262264 WMO262264 WWK262264 AC327800 JY327800 TU327800 ADQ327800 ANM327800 AXI327800 BHE327800 BRA327800 CAW327800 CKS327800 CUO327800 DEK327800 DOG327800 DYC327800 EHY327800 ERU327800 FBQ327800 FLM327800 FVI327800 GFE327800 GPA327800 GYW327800 HIS327800 HSO327800 ICK327800 IMG327800 IWC327800 JFY327800 JPU327800 JZQ327800 KJM327800 KTI327800 LDE327800 LNA327800 LWW327800 MGS327800 MQO327800 NAK327800 NKG327800 NUC327800 ODY327800 ONU327800 OXQ327800 PHM327800 PRI327800 QBE327800 QLA327800 QUW327800 RES327800 ROO327800 RYK327800 SIG327800 SSC327800 TBY327800 TLU327800 TVQ327800 UFM327800 UPI327800 UZE327800 VJA327800 VSW327800 WCS327800 WMO327800 WWK327800 AC393336 JY393336 TU393336 ADQ393336 ANM393336 AXI393336 BHE393336 BRA393336 CAW393336 CKS393336 CUO393336 DEK393336 DOG393336 DYC393336 EHY393336 ERU393336 FBQ393336 FLM393336 FVI393336 GFE393336 GPA393336 GYW393336 HIS393336 HSO393336 ICK393336 IMG393336 IWC393336 JFY393336 JPU393336 JZQ393336 KJM393336 KTI393336 LDE393336 LNA393336 LWW393336 MGS393336 MQO393336 NAK393336 NKG393336 NUC393336 ODY393336 ONU393336 OXQ393336 PHM393336 PRI393336 QBE393336 QLA393336 QUW393336 RES393336 ROO393336 RYK393336 SIG393336 SSC393336 TBY393336 TLU393336 TVQ393336 UFM393336 UPI393336 UZE393336 VJA393336 VSW393336 WCS393336 WMO393336 WWK393336 AC458872 JY458872 TU458872 ADQ458872 ANM458872 AXI458872 BHE458872 BRA458872 CAW458872 CKS458872 CUO458872 DEK458872 DOG458872 DYC458872 EHY458872 ERU458872 FBQ458872 FLM458872 FVI458872 GFE458872 GPA458872 GYW458872 HIS458872 HSO458872 ICK458872 IMG458872 IWC458872 JFY458872 JPU458872 JZQ458872 KJM458872 KTI458872 LDE458872 LNA458872 LWW458872 MGS458872 MQO458872 NAK458872 NKG458872 NUC458872 ODY458872 ONU458872 OXQ458872 PHM458872 PRI458872 QBE458872 QLA458872 QUW458872 RES458872 ROO458872 RYK458872 SIG458872 SSC458872 TBY458872 TLU458872 TVQ458872 UFM458872 UPI458872 UZE458872 VJA458872 VSW458872 WCS458872 WMO458872 WWK458872 AC524408 JY524408 TU524408 ADQ524408 ANM524408 AXI524408 BHE524408 BRA524408 CAW524408 CKS524408 CUO524408 DEK524408 DOG524408 DYC524408 EHY524408 ERU524408 FBQ524408 FLM524408 FVI524408 GFE524408 GPA524408 GYW524408 HIS524408 HSO524408 ICK524408 IMG524408 IWC524408 JFY524408 JPU524408 JZQ524408 KJM524408 KTI524408 LDE524408 LNA524408 LWW524408 MGS524408 MQO524408 NAK524408 NKG524408 NUC524408 ODY524408 ONU524408 OXQ524408 PHM524408 PRI524408 QBE524408 QLA524408 QUW524408 RES524408 ROO524408 RYK524408 SIG524408 SSC524408 TBY524408 TLU524408 TVQ524408 UFM524408 UPI524408 UZE524408 VJA524408 VSW524408 WCS524408 WMO524408 WWK524408 AC589944 JY589944 TU589944 ADQ589944 ANM589944 AXI589944 BHE589944 BRA589944 CAW589944 CKS589944 CUO589944 DEK589944 DOG589944 DYC589944 EHY589944 ERU589944 FBQ589944 FLM589944 FVI589944 GFE589944 GPA589944 GYW589944 HIS589944 HSO589944 ICK589944 IMG589944 IWC589944 JFY589944 JPU589944 JZQ589944 KJM589944 KTI589944 LDE589944 LNA589944 LWW589944 MGS589944 MQO589944 NAK589944 NKG589944 NUC589944 ODY589944 ONU589944 OXQ589944 PHM589944 PRI589944 QBE589944 QLA589944 QUW589944 RES589944 ROO589944 RYK589944 SIG589944 SSC589944 TBY589944 TLU589944 TVQ589944 UFM589944 UPI589944 UZE589944 VJA589944 VSW589944 WCS589944 WMO589944 WWK589944 AC655480 JY655480 TU655480 ADQ655480 ANM655480 AXI655480 BHE655480 BRA655480 CAW655480 CKS655480 CUO655480 DEK655480 DOG655480 DYC655480 EHY655480 ERU655480 FBQ655480 FLM655480 FVI655480 GFE655480 GPA655480 GYW655480 HIS655480 HSO655480 ICK655480 IMG655480 IWC655480 JFY655480 JPU655480 JZQ655480 KJM655480 KTI655480 LDE655480 LNA655480 LWW655480 MGS655480 MQO655480 NAK655480 NKG655480 NUC655480 ODY655480 ONU655480 OXQ655480 PHM655480 PRI655480 QBE655480 QLA655480 QUW655480 RES655480 ROO655480 RYK655480 SIG655480 SSC655480 TBY655480 TLU655480 TVQ655480 UFM655480 UPI655480 UZE655480 VJA655480 VSW655480 WCS655480 WMO655480 WWK655480 AC721016 JY721016 TU721016 ADQ721016 ANM721016 AXI721016 BHE721016 BRA721016 CAW721016 CKS721016 CUO721016 DEK721016 DOG721016 DYC721016 EHY721016 ERU721016 FBQ721016 FLM721016 FVI721016 GFE721016 GPA721016 GYW721016 HIS721016 HSO721016 ICK721016 IMG721016 IWC721016 JFY721016 JPU721016 JZQ721016 KJM721016 KTI721016 LDE721016 LNA721016 LWW721016 MGS721016 MQO721016 NAK721016 NKG721016 NUC721016 ODY721016 ONU721016 OXQ721016 PHM721016 PRI721016 QBE721016 QLA721016 QUW721016 RES721016 ROO721016 RYK721016 SIG721016 SSC721016 TBY721016 TLU721016 TVQ721016 UFM721016 UPI721016 UZE721016 VJA721016 VSW721016 WCS721016 WMO721016 WWK721016 AC786552 JY786552 TU786552 ADQ786552 ANM786552 AXI786552 BHE786552 BRA786552 CAW786552 CKS786552 CUO786552 DEK786552 DOG786552 DYC786552 EHY786552 ERU786552 FBQ786552 FLM786552 FVI786552 GFE786552 GPA786552 GYW786552 HIS786552 HSO786552 ICK786552 IMG786552 IWC786552 JFY786552 JPU786552 JZQ786552 KJM786552 KTI786552 LDE786552 LNA786552 LWW786552 MGS786552 MQO786552 NAK786552 NKG786552 NUC786552 ODY786552 ONU786552 OXQ786552 PHM786552 PRI786552 QBE786552 QLA786552 QUW786552 RES786552 ROO786552 RYK786552 SIG786552 SSC786552 TBY786552 TLU786552 TVQ786552 UFM786552 UPI786552 UZE786552 VJA786552 VSW786552 WCS786552 WMO786552 WWK786552 AC852088 JY852088 TU852088 ADQ852088 ANM852088 AXI852088 BHE852088 BRA852088 CAW852088 CKS852088 CUO852088 DEK852088 DOG852088 DYC852088 EHY852088 ERU852088 FBQ852088 FLM852088 FVI852088 GFE852088 GPA852088 GYW852088 HIS852088 HSO852088 ICK852088 IMG852088 IWC852088 JFY852088 JPU852088 JZQ852088 KJM852088 KTI852088 LDE852088 LNA852088 LWW852088 MGS852088 MQO852088 NAK852088 NKG852088 NUC852088 ODY852088 ONU852088 OXQ852088 PHM852088 PRI852088 QBE852088 QLA852088 QUW852088 RES852088 ROO852088 RYK852088 SIG852088 SSC852088 TBY852088 TLU852088 TVQ852088 UFM852088 UPI852088 UZE852088 VJA852088 VSW852088 WCS852088 WMO852088 WWK852088 AC917624 JY917624 TU917624 ADQ917624 ANM917624 AXI917624 BHE917624 BRA917624 CAW917624 CKS917624 CUO917624 DEK917624 DOG917624 DYC917624 EHY917624 ERU917624 FBQ917624 FLM917624 FVI917624 GFE917624 GPA917624 GYW917624 HIS917624 HSO917624 ICK917624 IMG917624 IWC917624 JFY917624 JPU917624 JZQ917624 KJM917624 KTI917624 LDE917624 LNA917624 LWW917624 MGS917624 MQO917624 NAK917624 NKG917624 NUC917624 ODY917624 ONU917624 OXQ917624 PHM917624 PRI917624 QBE917624 QLA917624 QUW917624 RES917624 ROO917624 RYK917624 SIG917624 SSC917624 TBY917624 TLU917624 TVQ917624 UFM917624 UPI917624 UZE917624 VJA917624 VSW917624 WCS917624 WMO917624 WWK917624 AC983160 JY983160 TU983160 ADQ983160 ANM983160 AXI983160 BHE983160 BRA983160 CAW983160 CKS983160 CUO983160 DEK983160 DOG983160 DYC983160 EHY983160 ERU983160 FBQ983160 FLM983160 FVI983160 GFE983160 GPA983160 GYW983160 HIS983160 HSO983160 ICK983160 IMG983160 IWC983160 JFY983160 JPU983160 JZQ983160 KJM983160 KTI983160 LDE983160 LNA983160 LWW983160 MGS983160 MQO983160 NAK983160 NKG983160 NUC983160 ODY983160 ONU983160 OXQ983160 PHM983160 PRI983160 QBE983160 QLA983160 QUW983160 RES983160 ROO983160 RYK983160 SIG983160 SSC983160 TBY983160 TLU983160 TVQ983160 UFM983160 UPI983160 UZE983160 VJA983160 VSW983160 WCS983160 WMO983160 WWK983160">
      <formula1>$Z$2:$Z$20</formula1>
    </dataValidation>
    <dataValidation type="list" allowBlank="1" showInputMessage="1" showErrorMessage="1" sqref="JP121 TL121 ADH121 AND121 AWZ121 BGV121 BQR121 CAN121 CKJ121 CUF121 DEB121 DNX121 DXT121 EHP121 ERL121 FBH121 FLD121 FUZ121 GEV121 GOR121 GYN121 HIJ121 HSF121 ICB121 ILX121 IVT121 JFP121 JPL121 JZH121 KJD121 KSZ121 LCV121 LMR121 LWN121 MGJ121 MQF121 NAB121 NJX121 NTT121 ODP121 ONL121 OXH121 PHD121 PQZ121 QAV121 QKR121 QUN121 REJ121 ROF121 RYB121 SHX121 SRT121 TBP121 TLL121 TVH121 UFD121 UOZ121 UYV121 VIR121 VSN121 WCJ121 WMF121 WWB121 T65657 JP65657 TL65657 ADH65657 AND65657 AWZ65657 BGV65657 BQR65657 CAN65657 CKJ65657 CUF65657 DEB65657 DNX65657 DXT65657 EHP65657 ERL65657 FBH65657 FLD65657 FUZ65657 GEV65657 GOR65657 GYN65657 HIJ65657 HSF65657 ICB65657 ILX65657 IVT65657 JFP65657 JPL65657 JZH65657 KJD65657 KSZ65657 LCV65657 LMR65657 LWN65657 MGJ65657 MQF65657 NAB65657 NJX65657 NTT65657 ODP65657 ONL65657 OXH65657 PHD65657 PQZ65657 QAV65657 QKR65657 QUN65657 REJ65657 ROF65657 RYB65657 SHX65657 SRT65657 TBP65657 TLL65657 TVH65657 UFD65657 UOZ65657 UYV65657 VIR65657 VSN65657 WCJ65657 WMF65657 WWB65657 T131193 JP131193 TL131193 ADH131193 AND131193 AWZ131193 BGV131193 BQR131193 CAN131193 CKJ131193 CUF131193 DEB131193 DNX131193 DXT131193 EHP131193 ERL131193 FBH131193 FLD131193 FUZ131193 GEV131193 GOR131193 GYN131193 HIJ131193 HSF131193 ICB131193 ILX131193 IVT131193 JFP131193 JPL131193 JZH131193 KJD131193 KSZ131193 LCV131193 LMR131193 LWN131193 MGJ131193 MQF131193 NAB131193 NJX131193 NTT131193 ODP131193 ONL131193 OXH131193 PHD131193 PQZ131193 QAV131193 QKR131193 QUN131193 REJ131193 ROF131193 RYB131193 SHX131193 SRT131193 TBP131193 TLL131193 TVH131193 UFD131193 UOZ131193 UYV131193 VIR131193 VSN131193 WCJ131193 WMF131193 WWB131193 T196729 JP196729 TL196729 ADH196729 AND196729 AWZ196729 BGV196729 BQR196729 CAN196729 CKJ196729 CUF196729 DEB196729 DNX196729 DXT196729 EHP196729 ERL196729 FBH196729 FLD196729 FUZ196729 GEV196729 GOR196729 GYN196729 HIJ196729 HSF196729 ICB196729 ILX196729 IVT196729 JFP196729 JPL196729 JZH196729 KJD196729 KSZ196729 LCV196729 LMR196729 LWN196729 MGJ196729 MQF196729 NAB196729 NJX196729 NTT196729 ODP196729 ONL196729 OXH196729 PHD196729 PQZ196729 QAV196729 QKR196729 QUN196729 REJ196729 ROF196729 RYB196729 SHX196729 SRT196729 TBP196729 TLL196729 TVH196729 UFD196729 UOZ196729 UYV196729 VIR196729 VSN196729 WCJ196729 WMF196729 WWB196729 T262265 JP262265 TL262265 ADH262265 AND262265 AWZ262265 BGV262265 BQR262265 CAN262265 CKJ262265 CUF262265 DEB262265 DNX262265 DXT262265 EHP262265 ERL262265 FBH262265 FLD262265 FUZ262265 GEV262265 GOR262265 GYN262265 HIJ262265 HSF262265 ICB262265 ILX262265 IVT262265 JFP262265 JPL262265 JZH262265 KJD262265 KSZ262265 LCV262265 LMR262265 LWN262265 MGJ262265 MQF262265 NAB262265 NJX262265 NTT262265 ODP262265 ONL262265 OXH262265 PHD262265 PQZ262265 QAV262265 QKR262265 QUN262265 REJ262265 ROF262265 RYB262265 SHX262265 SRT262265 TBP262265 TLL262265 TVH262265 UFD262265 UOZ262265 UYV262265 VIR262265 VSN262265 WCJ262265 WMF262265 WWB262265 T327801 JP327801 TL327801 ADH327801 AND327801 AWZ327801 BGV327801 BQR327801 CAN327801 CKJ327801 CUF327801 DEB327801 DNX327801 DXT327801 EHP327801 ERL327801 FBH327801 FLD327801 FUZ327801 GEV327801 GOR327801 GYN327801 HIJ327801 HSF327801 ICB327801 ILX327801 IVT327801 JFP327801 JPL327801 JZH327801 KJD327801 KSZ327801 LCV327801 LMR327801 LWN327801 MGJ327801 MQF327801 NAB327801 NJX327801 NTT327801 ODP327801 ONL327801 OXH327801 PHD327801 PQZ327801 QAV327801 QKR327801 QUN327801 REJ327801 ROF327801 RYB327801 SHX327801 SRT327801 TBP327801 TLL327801 TVH327801 UFD327801 UOZ327801 UYV327801 VIR327801 VSN327801 WCJ327801 WMF327801 WWB327801 T393337 JP393337 TL393337 ADH393337 AND393337 AWZ393337 BGV393337 BQR393337 CAN393337 CKJ393337 CUF393337 DEB393337 DNX393337 DXT393337 EHP393337 ERL393337 FBH393337 FLD393337 FUZ393337 GEV393337 GOR393337 GYN393337 HIJ393337 HSF393337 ICB393337 ILX393337 IVT393337 JFP393337 JPL393337 JZH393337 KJD393337 KSZ393337 LCV393337 LMR393337 LWN393337 MGJ393337 MQF393337 NAB393337 NJX393337 NTT393337 ODP393337 ONL393337 OXH393337 PHD393337 PQZ393337 QAV393337 QKR393337 QUN393337 REJ393337 ROF393337 RYB393337 SHX393337 SRT393337 TBP393337 TLL393337 TVH393337 UFD393337 UOZ393337 UYV393337 VIR393337 VSN393337 WCJ393337 WMF393337 WWB393337 T458873 JP458873 TL458873 ADH458873 AND458873 AWZ458873 BGV458873 BQR458873 CAN458873 CKJ458873 CUF458873 DEB458873 DNX458873 DXT458873 EHP458873 ERL458873 FBH458873 FLD458873 FUZ458873 GEV458873 GOR458873 GYN458873 HIJ458873 HSF458873 ICB458873 ILX458873 IVT458873 JFP458873 JPL458873 JZH458873 KJD458873 KSZ458873 LCV458873 LMR458873 LWN458873 MGJ458873 MQF458873 NAB458873 NJX458873 NTT458873 ODP458873 ONL458873 OXH458873 PHD458873 PQZ458873 QAV458873 QKR458873 QUN458873 REJ458873 ROF458873 RYB458873 SHX458873 SRT458873 TBP458873 TLL458873 TVH458873 UFD458873 UOZ458873 UYV458873 VIR458873 VSN458873 WCJ458873 WMF458873 WWB458873 T524409 JP524409 TL524409 ADH524409 AND524409 AWZ524409 BGV524409 BQR524409 CAN524409 CKJ524409 CUF524409 DEB524409 DNX524409 DXT524409 EHP524409 ERL524409 FBH524409 FLD524409 FUZ524409 GEV524409 GOR524409 GYN524409 HIJ524409 HSF524409 ICB524409 ILX524409 IVT524409 JFP524409 JPL524409 JZH524409 KJD524409 KSZ524409 LCV524409 LMR524409 LWN524409 MGJ524409 MQF524409 NAB524409 NJX524409 NTT524409 ODP524409 ONL524409 OXH524409 PHD524409 PQZ524409 QAV524409 QKR524409 QUN524409 REJ524409 ROF524409 RYB524409 SHX524409 SRT524409 TBP524409 TLL524409 TVH524409 UFD524409 UOZ524409 UYV524409 VIR524409 VSN524409 WCJ524409 WMF524409 WWB524409 T589945 JP589945 TL589945 ADH589945 AND589945 AWZ589945 BGV589945 BQR589945 CAN589945 CKJ589945 CUF589945 DEB589945 DNX589945 DXT589945 EHP589945 ERL589945 FBH589945 FLD589945 FUZ589945 GEV589945 GOR589945 GYN589945 HIJ589945 HSF589945 ICB589945 ILX589945 IVT589945 JFP589945 JPL589945 JZH589945 KJD589945 KSZ589945 LCV589945 LMR589945 LWN589945 MGJ589945 MQF589945 NAB589945 NJX589945 NTT589945 ODP589945 ONL589945 OXH589945 PHD589945 PQZ589945 QAV589945 QKR589945 QUN589945 REJ589945 ROF589945 RYB589945 SHX589945 SRT589945 TBP589945 TLL589945 TVH589945 UFD589945 UOZ589945 UYV589945 VIR589945 VSN589945 WCJ589945 WMF589945 WWB589945 T655481 JP655481 TL655481 ADH655481 AND655481 AWZ655481 BGV655481 BQR655481 CAN655481 CKJ655481 CUF655481 DEB655481 DNX655481 DXT655481 EHP655481 ERL655481 FBH655481 FLD655481 FUZ655481 GEV655481 GOR655481 GYN655481 HIJ655481 HSF655481 ICB655481 ILX655481 IVT655481 JFP655481 JPL655481 JZH655481 KJD655481 KSZ655481 LCV655481 LMR655481 LWN655481 MGJ655481 MQF655481 NAB655481 NJX655481 NTT655481 ODP655481 ONL655481 OXH655481 PHD655481 PQZ655481 QAV655481 QKR655481 QUN655481 REJ655481 ROF655481 RYB655481 SHX655481 SRT655481 TBP655481 TLL655481 TVH655481 UFD655481 UOZ655481 UYV655481 VIR655481 VSN655481 WCJ655481 WMF655481 WWB655481 T721017 JP721017 TL721017 ADH721017 AND721017 AWZ721017 BGV721017 BQR721017 CAN721017 CKJ721017 CUF721017 DEB721017 DNX721017 DXT721017 EHP721017 ERL721017 FBH721017 FLD721017 FUZ721017 GEV721017 GOR721017 GYN721017 HIJ721017 HSF721017 ICB721017 ILX721017 IVT721017 JFP721017 JPL721017 JZH721017 KJD721017 KSZ721017 LCV721017 LMR721017 LWN721017 MGJ721017 MQF721017 NAB721017 NJX721017 NTT721017 ODP721017 ONL721017 OXH721017 PHD721017 PQZ721017 QAV721017 QKR721017 QUN721017 REJ721017 ROF721017 RYB721017 SHX721017 SRT721017 TBP721017 TLL721017 TVH721017 UFD721017 UOZ721017 UYV721017 VIR721017 VSN721017 WCJ721017 WMF721017 WWB721017 T786553 JP786553 TL786553 ADH786553 AND786553 AWZ786553 BGV786553 BQR786553 CAN786553 CKJ786553 CUF786553 DEB786553 DNX786553 DXT786553 EHP786553 ERL786553 FBH786553 FLD786553 FUZ786553 GEV786553 GOR786553 GYN786553 HIJ786553 HSF786553 ICB786553 ILX786553 IVT786553 JFP786553 JPL786553 JZH786553 KJD786553 KSZ786553 LCV786553 LMR786553 LWN786553 MGJ786553 MQF786553 NAB786553 NJX786553 NTT786553 ODP786553 ONL786553 OXH786553 PHD786553 PQZ786553 QAV786553 QKR786553 QUN786553 REJ786553 ROF786553 RYB786553 SHX786553 SRT786553 TBP786553 TLL786553 TVH786553 UFD786553 UOZ786553 UYV786553 VIR786553 VSN786553 WCJ786553 WMF786553 WWB786553 T852089 JP852089 TL852089 ADH852089 AND852089 AWZ852089 BGV852089 BQR852089 CAN852089 CKJ852089 CUF852089 DEB852089 DNX852089 DXT852089 EHP852089 ERL852089 FBH852089 FLD852089 FUZ852089 GEV852089 GOR852089 GYN852089 HIJ852089 HSF852089 ICB852089 ILX852089 IVT852089 JFP852089 JPL852089 JZH852089 KJD852089 KSZ852089 LCV852089 LMR852089 LWN852089 MGJ852089 MQF852089 NAB852089 NJX852089 NTT852089 ODP852089 ONL852089 OXH852089 PHD852089 PQZ852089 QAV852089 QKR852089 QUN852089 REJ852089 ROF852089 RYB852089 SHX852089 SRT852089 TBP852089 TLL852089 TVH852089 UFD852089 UOZ852089 UYV852089 VIR852089 VSN852089 WCJ852089 WMF852089 WWB852089 T917625 JP917625 TL917625 ADH917625 AND917625 AWZ917625 BGV917625 BQR917625 CAN917625 CKJ917625 CUF917625 DEB917625 DNX917625 DXT917625 EHP917625 ERL917625 FBH917625 FLD917625 FUZ917625 GEV917625 GOR917625 GYN917625 HIJ917625 HSF917625 ICB917625 ILX917625 IVT917625 JFP917625 JPL917625 JZH917625 KJD917625 KSZ917625 LCV917625 LMR917625 LWN917625 MGJ917625 MQF917625 NAB917625 NJX917625 NTT917625 ODP917625 ONL917625 OXH917625 PHD917625 PQZ917625 QAV917625 QKR917625 QUN917625 REJ917625 ROF917625 RYB917625 SHX917625 SRT917625 TBP917625 TLL917625 TVH917625 UFD917625 UOZ917625 UYV917625 VIR917625 VSN917625 WCJ917625 WMF917625 WWB917625 T983161 JP983161 TL983161 ADH983161 AND983161 AWZ983161 BGV983161 BQR983161 CAN983161 CKJ983161 CUF983161 DEB983161 DNX983161 DXT983161 EHP983161 ERL983161 FBH983161 FLD983161 FUZ983161 GEV983161 GOR983161 GYN983161 HIJ983161 HSF983161 ICB983161 ILX983161 IVT983161 JFP983161 JPL983161 JZH983161 KJD983161 KSZ983161 LCV983161 LMR983161 LWN983161 MGJ983161 MQF983161 NAB983161 NJX983161 NTT983161 ODP983161 ONL983161 OXH983161 PHD983161 PQZ983161 QAV983161 QKR983161 QUN983161 REJ983161 ROF983161 RYB983161 SHX983161 SRT983161 TBP983161 TLL983161 TVH983161 UFD983161 UOZ983161 UYV983161 VIR983161 VSN983161 WCJ983161 WMF983161 WWB983161">
      <formula1>OFFSET($S$38:$S$39,,,2)</formula1>
    </dataValidation>
    <dataValidation type="list" allowBlank="1" showInputMessage="1" showErrorMessage="1" sqref="P122:P139 P65658:P65675 P131194:P131211 P196730:P196747 P262266:P262283 P327802:P327819 P393338:P393355 P458874:P458891 P524410:P524427 P589946:P589963 P655482:P655499 P721018:P721035 P786554:P786571 P852090:P852107 P917626:P917643 P983162:P983179 JL122:JL139 JL65658:JL65675 JL131194:JL131211 JL196730:JL196747 JL262266:JL262283 JL327802:JL327819 JL393338:JL393355 JL458874:JL458891 JL524410:JL524427 JL589946:JL589963 JL655482:JL655499 JL721018:JL721035 JL786554:JL786571 JL852090:JL852107 JL917626:JL917643 JL983162:JL983179 TH122:TH139 TH65658:TH65675 TH131194:TH131211 TH196730:TH196747 TH262266:TH262283 TH327802:TH327819 TH393338:TH393355 TH458874:TH458891 TH524410:TH524427 TH589946:TH589963 TH655482:TH655499 TH721018:TH721035 TH786554:TH786571 TH852090:TH852107 TH917626:TH917643 TH983162:TH983179 ADD122:ADD139 ADD65658:ADD65675 ADD131194:ADD131211 ADD196730:ADD196747 ADD262266:ADD262283 ADD327802:ADD327819 ADD393338:ADD393355 ADD458874:ADD458891 ADD524410:ADD524427 ADD589946:ADD589963 ADD655482:ADD655499 ADD721018:ADD721035 ADD786554:ADD786571 ADD852090:ADD852107 ADD917626:ADD917643 ADD983162:ADD983179 AMZ122:AMZ139 AMZ65658:AMZ65675 AMZ131194:AMZ131211 AMZ196730:AMZ196747 AMZ262266:AMZ262283 AMZ327802:AMZ327819 AMZ393338:AMZ393355 AMZ458874:AMZ458891 AMZ524410:AMZ524427 AMZ589946:AMZ589963 AMZ655482:AMZ655499 AMZ721018:AMZ721035 AMZ786554:AMZ786571 AMZ852090:AMZ852107 AMZ917626:AMZ917643 AMZ983162:AMZ983179 AWV122:AWV139 AWV65658:AWV65675 AWV131194:AWV131211 AWV196730:AWV196747 AWV262266:AWV262283 AWV327802:AWV327819 AWV393338:AWV393355 AWV458874:AWV458891 AWV524410:AWV524427 AWV589946:AWV589963 AWV655482:AWV655499 AWV721018:AWV721035 AWV786554:AWV786571 AWV852090:AWV852107 AWV917626:AWV917643 AWV983162:AWV983179 BGR122:BGR139 BGR65658:BGR65675 BGR131194:BGR131211 BGR196730:BGR196747 BGR262266:BGR262283 BGR327802:BGR327819 BGR393338:BGR393355 BGR458874:BGR458891 BGR524410:BGR524427 BGR589946:BGR589963 BGR655482:BGR655499 BGR721018:BGR721035 BGR786554:BGR786571 BGR852090:BGR852107 BGR917626:BGR917643 BGR983162:BGR983179 BQN122:BQN139 BQN65658:BQN65675 BQN131194:BQN131211 BQN196730:BQN196747 BQN262266:BQN262283 BQN327802:BQN327819 BQN393338:BQN393355 BQN458874:BQN458891 BQN524410:BQN524427 BQN589946:BQN589963 BQN655482:BQN655499 BQN721018:BQN721035 BQN786554:BQN786571 BQN852090:BQN852107 BQN917626:BQN917643 BQN983162:BQN983179 CAJ122:CAJ139 CAJ65658:CAJ65675 CAJ131194:CAJ131211 CAJ196730:CAJ196747 CAJ262266:CAJ262283 CAJ327802:CAJ327819 CAJ393338:CAJ393355 CAJ458874:CAJ458891 CAJ524410:CAJ524427 CAJ589946:CAJ589963 CAJ655482:CAJ655499 CAJ721018:CAJ721035 CAJ786554:CAJ786571 CAJ852090:CAJ852107 CAJ917626:CAJ917643 CAJ983162:CAJ983179 CKF122:CKF139 CKF65658:CKF65675 CKF131194:CKF131211 CKF196730:CKF196747 CKF262266:CKF262283 CKF327802:CKF327819 CKF393338:CKF393355 CKF458874:CKF458891 CKF524410:CKF524427 CKF589946:CKF589963 CKF655482:CKF655499 CKF721018:CKF721035 CKF786554:CKF786571 CKF852090:CKF852107 CKF917626:CKF917643 CKF983162:CKF983179 CUB122:CUB139 CUB65658:CUB65675 CUB131194:CUB131211 CUB196730:CUB196747 CUB262266:CUB262283 CUB327802:CUB327819 CUB393338:CUB393355 CUB458874:CUB458891 CUB524410:CUB524427 CUB589946:CUB589963 CUB655482:CUB655499 CUB721018:CUB721035 CUB786554:CUB786571 CUB852090:CUB852107 CUB917626:CUB917643 CUB983162:CUB983179 DDX122:DDX139 DDX65658:DDX65675 DDX131194:DDX131211 DDX196730:DDX196747 DDX262266:DDX262283 DDX327802:DDX327819 DDX393338:DDX393355 DDX458874:DDX458891 DDX524410:DDX524427 DDX589946:DDX589963 DDX655482:DDX655499 DDX721018:DDX721035 DDX786554:DDX786571 DDX852090:DDX852107 DDX917626:DDX917643 DDX983162:DDX983179 DNT122:DNT139 DNT65658:DNT65675 DNT131194:DNT131211 DNT196730:DNT196747 DNT262266:DNT262283 DNT327802:DNT327819 DNT393338:DNT393355 DNT458874:DNT458891 DNT524410:DNT524427 DNT589946:DNT589963 DNT655482:DNT655499 DNT721018:DNT721035 DNT786554:DNT786571 DNT852090:DNT852107 DNT917626:DNT917643 DNT983162:DNT983179 DXP122:DXP139 DXP65658:DXP65675 DXP131194:DXP131211 DXP196730:DXP196747 DXP262266:DXP262283 DXP327802:DXP327819 DXP393338:DXP393355 DXP458874:DXP458891 DXP524410:DXP524427 DXP589946:DXP589963 DXP655482:DXP655499 DXP721018:DXP721035 DXP786554:DXP786571 DXP852090:DXP852107 DXP917626:DXP917643 DXP983162:DXP983179 EHL122:EHL139 EHL65658:EHL65675 EHL131194:EHL131211 EHL196730:EHL196747 EHL262266:EHL262283 EHL327802:EHL327819 EHL393338:EHL393355 EHL458874:EHL458891 EHL524410:EHL524427 EHL589946:EHL589963 EHL655482:EHL655499 EHL721018:EHL721035 EHL786554:EHL786571 EHL852090:EHL852107 EHL917626:EHL917643 EHL983162:EHL983179 ERH122:ERH139 ERH65658:ERH65675 ERH131194:ERH131211 ERH196730:ERH196747 ERH262266:ERH262283 ERH327802:ERH327819 ERH393338:ERH393355 ERH458874:ERH458891 ERH524410:ERH524427 ERH589946:ERH589963 ERH655482:ERH655499 ERH721018:ERH721035 ERH786554:ERH786571 ERH852090:ERH852107 ERH917626:ERH917643 ERH983162:ERH983179 FBD122:FBD139 FBD65658:FBD65675 FBD131194:FBD131211 FBD196730:FBD196747 FBD262266:FBD262283 FBD327802:FBD327819 FBD393338:FBD393355 FBD458874:FBD458891 FBD524410:FBD524427 FBD589946:FBD589963 FBD655482:FBD655499 FBD721018:FBD721035 FBD786554:FBD786571 FBD852090:FBD852107 FBD917626:FBD917643 FBD983162:FBD983179 FKZ122:FKZ139 FKZ65658:FKZ65675 FKZ131194:FKZ131211 FKZ196730:FKZ196747 FKZ262266:FKZ262283 FKZ327802:FKZ327819 FKZ393338:FKZ393355 FKZ458874:FKZ458891 FKZ524410:FKZ524427 FKZ589946:FKZ589963 FKZ655482:FKZ655499 FKZ721018:FKZ721035 FKZ786554:FKZ786571 FKZ852090:FKZ852107 FKZ917626:FKZ917643 FKZ983162:FKZ983179 FUV122:FUV139 FUV65658:FUV65675 FUV131194:FUV131211 FUV196730:FUV196747 FUV262266:FUV262283 FUV327802:FUV327819 FUV393338:FUV393355 FUV458874:FUV458891 FUV524410:FUV524427 FUV589946:FUV589963 FUV655482:FUV655499 FUV721018:FUV721035 FUV786554:FUV786571 FUV852090:FUV852107 FUV917626:FUV917643 FUV983162:FUV983179 GER122:GER139 GER65658:GER65675 GER131194:GER131211 GER196730:GER196747 GER262266:GER262283 GER327802:GER327819 GER393338:GER393355 GER458874:GER458891 GER524410:GER524427 GER589946:GER589963 GER655482:GER655499 GER721018:GER721035 GER786554:GER786571 GER852090:GER852107 GER917626:GER917643 GER983162:GER983179 GON122:GON139 GON65658:GON65675 GON131194:GON131211 GON196730:GON196747 GON262266:GON262283 GON327802:GON327819 GON393338:GON393355 GON458874:GON458891 GON524410:GON524427 GON589946:GON589963 GON655482:GON655499 GON721018:GON721035 GON786554:GON786571 GON852090:GON852107 GON917626:GON917643 GON983162:GON983179 GYJ122:GYJ139 GYJ65658:GYJ65675 GYJ131194:GYJ131211 GYJ196730:GYJ196747 GYJ262266:GYJ262283 GYJ327802:GYJ327819 GYJ393338:GYJ393355 GYJ458874:GYJ458891 GYJ524410:GYJ524427 GYJ589946:GYJ589963 GYJ655482:GYJ655499 GYJ721018:GYJ721035 GYJ786554:GYJ786571 GYJ852090:GYJ852107 GYJ917626:GYJ917643 GYJ983162:GYJ983179 HIF122:HIF139 HIF65658:HIF65675 HIF131194:HIF131211 HIF196730:HIF196747 HIF262266:HIF262283 HIF327802:HIF327819 HIF393338:HIF393355 HIF458874:HIF458891 HIF524410:HIF524427 HIF589946:HIF589963 HIF655482:HIF655499 HIF721018:HIF721035 HIF786554:HIF786571 HIF852090:HIF852107 HIF917626:HIF917643 HIF983162:HIF983179 HSB122:HSB139 HSB65658:HSB65675 HSB131194:HSB131211 HSB196730:HSB196747 HSB262266:HSB262283 HSB327802:HSB327819 HSB393338:HSB393355 HSB458874:HSB458891 HSB524410:HSB524427 HSB589946:HSB589963 HSB655482:HSB655499 HSB721018:HSB721035 HSB786554:HSB786571 HSB852090:HSB852107 HSB917626:HSB917643 HSB983162:HSB983179 IBX122:IBX139 IBX65658:IBX65675 IBX131194:IBX131211 IBX196730:IBX196747 IBX262266:IBX262283 IBX327802:IBX327819 IBX393338:IBX393355 IBX458874:IBX458891 IBX524410:IBX524427 IBX589946:IBX589963 IBX655482:IBX655499 IBX721018:IBX721035 IBX786554:IBX786571 IBX852090:IBX852107 IBX917626:IBX917643 IBX983162:IBX983179 ILT122:ILT139 ILT65658:ILT65675 ILT131194:ILT131211 ILT196730:ILT196747 ILT262266:ILT262283 ILT327802:ILT327819 ILT393338:ILT393355 ILT458874:ILT458891 ILT524410:ILT524427 ILT589946:ILT589963 ILT655482:ILT655499 ILT721018:ILT721035 ILT786554:ILT786571 ILT852090:ILT852107 ILT917626:ILT917643 ILT983162:ILT983179 IVP122:IVP139 IVP65658:IVP65675 IVP131194:IVP131211 IVP196730:IVP196747 IVP262266:IVP262283 IVP327802:IVP327819 IVP393338:IVP393355 IVP458874:IVP458891 IVP524410:IVP524427 IVP589946:IVP589963 IVP655482:IVP655499 IVP721018:IVP721035 IVP786554:IVP786571 IVP852090:IVP852107 IVP917626:IVP917643 IVP983162:IVP983179 JFL122:JFL139 JFL65658:JFL65675 JFL131194:JFL131211 JFL196730:JFL196747 JFL262266:JFL262283 JFL327802:JFL327819 JFL393338:JFL393355 JFL458874:JFL458891 JFL524410:JFL524427 JFL589946:JFL589963 JFL655482:JFL655499 JFL721018:JFL721035 JFL786554:JFL786571 JFL852090:JFL852107 JFL917626:JFL917643 JFL983162:JFL983179 JPH122:JPH139 JPH65658:JPH65675 JPH131194:JPH131211 JPH196730:JPH196747 JPH262266:JPH262283 JPH327802:JPH327819 JPH393338:JPH393355 JPH458874:JPH458891 JPH524410:JPH524427 JPH589946:JPH589963 JPH655482:JPH655499 JPH721018:JPH721035 JPH786554:JPH786571 JPH852090:JPH852107 JPH917626:JPH917643 JPH983162:JPH983179 JZD122:JZD139 JZD65658:JZD65675 JZD131194:JZD131211 JZD196730:JZD196747 JZD262266:JZD262283 JZD327802:JZD327819 JZD393338:JZD393355 JZD458874:JZD458891 JZD524410:JZD524427 JZD589946:JZD589963 JZD655482:JZD655499 JZD721018:JZD721035 JZD786554:JZD786571 JZD852090:JZD852107 JZD917626:JZD917643 JZD983162:JZD983179 KIZ122:KIZ139 KIZ65658:KIZ65675 KIZ131194:KIZ131211 KIZ196730:KIZ196747 KIZ262266:KIZ262283 KIZ327802:KIZ327819 KIZ393338:KIZ393355 KIZ458874:KIZ458891 KIZ524410:KIZ524427 KIZ589946:KIZ589963 KIZ655482:KIZ655499 KIZ721018:KIZ721035 KIZ786554:KIZ786571 KIZ852090:KIZ852107 KIZ917626:KIZ917643 KIZ983162:KIZ983179 KSV122:KSV139 KSV65658:KSV65675 KSV131194:KSV131211 KSV196730:KSV196747 KSV262266:KSV262283 KSV327802:KSV327819 KSV393338:KSV393355 KSV458874:KSV458891 KSV524410:KSV524427 KSV589946:KSV589963 KSV655482:KSV655499 KSV721018:KSV721035 KSV786554:KSV786571 KSV852090:KSV852107 KSV917626:KSV917643 KSV983162:KSV983179 LCR122:LCR139 LCR65658:LCR65675 LCR131194:LCR131211 LCR196730:LCR196747 LCR262266:LCR262283 LCR327802:LCR327819 LCR393338:LCR393355 LCR458874:LCR458891 LCR524410:LCR524427 LCR589946:LCR589963 LCR655482:LCR655499 LCR721018:LCR721035 LCR786554:LCR786571 LCR852090:LCR852107 LCR917626:LCR917643 LCR983162:LCR983179 LMN122:LMN139 LMN65658:LMN65675 LMN131194:LMN131211 LMN196730:LMN196747 LMN262266:LMN262283 LMN327802:LMN327819 LMN393338:LMN393355 LMN458874:LMN458891 LMN524410:LMN524427 LMN589946:LMN589963 LMN655482:LMN655499 LMN721018:LMN721035 LMN786554:LMN786571 LMN852090:LMN852107 LMN917626:LMN917643 LMN983162:LMN983179 LWJ122:LWJ139 LWJ65658:LWJ65675 LWJ131194:LWJ131211 LWJ196730:LWJ196747 LWJ262266:LWJ262283 LWJ327802:LWJ327819 LWJ393338:LWJ393355 LWJ458874:LWJ458891 LWJ524410:LWJ524427 LWJ589946:LWJ589963 LWJ655482:LWJ655499 LWJ721018:LWJ721035 LWJ786554:LWJ786571 LWJ852090:LWJ852107 LWJ917626:LWJ917643 LWJ983162:LWJ983179 MGF122:MGF139 MGF65658:MGF65675 MGF131194:MGF131211 MGF196730:MGF196747 MGF262266:MGF262283 MGF327802:MGF327819 MGF393338:MGF393355 MGF458874:MGF458891 MGF524410:MGF524427 MGF589946:MGF589963 MGF655482:MGF655499 MGF721018:MGF721035 MGF786554:MGF786571 MGF852090:MGF852107 MGF917626:MGF917643 MGF983162:MGF983179 MQB122:MQB139 MQB65658:MQB65675 MQB131194:MQB131211 MQB196730:MQB196747 MQB262266:MQB262283 MQB327802:MQB327819 MQB393338:MQB393355 MQB458874:MQB458891 MQB524410:MQB524427 MQB589946:MQB589963 MQB655482:MQB655499 MQB721018:MQB721035 MQB786554:MQB786571 MQB852090:MQB852107 MQB917626:MQB917643 MQB983162:MQB983179 MZX122:MZX139 MZX65658:MZX65675 MZX131194:MZX131211 MZX196730:MZX196747 MZX262266:MZX262283 MZX327802:MZX327819 MZX393338:MZX393355 MZX458874:MZX458891 MZX524410:MZX524427 MZX589946:MZX589963 MZX655482:MZX655499 MZX721018:MZX721035 MZX786554:MZX786571 MZX852090:MZX852107 MZX917626:MZX917643 MZX983162:MZX983179 NJT122:NJT139 NJT65658:NJT65675 NJT131194:NJT131211 NJT196730:NJT196747 NJT262266:NJT262283 NJT327802:NJT327819 NJT393338:NJT393355 NJT458874:NJT458891 NJT524410:NJT524427 NJT589946:NJT589963 NJT655482:NJT655499 NJT721018:NJT721035 NJT786554:NJT786571 NJT852090:NJT852107 NJT917626:NJT917643 NJT983162:NJT983179 NTP122:NTP139 NTP65658:NTP65675 NTP131194:NTP131211 NTP196730:NTP196747 NTP262266:NTP262283 NTP327802:NTP327819 NTP393338:NTP393355 NTP458874:NTP458891 NTP524410:NTP524427 NTP589946:NTP589963 NTP655482:NTP655499 NTP721018:NTP721035 NTP786554:NTP786571 NTP852090:NTP852107 NTP917626:NTP917643 NTP983162:NTP983179 ODL122:ODL139 ODL65658:ODL65675 ODL131194:ODL131211 ODL196730:ODL196747 ODL262266:ODL262283 ODL327802:ODL327819 ODL393338:ODL393355 ODL458874:ODL458891 ODL524410:ODL524427 ODL589946:ODL589963 ODL655482:ODL655499 ODL721018:ODL721035 ODL786554:ODL786571 ODL852090:ODL852107 ODL917626:ODL917643 ODL983162:ODL983179 ONH122:ONH139 ONH65658:ONH65675 ONH131194:ONH131211 ONH196730:ONH196747 ONH262266:ONH262283 ONH327802:ONH327819 ONH393338:ONH393355 ONH458874:ONH458891 ONH524410:ONH524427 ONH589946:ONH589963 ONH655482:ONH655499 ONH721018:ONH721035 ONH786554:ONH786571 ONH852090:ONH852107 ONH917626:ONH917643 ONH983162:ONH983179 OXD122:OXD139 OXD65658:OXD65675 OXD131194:OXD131211 OXD196730:OXD196747 OXD262266:OXD262283 OXD327802:OXD327819 OXD393338:OXD393355 OXD458874:OXD458891 OXD524410:OXD524427 OXD589946:OXD589963 OXD655482:OXD655499 OXD721018:OXD721035 OXD786554:OXD786571 OXD852090:OXD852107 OXD917626:OXD917643 OXD983162:OXD983179 PGZ122:PGZ139 PGZ65658:PGZ65675 PGZ131194:PGZ131211 PGZ196730:PGZ196747 PGZ262266:PGZ262283 PGZ327802:PGZ327819 PGZ393338:PGZ393355 PGZ458874:PGZ458891 PGZ524410:PGZ524427 PGZ589946:PGZ589963 PGZ655482:PGZ655499 PGZ721018:PGZ721035 PGZ786554:PGZ786571 PGZ852090:PGZ852107 PGZ917626:PGZ917643 PGZ983162:PGZ983179 PQV122:PQV139 PQV65658:PQV65675 PQV131194:PQV131211 PQV196730:PQV196747 PQV262266:PQV262283 PQV327802:PQV327819 PQV393338:PQV393355 PQV458874:PQV458891 PQV524410:PQV524427 PQV589946:PQV589963 PQV655482:PQV655499 PQV721018:PQV721035 PQV786554:PQV786571 PQV852090:PQV852107 PQV917626:PQV917643 PQV983162:PQV983179 QAR122:QAR139 QAR65658:QAR65675 QAR131194:QAR131211 QAR196730:QAR196747 QAR262266:QAR262283 QAR327802:QAR327819 QAR393338:QAR393355 QAR458874:QAR458891 QAR524410:QAR524427 QAR589946:QAR589963 QAR655482:QAR655499 QAR721018:QAR721035 QAR786554:QAR786571 QAR852090:QAR852107 QAR917626:QAR917643 QAR983162:QAR983179 QKN122:QKN139 QKN65658:QKN65675 QKN131194:QKN131211 QKN196730:QKN196747 QKN262266:QKN262283 QKN327802:QKN327819 QKN393338:QKN393355 QKN458874:QKN458891 QKN524410:QKN524427 QKN589946:QKN589963 QKN655482:QKN655499 QKN721018:QKN721035 QKN786554:QKN786571 QKN852090:QKN852107 QKN917626:QKN917643 QKN983162:QKN983179 QUJ122:QUJ139 QUJ65658:QUJ65675 QUJ131194:QUJ131211 QUJ196730:QUJ196747 QUJ262266:QUJ262283 QUJ327802:QUJ327819 QUJ393338:QUJ393355 QUJ458874:QUJ458891 QUJ524410:QUJ524427 QUJ589946:QUJ589963 QUJ655482:QUJ655499 QUJ721018:QUJ721035 QUJ786554:QUJ786571 QUJ852090:QUJ852107 QUJ917626:QUJ917643 QUJ983162:QUJ983179 REF122:REF139 REF65658:REF65675 REF131194:REF131211 REF196730:REF196747 REF262266:REF262283 REF327802:REF327819 REF393338:REF393355 REF458874:REF458891 REF524410:REF524427 REF589946:REF589963 REF655482:REF655499 REF721018:REF721035 REF786554:REF786571 REF852090:REF852107 REF917626:REF917643 REF983162:REF983179 ROB122:ROB139 ROB65658:ROB65675 ROB131194:ROB131211 ROB196730:ROB196747 ROB262266:ROB262283 ROB327802:ROB327819 ROB393338:ROB393355 ROB458874:ROB458891 ROB524410:ROB524427 ROB589946:ROB589963 ROB655482:ROB655499 ROB721018:ROB721035 ROB786554:ROB786571 ROB852090:ROB852107 ROB917626:ROB917643 ROB983162:ROB983179 RXX122:RXX139 RXX65658:RXX65675 RXX131194:RXX131211 RXX196730:RXX196747 RXX262266:RXX262283 RXX327802:RXX327819 RXX393338:RXX393355 RXX458874:RXX458891 RXX524410:RXX524427 RXX589946:RXX589963 RXX655482:RXX655499 RXX721018:RXX721035 RXX786554:RXX786571 RXX852090:RXX852107 RXX917626:RXX917643 RXX983162:RXX983179 SHT122:SHT139 SHT65658:SHT65675 SHT131194:SHT131211 SHT196730:SHT196747 SHT262266:SHT262283 SHT327802:SHT327819 SHT393338:SHT393355 SHT458874:SHT458891 SHT524410:SHT524427 SHT589946:SHT589963 SHT655482:SHT655499 SHT721018:SHT721035 SHT786554:SHT786571 SHT852090:SHT852107 SHT917626:SHT917643 SHT983162:SHT983179 SRP122:SRP139 SRP65658:SRP65675 SRP131194:SRP131211 SRP196730:SRP196747 SRP262266:SRP262283 SRP327802:SRP327819 SRP393338:SRP393355 SRP458874:SRP458891 SRP524410:SRP524427 SRP589946:SRP589963 SRP655482:SRP655499 SRP721018:SRP721035 SRP786554:SRP786571 SRP852090:SRP852107 SRP917626:SRP917643 SRP983162:SRP983179 TBL122:TBL139 TBL65658:TBL65675 TBL131194:TBL131211 TBL196730:TBL196747 TBL262266:TBL262283 TBL327802:TBL327819 TBL393338:TBL393355 TBL458874:TBL458891 TBL524410:TBL524427 TBL589946:TBL589963 TBL655482:TBL655499 TBL721018:TBL721035 TBL786554:TBL786571 TBL852090:TBL852107 TBL917626:TBL917643 TBL983162:TBL983179 TLH122:TLH139 TLH65658:TLH65675 TLH131194:TLH131211 TLH196730:TLH196747 TLH262266:TLH262283 TLH327802:TLH327819 TLH393338:TLH393355 TLH458874:TLH458891 TLH524410:TLH524427 TLH589946:TLH589963 TLH655482:TLH655499 TLH721018:TLH721035 TLH786554:TLH786571 TLH852090:TLH852107 TLH917626:TLH917643 TLH983162:TLH983179 TVD122:TVD139 TVD65658:TVD65675 TVD131194:TVD131211 TVD196730:TVD196747 TVD262266:TVD262283 TVD327802:TVD327819 TVD393338:TVD393355 TVD458874:TVD458891 TVD524410:TVD524427 TVD589946:TVD589963 TVD655482:TVD655499 TVD721018:TVD721035 TVD786554:TVD786571 TVD852090:TVD852107 TVD917626:TVD917643 TVD983162:TVD983179 UEZ122:UEZ139 UEZ65658:UEZ65675 UEZ131194:UEZ131211 UEZ196730:UEZ196747 UEZ262266:UEZ262283 UEZ327802:UEZ327819 UEZ393338:UEZ393355 UEZ458874:UEZ458891 UEZ524410:UEZ524427 UEZ589946:UEZ589963 UEZ655482:UEZ655499 UEZ721018:UEZ721035 UEZ786554:UEZ786571 UEZ852090:UEZ852107 UEZ917626:UEZ917643 UEZ983162:UEZ983179 UOV122:UOV139 UOV65658:UOV65675 UOV131194:UOV131211 UOV196730:UOV196747 UOV262266:UOV262283 UOV327802:UOV327819 UOV393338:UOV393355 UOV458874:UOV458891 UOV524410:UOV524427 UOV589946:UOV589963 UOV655482:UOV655499 UOV721018:UOV721035 UOV786554:UOV786571 UOV852090:UOV852107 UOV917626:UOV917643 UOV983162:UOV983179 UYR122:UYR139 UYR65658:UYR65675 UYR131194:UYR131211 UYR196730:UYR196747 UYR262266:UYR262283 UYR327802:UYR327819 UYR393338:UYR393355 UYR458874:UYR458891 UYR524410:UYR524427 UYR589946:UYR589963 UYR655482:UYR655499 UYR721018:UYR721035 UYR786554:UYR786571 UYR852090:UYR852107 UYR917626:UYR917643 UYR983162:UYR983179 VIN122:VIN139 VIN65658:VIN65675 VIN131194:VIN131211 VIN196730:VIN196747 VIN262266:VIN262283 VIN327802:VIN327819 VIN393338:VIN393355 VIN458874:VIN458891 VIN524410:VIN524427 VIN589946:VIN589963 VIN655482:VIN655499 VIN721018:VIN721035 VIN786554:VIN786571 VIN852090:VIN852107 VIN917626:VIN917643 VIN983162:VIN983179 VSJ122:VSJ139 VSJ65658:VSJ65675 VSJ131194:VSJ131211 VSJ196730:VSJ196747 VSJ262266:VSJ262283 VSJ327802:VSJ327819 VSJ393338:VSJ393355 VSJ458874:VSJ458891 VSJ524410:VSJ524427 VSJ589946:VSJ589963 VSJ655482:VSJ655499 VSJ721018:VSJ721035 VSJ786554:VSJ786571 VSJ852090:VSJ852107 VSJ917626:VSJ917643 VSJ983162:VSJ983179 WCF122:WCF139 WCF65658:WCF65675 WCF131194:WCF131211 WCF196730:WCF196747 WCF262266:WCF262283 WCF327802:WCF327819 WCF393338:WCF393355 WCF458874:WCF458891 WCF524410:WCF524427 WCF589946:WCF589963 WCF655482:WCF655499 WCF721018:WCF721035 WCF786554:WCF786571 WCF852090:WCF852107 WCF917626:WCF917643 WCF983162:WCF983179 WMB122:WMB139 WMB65658:WMB65675 WMB131194:WMB131211 WMB196730:WMB196747 WMB262266:WMB262283 WMB327802:WMB327819 WMB393338:WMB393355 WMB458874:WMB458891 WMB524410:WMB524427 WMB589946:WMB589963 WMB655482:WMB655499 WMB721018:WMB721035 WMB786554:WMB786571 WMB852090:WMB852107 WMB917626:WMB917643 WMB983162:WMB983179 WVX122:WVX139 WVX65658:WVX65675 WVX131194:WVX131211 WVX196730:WVX196747 WVX262266:WVX262283 WVX327802:WVX327819 WVX393338:WVX393355 WVX458874:WVX458891 WVX524410:WVX524427 WVX589946:WVX589963 WVX655482:WVX655499 WVX721018:WVX721035 WVX786554:WVX786571 WVX852090:WVX852107 WVX917626:WVX917643 WVX983162:WVX983179">
      <formula1>"F,C,A,M"</formula1>
    </dataValidation>
    <dataValidation type="list" allowBlank="1" showInputMessage="1" showErrorMessage="1" sqref="Q122:Q139 Q65658:Q65675 Q131194:Q131211 Q196730:Q196747 Q262266:Q262283 Q327802:Q327819 Q393338:Q393355 Q458874:Q458891 Q524410:Q524427 Q589946:Q589963 Q655482:Q655499 Q721018:Q721035 Q786554:Q786571 Q852090:Q852107 Q917626:Q917643 Q983162:Q983179 W122:W139 W65658:W65675 W131194:W131211 W196730:W196747 W262266:W262283 W327802:W327819 W393338:W393355 W458874:W458891 W524410:W524427 W589946:W589963 W655482:W655499 W721018:W721035 W786554:W786571 W852090:W852107 W917626:W917643 W983162:W983179 JM122:JM139 JM65658:JM65675 JM131194:JM131211 JM196730:JM196747 JM262266:JM262283 JM327802:JM327819 JM393338:JM393355 JM458874:JM458891 JM524410:JM524427 JM589946:JM589963 JM655482:JM655499 JM721018:JM721035 JM786554:JM786571 JM852090:JM852107 JM917626:JM917643 JM983162:JM983179 JS122:JS139 JS65658:JS65675 JS131194:JS131211 JS196730:JS196747 JS262266:JS262283 JS327802:JS327819 JS393338:JS393355 JS458874:JS458891 JS524410:JS524427 JS589946:JS589963 JS655482:JS655499 JS721018:JS721035 JS786554:JS786571 JS852090:JS852107 JS917626:JS917643 JS983162:JS983179 TI122:TI139 TI65658:TI65675 TI131194:TI131211 TI196730:TI196747 TI262266:TI262283 TI327802:TI327819 TI393338:TI393355 TI458874:TI458891 TI524410:TI524427 TI589946:TI589963 TI655482:TI655499 TI721018:TI721035 TI786554:TI786571 TI852090:TI852107 TI917626:TI917643 TI983162:TI983179 TO122:TO139 TO65658:TO65675 TO131194:TO131211 TO196730:TO196747 TO262266:TO262283 TO327802:TO327819 TO393338:TO393355 TO458874:TO458891 TO524410:TO524427 TO589946:TO589963 TO655482:TO655499 TO721018:TO721035 TO786554:TO786571 TO852090:TO852107 TO917626:TO917643 TO983162:TO983179 ADE122:ADE139 ADE65658:ADE65675 ADE131194:ADE131211 ADE196730:ADE196747 ADE262266:ADE262283 ADE327802:ADE327819 ADE393338:ADE393355 ADE458874:ADE458891 ADE524410:ADE524427 ADE589946:ADE589963 ADE655482:ADE655499 ADE721018:ADE721035 ADE786554:ADE786571 ADE852090:ADE852107 ADE917626:ADE917643 ADE983162:ADE983179 ADK122:ADK139 ADK65658:ADK65675 ADK131194:ADK131211 ADK196730:ADK196747 ADK262266:ADK262283 ADK327802:ADK327819 ADK393338:ADK393355 ADK458874:ADK458891 ADK524410:ADK524427 ADK589946:ADK589963 ADK655482:ADK655499 ADK721018:ADK721035 ADK786554:ADK786571 ADK852090:ADK852107 ADK917626:ADK917643 ADK983162:ADK983179 ANA122:ANA139 ANA65658:ANA65675 ANA131194:ANA131211 ANA196730:ANA196747 ANA262266:ANA262283 ANA327802:ANA327819 ANA393338:ANA393355 ANA458874:ANA458891 ANA524410:ANA524427 ANA589946:ANA589963 ANA655482:ANA655499 ANA721018:ANA721035 ANA786554:ANA786571 ANA852090:ANA852107 ANA917626:ANA917643 ANA983162:ANA983179 ANG122:ANG139 ANG65658:ANG65675 ANG131194:ANG131211 ANG196730:ANG196747 ANG262266:ANG262283 ANG327802:ANG327819 ANG393338:ANG393355 ANG458874:ANG458891 ANG524410:ANG524427 ANG589946:ANG589963 ANG655482:ANG655499 ANG721018:ANG721035 ANG786554:ANG786571 ANG852090:ANG852107 ANG917626:ANG917643 ANG983162:ANG983179 AWW122:AWW139 AWW65658:AWW65675 AWW131194:AWW131211 AWW196730:AWW196747 AWW262266:AWW262283 AWW327802:AWW327819 AWW393338:AWW393355 AWW458874:AWW458891 AWW524410:AWW524427 AWW589946:AWW589963 AWW655482:AWW655499 AWW721018:AWW721035 AWW786554:AWW786571 AWW852090:AWW852107 AWW917626:AWW917643 AWW983162:AWW983179 AXC122:AXC139 AXC65658:AXC65675 AXC131194:AXC131211 AXC196730:AXC196747 AXC262266:AXC262283 AXC327802:AXC327819 AXC393338:AXC393355 AXC458874:AXC458891 AXC524410:AXC524427 AXC589946:AXC589963 AXC655482:AXC655499 AXC721018:AXC721035 AXC786554:AXC786571 AXC852090:AXC852107 AXC917626:AXC917643 AXC983162:AXC983179 BGS122:BGS139 BGS65658:BGS65675 BGS131194:BGS131211 BGS196730:BGS196747 BGS262266:BGS262283 BGS327802:BGS327819 BGS393338:BGS393355 BGS458874:BGS458891 BGS524410:BGS524427 BGS589946:BGS589963 BGS655482:BGS655499 BGS721018:BGS721035 BGS786554:BGS786571 BGS852090:BGS852107 BGS917626:BGS917643 BGS983162:BGS983179 BGY122:BGY139 BGY65658:BGY65675 BGY131194:BGY131211 BGY196730:BGY196747 BGY262266:BGY262283 BGY327802:BGY327819 BGY393338:BGY393355 BGY458874:BGY458891 BGY524410:BGY524427 BGY589946:BGY589963 BGY655482:BGY655499 BGY721018:BGY721035 BGY786554:BGY786571 BGY852090:BGY852107 BGY917626:BGY917643 BGY983162:BGY983179 BQO122:BQO139 BQO65658:BQO65675 BQO131194:BQO131211 BQO196730:BQO196747 BQO262266:BQO262283 BQO327802:BQO327819 BQO393338:BQO393355 BQO458874:BQO458891 BQO524410:BQO524427 BQO589946:BQO589963 BQO655482:BQO655499 BQO721018:BQO721035 BQO786554:BQO786571 BQO852090:BQO852107 BQO917626:BQO917643 BQO983162:BQO983179 BQU122:BQU139 BQU65658:BQU65675 BQU131194:BQU131211 BQU196730:BQU196747 BQU262266:BQU262283 BQU327802:BQU327819 BQU393338:BQU393355 BQU458874:BQU458891 BQU524410:BQU524427 BQU589946:BQU589963 BQU655482:BQU655499 BQU721018:BQU721035 BQU786554:BQU786571 BQU852090:BQU852107 BQU917626:BQU917643 BQU983162:BQU983179 CAK122:CAK139 CAK65658:CAK65675 CAK131194:CAK131211 CAK196730:CAK196747 CAK262266:CAK262283 CAK327802:CAK327819 CAK393338:CAK393355 CAK458874:CAK458891 CAK524410:CAK524427 CAK589946:CAK589963 CAK655482:CAK655499 CAK721018:CAK721035 CAK786554:CAK786571 CAK852090:CAK852107 CAK917626:CAK917643 CAK983162:CAK983179 CAQ122:CAQ139 CAQ65658:CAQ65675 CAQ131194:CAQ131211 CAQ196730:CAQ196747 CAQ262266:CAQ262283 CAQ327802:CAQ327819 CAQ393338:CAQ393355 CAQ458874:CAQ458891 CAQ524410:CAQ524427 CAQ589946:CAQ589963 CAQ655482:CAQ655499 CAQ721018:CAQ721035 CAQ786554:CAQ786571 CAQ852090:CAQ852107 CAQ917626:CAQ917643 CAQ983162:CAQ983179 CKG122:CKG139 CKG65658:CKG65675 CKG131194:CKG131211 CKG196730:CKG196747 CKG262266:CKG262283 CKG327802:CKG327819 CKG393338:CKG393355 CKG458874:CKG458891 CKG524410:CKG524427 CKG589946:CKG589963 CKG655482:CKG655499 CKG721018:CKG721035 CKG786554:CKG786571 CKG852090:CKG852107 CKG917626:CKG917643 CKG983162:CKG983179 CKM122:CKM139 CKM65658:CKM65675 CKM131194:CKM131211 CKM196730:CKM196747 CKM262266:CKM262283 CKM327802:CKM327819 CKM393338:CKM393355 CKM458874:CKM458891 CKM524410:CKM524427 CKM589946:CKM589963 CKM655482:CKM655499 CKM721018:CKM721035 CKM786554:CKM786571 CKM852090:CKM852107 CKM917626:CKM917643 CKM983162:CKM983179 CUC122:CUC139 CUC65658:CUC65675 CUC131194:CUC131211 CUC196730:CUC196747 CUC262266:CUC262283 CUC327802:CUC327819 CUC393338:CUC393355 CUC458874:CUC458891 CUC524410:CUC524427 CUC589946:CUC589963 CUC655482:CUC655499 CUC721018:CUC721035 CUC786554:CUC786571 CUC852090:CUC852107 CUC917626:CUC917643 CUC983162:CUC983179 CUI122:CUI139 CUI65658:CUI65675 CUI131194:CUI131211 CUI196730:CUI196747 CUI262266:CUI262283 CUI327802:CUI327819 CUI393338:CUI393355 CUI458874:CUI458891 CUI524410:CUI524427 CUI589946:CUI589963 CUI655482:CUI655499 CUI721018:CUI721035 CUI786554:CUI786571 CUI852090:CUI852107 CUI917626:CUI917643 CUI983162:CUI983179 DDY122:DDY139 DDY65658:DDY65675 DDY131194:DDY131211 DDY196730:DDY196747 DDY262266:DDY262283 DDY327802:DDY327819 DDY393338:DDY393355 DDY458874:DDY458891 DDY524410:DDY524427 DDY589946:DDY589963 DDY655482:DDY655499 DDY721018:DDY721035 DDY786554:DDY786571 DDY852090:DDY852107 DDY917626:DDY917643 DDY983162:DDY983179 DEE122:DEE139 DEE65658:DEE65675 DEE131194:DEE131211 DEE196730:DEE196747 DEE262266:DEE262283 DEE327802:DEE327819 DEE393338:DEE393355 DEE458874:DEE458891 DEE524410:DEE524427 DEE589946:DEE589963 DEE655482:DEE655499 DEE721018:DEE721035 DEE786554:DEE786571 DEE852090:DEE852107 DEE917626:DEE917643 DEE983162:DEE983179 DNU122:DNU139 DNU65658:DNU65675 DNU131194:DNU131211 DNU196730:DNU196747 DNU262266:DNU262283 DNU327802:DNU327819 DNU393338:DNU393355 DNU458874:DNU458891 DNU524410:DNU524427 DNU589946:DNU589963 DNU655482:DNU655499 DNU721018:DNU721035 DNU786554:DNU786571 DNU852090:DNU852107 DNU917626:DNU917643 DNU983162:DNU983179 DOA122:DOA139 DOA65658:DOA65675 DOA131194:DOA131211 DOA196730:DOA196747 DOA262266:DOA262283 DOA327802:DOA327819 DOA393338:DOA393355 DOA458874:DOA458891 DOA524410:DOA524427 DOA589946:DOA589963 DOA655482:DOA655499 DOA721018:DOA721035 DOA786554:DOA786571 DOA852090:DOA852107 DOA917626:DOA917643 DOA983162:DOA983179 DXQ122:DXQ139 DXQ65658:DXQ65675 DXQ131194:DXQ131211 DXQ196730:DXQ196747 DXQ262266:DXQ262283 DXQ327802:DXQ327819 DXQ393338:DXQ393355 DXQ458874:DXQ458891 DXQ524410:DXQ524427 DXQ589946:DXQ589963 DXQ655482:DXQ655499 DXQ721018:DXQ721035 DXQ786554:DXQ786571 DXQ852090:DXQ852107 DXQ917626:DXQ917643 DXQ983162:DXQ983179 DXW122:DXW139 DXW65658:DXW65675 DXW131194:DXW131211 DXW196730:DXW196747 DXW262266:DXW262283 DXW327802:DXW327819 DXW393338:DXW393355 DXW458874:DXW458891 DXW524410:DXW524427 DXW589946:DXW589963 DXW655482:DXW655499 DXW721018:DXW721035 DXW786554:DXW786571 DXW852090:DXW852107 DXW917626:DXW917643 DXW983162:DXW983179 EHM122:EHM139 EHM65658:EHM65675 EHM131194:EHM131211 EHM196730:EHM196747 EHM262266:EHM262283 EHM327802:EHM327819 EHM393338:EHM393355 EHM458874:EHM458891 EHM524410:EHM524427 EHM589946:EHM589963 EHM655482:EHM655499 EHM721018:EHM721035 EHM786554:EHM786571 EHM852090:EHM852107 EHM917626:EHM917643 EHM983162:EHM983179 EHS122:EHS139 EHS65658:EHS65675 EHS131194:EHS131211 EHS196730:EHS196747 EHS262266:EHS262283 EHS327802:EHS327819 EHS393338:EHS393355 EHS458874:EHS458891 EHS524410:EHS524427 EHS589946:EHS589963 EHS655482:EHS655499 EHS721018:EHS721035 EHS786554:EHS786571 EHS852090:EHS852107 EHS917626:EHS917643 EHS983162:EHS983179 ERI122:ERI139 ERI65658:ERI65675 ERI131194:ERI131211 ERI196730:ERI196747 ERI262266:ERI262283 ERI327802:ERI327819 ERI393338:ERI393355 ERI458874:ERI458891 ERI524410:ERI524427 ERI589946:ERI589963 ERI655482:ERI655499 ERI721018:ERI721035 ERI786554:ERI786571 ERI852090:ERI852107 ERI917626:ERI917643 ERI983162:ERI983179 ERO122:ERO139 ERO65658:ERO65675 ERO131194:ERO131211 ERO196730:ERO196747 ERO262266:ERO262283 ERO327802:ERO327819 ERO393338:ERO393355 ERO458874:ERO458891 ERO524410:ERO524427 ERO589946:ERO589963 ERO655482:ERO655499 ERO721018:ERO721035 ERO786554:ERO786571 ERO852090:ERO852107 ERO917626:ERO917643 ERO983162:ERO983179 FBE122:FBE139 FBE65658:FBE65675 FBE131194:FBE131211 FBE196730:FBE196747 FBE262266:FBE262283 FBE327802:FBE327819 FBE393338:FBE393355 FBE458874:FBE458891 FBE524410:FBE524427 FBE589946:FBE589963 FBE655482:FBE655499 FBE721018:FBE721035 FBE786554:FBE786571 FBE852090:FBE852107 FBE917626:FBE917643 FBE983162:FBE983179 FBK122:FBK139 FBK65658:FBK65675 FBK131194:FBK131211 FBK196730:FBK196747 FBK262266:FBK262283 FBK327802:FBK327819 FBK393338:FBK393355 FBK458874:FBK458891 FBK524410:FBK524427 FBK589946:FBK589963 FBK655482:FBK655499 FBK721018:FBK721035 FBK786554:FBK786571 FBK852090:FBK852107 FBK917626:FBK917643 FBK983162:FBK983179 FLA122:FLA139 FLA65658:FLA65675 FLA131194:FLA131211 FLA196730:FLA196747 FLA262266:FLA262283 FLA327802:FLA327819 FLA393338:FLA393355 FLA458874:FLA458891 FLA524410:FLA524427 FLA589946:FLA589963 FLA655482:FLA655499 FLA721018:FLA721035 FLA786554:FLA786571 FLA852090:FLA852107 FLA917626:FLA917643 FLA983162:FLA983179 FLG122:FLG139 FLG65658:FLG65675 FLG131194:FLG131211 FLG196730:FLG196747 FLG262266:FLG262283 FLG327802:FLG327819 FLG393338:FLG393355 FLG458874:FLG458891 FLG524410:FLG524427 FLG589946:FLG589963 FLG655482:FLG655499 FLG721018:FLG721035 FLG786554:FLG786571 FLG852090:FLG852107 FLG917626:FLG917643 FLG983162:FLG983179 FUW122:FUW139 FUW65658:FUW65675 FUW131194:FUW131211 FUW196730:FUW196747 FUW262266:FUW262283 FUW327802:FUW327819 FUW393338:FUW393355 FUW458874:FUW458891 FUW524410:FUW524427 FUW589946:FUW589963 FUW655482:FUW655499 FUW721018:FUW721035 FUW786554:FUW786571 FUW852090:FUW852107 FUW917626:FUW917643 FUW983162:FUW983179 FVC122:FVC139 FVC65658:FVC65675 FVC131194:FVC131211 FVC196730:FVC196747 FVC262266:FVC262283 FVC327802:FVC327819 FVC393338:FVC393355 FVC458874:FVC458891 FVC524410:FVC524427 FVC589946:FVC589963 FVC655482:FVC655499 FVC721018:FVC721035 FVC786554:FVC786571 FVC852090:FVC852107 FVC917626:FVC917643 FVC983162:FVC983179 GES122:GES139 GES65658:GES65675 GES131194:GES131211 GES196730:GES196747 GES262266:GES262283 GES327802:GES327819 GES393338:GES393355 GES458874:GES458891 GES524410:GES524427 GES589946:GES589963 GES655482:GES655499 GES721018:GES721035 GES786554:GES786571 GES852090:GES852107 GES917626:GES917643 GES983162:GES983179 GEY122:GEY139 GEY65658:GEY65675 GEY131194:GEY131211 GEY196730:GEY196747 GEY262266:GEY262283 GEY327802:GEY327819 GEY393338:GEY393355 GEY458874:GEY458891 GEY524410:GEY524427 GEY589946:GEY589963 GEY655482:GEY655499 GEY721018:GEY721035 GEY786554:GEY786571 GEY852090:GEY852107 GEY917626:GEY917643 GEY983162:GEY983179 GOO122:GOO139 GOO65658:GOO65675 GOO131194:GOO131211 GOO196730:GOO196747 GOO262266:GOO262283 GOO327802:GOO327819 GOO393338:GOO393355 GOO458874:GOO458891 GOO524410:GOO524427 GOO589946:GOO589963 GOO655482:GOO655499 GOO721018:GOO721035 GOO786554:GOO786571 GOO852090:GOO852107 GOO917626:GOO917643 GOO983162:GOO983179 GOU122:GOU139 GOU65658:GOU65675 GOU131194:GOU131211 GOU196730:GOU196747 GOU262266:GOU262283 GOU327802:GOU327819 GOU393338:GOU393355 GOU458874:GOU458891 GOU524410:GOU524427 GOU589946:GOU589963 GOU655482:GOU655499 GOU721018:GOU721035 GOU786554:GOU786571 GOU852090:GOU852107 GOU917626:GOU917643 GOU983162:GOU983179 GYK122:GYK139 GYK65658:GYK65675 GYK131194:GYK131211 GYK196730:GYK196747 GYK262266:GYK262283 GYK327802:GYK327819 GYK393338:GYK393355 GYK458874:GYK458891 GYK524410:GYK524427 GYK589946:GYK589963 GYK655482:GYK655499 GYK721018:GYK721035 GYK786554:GYK786571 GYK852090:GYK852107 GYK917626:GYK917643 GYK983162:GYK983179 GYQ122:GYQ139 GYQ65658:GYQ65675 GYQ131194:GYQ131211 GYQ196730:GYQ196747 GYQ262266:GYQ262283 GYQ327802:GYQ327819 GYQ393338:GYQ393355 GYQ458874:GYQ458891 GYQ524410:GYQ524427 GYQ589946:GYQ589963 GYQ655482:GYQ655499 GYQ721018:GYQ721035 GYQ786554:GYQ786571 GYQ852090:GYQ852107 GYQ917626:GYQ917643 GYQ983162:GYQ983179 HIG122:HIG139 HIG65658:HIG65675 HIG131194:HIG131211 HIG196730:HIG196747 HIG262266:HIG262283 HIG327802:HIG327819 HIG393338:HIG393355 HIG458874:HIG458891 HIG524410:HIG524427 HIG589946:HIG589963 HIG655482:HIG655499 HIG721018:HIG721035 HIG786554:HIG786571 HIG852090:HIG852107 HIG917626:HIG917643 HIG983162:HIG983179 HIM122:HIM139 HIM65658:HIM65675 HIM131194:HIM131211 HIM196730:HIM196747 HIM262266:HIM262283 HIM327802:HIM327819 HIM393338:HIM393355 HIM458874:HIM458891 HIM524410:HIM524427 HIM589946:HIM589963 HIM655482:HIM655499 HIM721018:HIM721035 HIM786554:HIM786571 HIM852090:HIM852107 HIM917626:HIM917643 HIM983162:HIM983179 HSC122:HSC139 HSC65658:HSC65675 HSC131194:HSC131211 HSC196730:HSC196747 HSC262266:HSC262283 HSC327802:HSC327819 HSC393338:HSC393355 HSC458874:HSC458891 HSC524410:HSC524427 HSC589946:HSC589963 HSC655482:HSC655499 HSC721018:HSC721035 HSC786554:HSC786571 HSC852090:HSC852107 HSC917626:HSC917643 HSC983162:HSC983179 HSI122:HSI139 HSI65658:HSI65675 HSI131194:HSI131211 HSI196730:HSI196747 HSI262266:HSI262283 HSI327802:HSI327819 HSI393338:HSI393355 HSI458874:HSI458891 HSI524410:HSI524427 HSI589946:HSI589963 HSI655482:HSI655499 HSI721018:HSI721035 HSI786554:HSI786571 HSI852090:HSI852107 HSI917626:HSI917643 HSI983162:HSI983179 IBY122:IBY139 IBY65658:IBY65675 IBY131194:IBY131211 IBY196730:IBY196747 IBY262266:IBY262283 IBY327802:IBY327819 IBY393338:IBY393355 IBY458874:IBY458891 IBY524410:IBY524427 IBY589946:IBY589963 IBY655482:IBY655499 IBY721018:IBY721035 IBY786554:IBY786571 IBY852090:IBY852107 IBY917626:IBY917643 IBY983162:IBY983179 ICE122:ICE139 ICE65658:ICE65675 ICE131194:ICE131211 ICE196730:ICE196747 ICE262266:ICE262283 ICE327802:ICE327819 ICE393338:ICE393355 ICE458874:ICE458891 ICE524410:ICE524427 ICE589946:ICE589963 ICE655482:ICE655499 ICE721018:ICE721035 ICE786554:ICE786571 ICE852090:ICE852107 ICE917626:ICE917643 ICE983162:ICE983179 ILU122:ILU139 ILU65658:ILU65675 ILU131194:ILU131211 ILU196730:ILU196747 ILU262266:ILU262283 ILU327802:ILU327819 ILU393338:ILU393355 ILU458874:ILU458891 ILU524410:ILU524427 ILU589946:ILU589963 ILU655482:ILU655499 ILU721018:ILU721035 ILU786554:ILU786571 ILU852090:ILU852107 ILU917626:ILU917643 ILU983162:ILU983179 IMA122:IMA139 IMA65658:IMA65675 IMA131194:IMA131211 IMA196730:IMA196747 IMA262266:IMA262283 IMA327802:IMA327819 IMA393338:IMA393355 IMA458874:IMA458891 IMA524410:IMA524427 IMA589946:IMA589963 IMA655482:IMA655499 IMA721018:IMA721035 IMA786554:IMA786571 IMA852090:IMA852107 IMA917626:IMA917643 IMA983162:IMA983179 IVQ122:IVQ139 IVQ65658:IVQ65675 IVQ131194:IVQ131211 IVQ196730:IVQ196747 IVQ262266:IVQ262283 IVQ327802:IVQ327819 IVQ393338:IVQ393355 IVQ458874:IVQ458891 IVQ524410:IVQ524427 IVQ589946:IVQ589963 IVQ655482:IVQ655499 IVQ721018:IVQ721035 IVQ786554:IVQ786571 IVQ852090:IVQ852107 IVQ917626:IVQ917643 IVQ983162:IVQ983179 IVW122:IVW139 IVW65658:IVW65675 IVW131194:IVW131211 IVW196730:IVW196747 IVW262266:IVW262283 IVW327802:IVW327819 IVW393338:IVW393355 IVW458874:IVW458891 IVW524410:IVW524427 IVW589946:IVW589963 IVW655482:IVW655499 IVW721018:IVW721035 IVW786554:IVW786571 IVW852090:IVW852107 IVW917626:IVW917643 IVW983162:IVW983179 JFM122:JFM139 JFM65658:JFM65675 JFM131194:JFM131211 JFM196730:JFM196747 JFM262266:JFM262283 JFM327802:JFM327819 JFM393338:JFM393355 JFM458874:JFM458891 JFM524410:JFM524427 JFM589946:JFM589963 JFM655482:JFM655499 JFM721018:JFM721035 JFM786554:JFM786571 JFM852090:JFM852107 JFM917626:JFM917643 JFM983162:JFM983179 JFS122:JFS139 JFS65658:JFS65675 JFS131194:JFS131211 JFS196730:JFS196747 JFS262266:JFS262283 JFS327802:JFS327819 JFS393338:JFS393355 JFS458874:JFS458891 JFS524410:JFS524427 JFS589946:JFS589963 JFS655482:JFS655499 JFS721018:JFS721035 JFS786554:JFS786571 JFS852090:JFS852107 JFS917626:JFS917643 JFS983162:JFS983179 JPI122:JPI139 JPI65658:JPI65675 JPI131194:JPI131211 JPI196730:JPI196747 JPI262266:JPI262283 JPI327802:JPI327819 JPI393338:JPI393355 JPI458874:JPI458891 JPI524410:JPI524427 JPI589946:JPI589963 JPI655482:JPI655499 JPI721018:JPI721035 JPI786554:JPI786571 JPI852090:JPI852107 JPI917626:JPI917643 JPI983162:JPI983179 JPO122:JPO139 JPO65658:JPO65675 JPO131194:JPO131211 JPO196730:JPO196747 JPO262266:JPO262283 JPO327802:JPO327819 JPO393338:JPO393355 JPO458874:JPO458891 JPO524410:JPO524427 JPO589946:JPO589963 JPO655482:JPO655499 JPO721018:JPO721035 JPO786554:JPO786571 JPO852090:JPO852107 JPO917626:JPO917643 JPO983162:JPO983179 JZE122:JZE139 JZE65658:JZE65675 JZE131194:JZE131211 JZE196730:JZE196747 JZE262266:JZE262283 JZE327802:JZE327819 JZE393338:JZE393355 JZE458874:JZE458891 JZE524410:JZE524427 JZE589946:JZE589963 JZE655482:JZE655499 JZE721018:JZE721035 JZE786554:JZE786571 JZE852090:JZE852107 JZE917626:JZE917643 JZE983162:JZE983179 JZK122:JZK139 JZK65658:JZK65675 JZK131194:JZK131211 JZK196730:JZK196747 JZK262266:JZK262283 JZK327802:JZK327819 JZK393338:JZK393355 JZK458874:JZK458891 JZK524410:JZK524427 JZK589946:JZK589963 JZK655482:JZK655499 JZK721018:JZK721035 JZK786554:JZK786571 JZK852090:JZK852107 JZK917626:JZK917643 JZK983162:JZK983179 KJA122:KJA139 KJA65658:KJA65675 KJA131194:KJA131211 KJA196730:KJA196747 KJA262266:KJA262283 KJA327802:KJA327819 KJA393338:KJA393355 KJA458874:KJA458891 KJA524410:KJA524427 KJA589946:KJA589963 KJA655482:KJA655499 KJA721018:KJA721035 KJA786554:KJA786571 KJA852090:KJA852107 KJA917626:KJA917643 KJA983162:KJA983179 KJG122:KJG139 KJG65658:KJG65675 KJG131194:KJG131211 KJG196730:KJG196747 KJG262266:KJG262283 KJG327802:KJG327819 KJG393338:KJG393355 KJG458874:KJG458891 KJG524410:KJG524427 KJG589946:KJG589963 KJG655482:KJG655499 KJG721018:KJG721035 KJG786554:KJG786571 KJG852090:KJG852107 KJG917626:KJG917643 KJG983162:KJG983179 KSW122:KSW139 KSW65658:KSW65675 KSW131194:KSW131211 KSW196730:KSW196747 KSW262266:KSW262283 KSW327802:KSW327819 KSW393338:KSW393355 KSW458874:KSW458891 KSW524410:KSW524427 KSW589946:KSW589963 KSW655482:KSW655499 KSW721018:KSW721035 KSW786554:KSW786571 KSW852090:KSW852107 KSW917626:KSW917643 KSW983162:KSW983179 KTC122:KTC139 KTC65658:KTC65675 KTC131194:KTC131211 KTC196730:KTC196747 KTC262266:KTC262283 KTC327802:KTC327819 KTC393338:KTC393355 KTC458874:KTC458891 KTC524410:KTC524427 KTC589946:KTC589963 KTC655482:KTC655499 KTC721018:KTC721035 KTC786554:KTC786571 KTC852090:KTC852107 KTC917626:KTC917643 KTC983162:KTC983179 LCS122:LCS139 LCS65658:LCS65675 LCS131194:LCS131211 LCS196730:LCS196747 LCS262266:LCS262283 LCS327802:LCS327819 LCS393338:LCS393355 LCS458874:LCS458891 LCS524410:LCS524427 LCS589946:LCS589963 LCS655482:LCS655499 LCS721018:LCS721035 LCS786554:LCS786571 LCS852090:LCS852107 LCS917626:LCS917643 LCS983162:LCS983179 LCY122:LCY139 LCY65658:LCY65675 LCY131194:LCY131211 LCY196730:LCY196747 LCY262266:LCY262283 LCY327802:LCY327819 LCY393338:LCY393355 LCY458874:LCY458891 LCY524410:LCY524427 LCY589946:LCY589963 LCY655482:LCY655499 LCY721018:LCY721035 LCY786554:LCY786571 LCY852090:LCY852107 LCY917626:LCY917643 LCY983162:LCY983179 LMO122:LMO139 LMO65658:LMO65675 LMO131194:LMO131211 LMO196730:LMO196747 LMO262266:LMO262283 LMO327802:LMO327819 LMO393338:LMO393355 LMO458874:LMO458891 LMO524410:LMO524427 LMO589946:LMO589963 LMO655482:LMO655499 LMO721018:LMO721035 LMO786554:LMO786571 LMO852090:LMO852107 LMO917626:LMO917643 LMO983162:LMO983179 LMU122:LMU139 LMU65658:LMU65675 LMU131194:LMU131211 LMU196730:LMU196747 LMU262266:LMU262283 LMU327802:LMU327819 LMU393338:LMU393355 LMU458874:LMU458891 LMU524410:LMU524427 LMU589946:LMU589963 LMU655482:LMU655499 LMU721018:LMU721035 LMU786554:LMU786571 LMU852090:LMU852107 LMU917626:LMU917643 LMU983162:LMU983179 LWK122:LWK139 LWK65658:LWK65675 LWK131194:LWK131211 LWK196730:LWK196747 LWK262266:LWK262283 LWK327802:LWK327819 LWK393338:LWK393355 LWK458874:LWK458891 LWK524410:LWK524427 LWK589946:LWK589963 LWK655482:LWK655499 LWK721018:LWK721035 LWK786554:LWK786571 LWK852090:LWK852107 LWK917626:LWK917643 LWK983162:LWK983179 LWQ122:LWQ139 LWQ65658:LWQ65675 LWQ131194:LWQ131211 LWQ196730:LWQ196747 LWQ262266:LWQ262283 LWQ327802:LWQ327819 LWQ393338:LWQ393355 LWQ458874:LWQ458891 LWQ524410:LWQ524427 LWQ589946:LWQ589963 LWQ655482:LWQ655499 LWQ721018:LWQ721035 LWQ786554:LWQ786571 LWQ852090:LWQ852107 LWQ917626:LWQ917643 LWQ983162:LWQ983179 MGG122:MGG139 MGG65658:MGG65675 MGG131194:MGG131211 MGG196730:MGG196747 MGG262266:MGG262283 MGG327802:MGG327819 MGG393338:MGG393355 MGG458874:MGG458891 MGG524410:MGG524427 MGG589946:MGG589963 MGG655482:MGG655499 MGG721018:MGG721035 MGG786554:MGG786571 MGG852090:MGG852107 MGG917626:MGG917643 MGG983162:MGG983179 MGM122:MGM139 MGM65658:MGM65675 MGM131194:MGM131211 MGM196730:MGM196747 MGM262266:MGM262283 MGM327802:MGM327819 MGM393338:MGM393355 MGM458874:MGM458891 MGM524410:MGM524427 MGM589946:MGM589963 MGM655482:MGM655499 MGM721018:MGM721035 MGM786554:MGM786571 MGM852090:MGM852107 MGM917626:MGM917643 MGM983162:MGM983179 MQC122:MQC139 MQC65658:MQC65675 MQC131194:MQC131211 MQC196730:MQC196747 MQC262266:MQC262283 MQC327802:MQC327819 MQC393338:MQC393355 MQC458874:MQC458891 MQC524410:MQC524427 MQC589946:MQC589963 MQC655482:MQC655499 MQC721018:MQC721035 MQC786554:MQC786571 MQC852090:MQC852107 MQC917626:MQC917643 MQC983162:MQC983179 MQI122:MQI139 MQI65658:MQI65675 MQI131194:MQI131211 MQI196730:MQI196747 MQI262266:MQI262283 MQI327802:MQI327819 MQI393338:MQI393355 MQI458874:MQI458891 MQI524410:MQI524427 MQI589946:MQI589963 MQI655482:MQI655499 MQI721018:MQI721035 MQI786554:MQI786571 MQI852090:MQI852107 MQI917626:MQI917643 MQI983162:MQI983179 MZY122:MZY139 MZY65658:MZY65675 MZY131194:MZY131211 MZY196730:MZY196747 MZY262266:MZY262283 MZY327802:MZY327819 MZY393338:MZY393355 MZY458874:MZY458891 MZY524410:MZY524427 MZY589946:MZY589963 MZY655482:MZY655499 MZY721018:MZY721035 MZY786554:MZY786571 MZY852090:MZY852107 MZY917626:MZY917643 MZY983162:MZY983179 NAE122:NAE139 NAE65658:NAE65675 NAE131194:NAE131211 NAE196730:NAE196747 NAE262266:NAE262283 NAE327802:NAE327819 NAE393338:NAE393355 NAE458874:NAE458891 NAE524410:NAE524427 NAE589946:NAE589963 NAE655482:NAE655499 NAE721018:NAE721035 NAE786554:NAE786571 NAE852090:NAE852107 NAE917626:NAE917643 NAE983162:NAE983179 NJU122:NJU139 NJU65658:NJU65675 NJU131194:NJU131211 NJU196730:NJU196747 NJU262266:NJU262283 NJU327802:NJU327819 NJU393338:NJU393355 NJU458874:NJU458891 NJU524410:NJU524427 NJU589946:NJU589963 NJU655482:NJU655499 NJU721018:NJU721035 NJU786554:NJU786571 NJU852090:NJU852107 NJU917626:NJU917643 NJU983162:NJU983179 NKA122:NKA139 NKA65658:NKA65675 NKA131194:NKA131211 NKA196730:NKA196747 NKA262266:NKA262283 NKA327802:NKA327819 NKA393338:NKA393355 NKA458874:NKA458891 NKA524410:NKA524427 NKA589946:NKA589963 NKA655482:NKA655499 NKA721018:NKA721035 NKA786554:NKA786571 NKA852090:NKA852107 NKA917626:NKA917643 NKA983162:NKA983179 NTQ122:NTQ139 NTQ65658:NTQ65675 NTQ131194:NTQ131211 NTQ196730:NTQ196747 NTQ262266:NTQ262283 NTQ327802:NTQ327819 NTQ393338:NTQ393355 NTQ458874:NTQ458891 NTQ524410:NTQ524427 NTQ589946:NTQ589963 NTQ655482:NTQ655499 NTQ721018:NTQ721035 NTQ786554:NTQ786571 NTQ852090:NTQ852107 NTQ917626:NTQ917643 NTQ983162:NTQ983179 NTW122:NTW139 NTW65658:NTW65675 NTW131194:NTW131211 NTW196730:NTW196747 NTW262266:NTW262283 NTW327802:NTW327819 NTW393338:NTW393355 NTW458874:NTW458891 NTW524410:NTW524427 NTW589946:NTW589963 NTW655482:NTW655499 NTW721018:NTW721035 NTW786554:NTW786571 NTW852090:NTW852107 NTW917626:NTW917643 NTW983162:NTW983179 ODM122:ODM139 ODM65658:ODM65675 ODM131194:ODM131211 ODM196730:ODM196747 ODM262266:ODM262283 ODM327802:ODM327819 ODM393338:ODM393355 ODM458874:ODM458891 ODM524410:ODM524427 ODM589946:ODM589963 ODM655482:ODM655499 ODM721018:ODM721035 ODM786554:ODM786571 ODM852090:ODM852107 ODM917626:ODM917643 ODM983162:ODM983179 ODS122:ODS139 ODS65658:ODS65675 ODS131194:ODS131211 ODS196730:ODS196747 ODS262266:ODS262283 ODS327802:ODS327819 ODS393338:ODS393355 ODS458874:ODS458891 ODS524410:ODS524427 ODS589946:ODS589963 ODS655482:ODS655499 ODS721018:ODS721035 ODS786554:ODS786571 ODS852090:ODS852107 ODS917626:ODS917643 ODS983162:ODS983179 ONI122:ONI139 ONI65658:ONI65675 ONI131194:ONI131211 ONI196730:ONI196747 ONI262266:ONI262283 ONI327802:ONI327819 ONI393338:ONI393355 ONI458874:ONI458891 ONI524410:ONI524427 ONI589946:ONI589963 ONI655482:ONI655499 ONI721018:ONI721035 ONI786554:ONI786571 ONI852090:ONI852107 ONI917626:ONI917643 ONI983162:ONI983179 ONO122:ONO139 ONO65658:ONO65675 ONO131194:ONO131211 ONO196730:ONO196747 ONO262266:ONO262283 ONO327802:ONO327819 ONO393338:ONO393355 ONO458874:ONO458891 ONO524410:ONO524427 ONO589946:ONO589963 ONO655482:ONO655499 ONO721018:ONO721035 ONO786554:ONO786571 ONO852090:ONO852107 ONO917626:ONO917643 ONO983162:ONO983179 OXE122:OXE139 OXE65658:OXE65675 OXE131194:OXE131211 OXE196730:OXE196747 OXE262266:OXE262283 OXE327802:OXE327819 OXE393338:OXE393355 OXE458874:OXE458891 OXE524410:OXE524427 OXE589946:OXE589963 OXE655482:OXE655499 OXE721018:OXE721035 OXE786554:OXE786571 OXE852090:OXE852107 OXE917626:OXE917643 OXE983162:OXE983179 OXK122:OXK139 OXK65658:OXK65675 OXK131194:OXK131211 OXK196730:OXK196747 OXK262266:OXK262283 OXK327802:OXK327819 OXK393338:OXK393355 OXK458874:OXK458891 OXK524410:OXK524427 OXK589946:OXK589963 OXK655482:OXK655499 OXK721018:OXK721035 OXK786554:OXK786571 OXK852090:OXK852107 OXK917626:OXK917643 OXK983162:OXK983179 PHA122:PHA139 PHA65658:PHA65675 PHA131194:PHA131211 PHA196730:PHA196747 PHA262266:PHA262283 PHA327802:PHA327819 PHA393338:PHA393355 PHA458874:PHA458891 PHA524410:PHA524427 PHA589946:PHA589963 PHA655482:PHA655499 PHA721018:PHA721035 PHA786554:PHA786571 PHA852090:PHA852107 PHA917626:PHA917643 PHA983162:PHA983179 PHG122:PHG139 PHG65658:PHG65675 PHG131194:PHG131211 PHG196730:PHG196747 PHG262266:PHG262283 PHG327802:PHG327819 PHG393338:PHG393355 PHG458874:PHG458891 PHG524410:PHG524427 PHG589946:PHG589963 PHG655482:PHG655499 PHG721018:PHG721035 PHG786554:PHG786571 PHG852090:PHG852107 PHG917626:PHG917643 PHG983162:PHG983179 PQW122:PQW139 PQW65658:PQW65675 PQW131194:PQW131211 PQW196730:PQW196747 PQW262266:PQW262283 PQW327802:PQW327819 PQW393338:PQW393355 PQW458874:PQW458891 PQW524410:PQW524427 PQW589946:PQW589963 PQW655482:PQW655499 PQW721018:PQW721035 PQW786554:PQW786571 PQW852090:PQW852107 PQW917626:PQW917643 PQW983162:PQW983179 PRC122:PRC139 PRC65658:PRC65675 PRC131194:PRC131211 PRC196730:PRC196747 PRC262266:PRC262283 PRC327802:PRC327819 PRC393338:PRC393355 PRC458874:PRC458891 PRC524410:PRC524427 PRC589946:PRC589963 PRC655482:PRC655499 PRC721018:PRC721035 PRC786554:PRC786571 PRC852090:PRC852107 PRC917626:PRC917643 PRC983162:PRC983179 QAS122:QAS139 QAS65658:QAS65675 QAS131194:QAS131211 QAS196730:QAS196747 QAS262266:QAS262283 QAS327802:QAS327819 QAS393338:QAS393355 QAS458874:QAS458891 QAS524410:QAS524427 QAS589946:QAS589963 QAS655482:QAS655499 QAS721018:QAS721035 QAS786554:QAS786571 QAS852090:QAS852107 QAS917626:QAS917643 QAS983162:QAS983179 QAY122:QAY139 QAY65658:QAY65675 QAY131194:QAY131211 QAY196730:QAY196747 QAY262266:QAY262283 QAY327802:QAY327819 QAY393338:QAY393355 QAY458874:QAY458891 QAY524410:QAY524427 QAY589946:QAY589963 QAY655482:QAY655499 QAY721018:QAY721035 QAY786554:QAY786571 QAY852090:QAY852107 QAY917626:QAY917643 QAY983162:QAY983179 QKO122:QKO139 QKO65658:QKO65675 QKO131194:QKO131211 QKO196730:QKO196747 QKO262266:QKO262283 QKO327802:QKO327819 QKO393338:QKO393355 QKO458874:QKO458891 QKO524410:QKO524427 QKO589946:QKO589963 QKO655482:QKO655499 QKO721018:QKO721035 QKO786554:QKO786571 QKO852090:QKO852107 QKO917626:QKO917643 QKO983162:QKO983179 QKU122:QKU139 QKU65658:QKU65675 QKU131194:QKU131211 QKU196730:QKU196747 QKU262266:QKU262283 QKU327802:QKU327819 QKU393338:QKU393355 QKU458874:QKU458891 QKU524410:QKU524427 QKU589946:QKU589963 QKU655482:QKU655499 QKU721018:QKU721035 QKU786554:QKU786571 QKU852090:QKU852107 QKU917626:QKU917643 QKU983162:QKU983179 QUK122:QUK139 QUK65658:QUK65675 QUK131194:QUK131211 QUK196730:QUK196747 QUK262266:QUK262283 QUK327802:QUK327819 QUK393338:QUK393355 QUK458874:QUK458891 QUK524410:QUK524427 QUK589946:QUK589963 QUK655482:QUK655499 QUK721018:QUK721035 QUK786554:QUK786571 QUK852090:QUK852107 QUK917626:QUK917643 QUK983162:QUK983179 QUQ122:QUQ139 QUQ65658:QUQ65675 QUQ131194:QUQ131211 QUQ196730:QUQ196747 QUQ262266:QUQ262283 QUQ327802:QUQ327819 QUQ393338:QUQ393355 QUQ458874:QUQ458891 QUQ524410:QUQ524427 QUQ589946:QUQ589963 QUQ655482:QUQ655499 QUQ721018:QUQ721035 QUQ786554:QUQ786571 QUQ852090:QUQ852107 QUQ917626:QUQ917643 QUQ983162:QUQ983179 REG122:REG139 REG65658:REG65675 REG131194:REG131211 REG196730:REG196747 REG262266:REG262283 REG327802:REG327819 REG393338:REG393355 REG458874:REG458891 REG524410:REG524427 REG589946:REG589963 REG655482:REG655499 REG721018:REG721035 REG786554:REG786571 REG852090:REG852107 REG917626:REG917643 REG983162:REG983179 REM122:REM139 REM65658:REM65675 REM131194:REM131211 REM196730:REM196747 REM262266:REM262283 REM327802:REM327819 REM393338:REM393355 REM458874:REM458891 REM524410:REM524427 REM589946:REM589963 REM655482:REM655499 REM721018:REM721035 REM786554:REM786571 REM852090:REM852107 REM917626:REM917643 REM983162:REM983179 ROC122:ROC139 ROC65658:ROC65675 ROC131194:ROC131211 ROC196730:ROC196747 ROC262266:ROC262283 ROC327802:ROC327819 ROC393338:ROC393355 ROC458874:ROC458891 ROC524410:ROC524427 ROC589946:ROC589963 ROC655482:ROC655499 ROC721018:ROC721035 ROC786554:ROC786571 ROC852090:ROC852107 ROC917626:ROC917643 ROC983162:ROC983179 ROI122:ROI139 ROI65658:ROI65675 ROI131194:ROI131211 ROI196730:ROI196747 ROI262266:ROI262283 ROI327802:ROI327819 ROI393338:ROI393355 ROI458874:ROI458891 ROI524410:ROI524427 ROI589946:ROI589963 ROI655482:ROI655499 ROI721018:ROI721035 ROI786554:ROI786571 ROI852090:ROI852107 ROI917626:ROI917643 ROI983162:ROI983179 RXY122:RXY139 RXY65658:RXY65675 RXY131194:RXY131211 RXY196730:RXY196747 RXY262266:RXY262283 RXY327802:RXY327819 RXY393338:RXY393355 RXY458874:RXY458891 RXY524410:RXY524427 RXY589946:RXY589963 RXY655482:RXY655499 RXY721018:RXY721035 RXY786554:RXY786571 RXY852090:RXY852107 RXY917626:RXY917643 RXY983162:RXY983179 RYE122:RYE139 RYE65658:RYE65675 RYE131194:RYE131211 RYE196730:RYE196747 RYE262266:RYE262283 RYE327802:RYE327819 RYE393338:RYE393355 RYE458874:RYE458891 RYE524410:RYE524427 RYE589946:RYE589963 RYE655482:RYE655499 RYE721018:RYE721035 RYE786554:RYE786571 RYE852090:RYE852107 RYE917626:RYE917643 RYE983162:RYE983179 SHU122:SHU139 SHU65658:SHU65675 SHU131194:SHU131211 SHU196730:SHU196747 SHU262266:SHU262283 SHU327802:SHU327819 SHU393338:SHU393355 SHU458874:SHU458891 SHU524410:SHU524427 SHU589946:SHU589963 SHU655482:SHU655499 SHU721018:SHU721035 SHU786554:SHU786571 SHU852090:SHU852107 SHU917626:SHU917643 SHU983162:SHU983179 SIA122:SIA139 SIA65658:SIA65675 SIA131194:SIA131211 SIA196730:SIA196747 SIA262266:SIA262283 SIA327802:SIA327819 SIA393338:SIA393355 SIA458874:SIA458891 SIA524410:SIA524427 SIA589946:SIA589963 SIA655482:SIA655499 SIA721018:SIA721035 SIA786554:SIA786571 SIA852090:SIA852107 SIA917626:SIA917643 SIA983162:SIA983179 SRQ122:SRQ139 SRQ65658:SRQ65675 SRQ131194:SRQ131211 SRQ196730:SRQ196747 SRQ262266:SRQ262283 SRQ327802:SRQ327819 SRQ393338:SRQ393355 SRQ458874:SRQ458891 SRQ524410:SRQ524427 SRQ589946:SRQ589963 SRQ655482:SRQ655499 SRQ721018:SRQ721035 SRQ786554:SRQ786571 SRQ852090:SRQ852107 SRQ917626:SRQ917643 SRQ983162:SRQ983179 SRW122:SRW139 SRW65658:SRW65675 SRW131194:SRW131211 SRW196730:SRW196747 SRW262266:SRW262283 SRW327802:SRW327819 SRW393338:SRW393355 SRW458874:SRW458891 SRW524410:SRW524427 SRW589946:SRW589963 SRW655482:SRW655499 SRW721018:SRW721035 SRW786554:SRW786571 SRW852090:SRW852107 SRW917626:SRW917643 SRW983162:SRW983179 TBM122:TBM139 TBM65658:TBM65675 TBM131194:TBM131211 TBM196730:TBM196747 TBM262266:TBM262283 TBM327802:TBM327819 TBM393338:TBM393355 TBM458874:TBM458891 TBM524410:TBM524427 TBM589946:TBM589963 TBM655482:TBM655499 TBM721018:TBM721035 TBM786554:TBM786571 TBM852090:TBM852107 TBM917626:TBM917643 TBM983162:TBM983179 TBS122:TBS139 TBS65658:TBS65675 TBS131194:TBS131211 TBS196730:TBS196747 TBS262266:TBS262283 TBS327802:TBS327819 TBS393338:TBS393355 TBS458874:TBS458891 TBS524410:TBS524427 TBS589946:TBS589963 TBS655482:TBS655499 TBS721018:TBS721035 TBS786554:TBS786571 TBS852090:TBS852107 TBS917626:TBS917643 TBS983162:TBS983179 TLI122:TLI139 TLI65658:TLI65675 TLI131194:TLI131211 TLI196730:TLI196747 TLI262266:TLI262283 TLI327802:TLI327819 TLI393338:TLI393355 TLI458874:TLI458891 TLI524410:TLI524427 TLI589946:TLI589963 TLI655482:TLI655499 TLI721018:TLI721035 TLI786554:TLI786571 TLI852090:TLI852107 TLI917626:TLI917643 TLI983162:TLI983179 TLO122:TLO139 TLO65658:TLO65675 TLO131194:TLO131211 TLO196730:TLO196747 TLO262266:TLO262283 TLO327802:TLO327819 TLO393338:TLO393355 TLO458874:TLO458891 TLO524410:TLO524427 TLO589946:TLO589963 TLO655482:TLO655499 TLO721018:TLO721035 TLO786554:TLO786571 TLO852090:TLO852107 TLO917626:TLO917643 TLO983162:TLO983179 TVE122:TVE139 TVE65658:TVE65675 TVE131194:TVE131211 TVE196730:TVE196747 TVE262266:TVE262283 TVE327802:TVE327819 TVE393338:TVE393355 TVE458874:TVE458891 TVE524410:TVE524427 TVE589946:TVE589963 TVE655482:TVE655499 TVE721018:TVE721035 TVE786554:TVE786571 TVE852090:TVE852107 TVE917626:TVE917643 TVE983162:TVE983179 TVK122:TVK139 TVK65658:TVK65675 TVK131194:TVK131211 TVK196730:TVK196747 TVK262266:TVK262283 TVK327802:TVK327819 TVK393338:TVK393355 TVK458874:TVK458891 TVK524410:TVK524427 TVK589946:TVK589963 TVK655482:TVK655499 TVK721018:TVK721035 TVK786554:TVK786571 TVK852090:TVK852107 TVK917626:TVK917643 TVK983162:TVK983179 UFA122:UFA139 UFA65658:UFA65675 UFA131194:UFA131211 UFA196730:UFA196747 UFA262266:UFA262283 UFA327802:UFA327819 UFA393338:UFA393355 UFA458874:UFA458891 UFA524410:UFA524427 UFA589946:UFA589963 UFA655482:UFA655499 UFA721018:UFA721035 UFA786554:UFA786571 UFA852090:UFA852107 UFA917626:UFA917643 UFA983162:UFA983179 UFG122:UFG139 UFG65658:UFG65675 UFG131194:UFG131211 UFG196730:UFG196747 UFG262266:UFG262283 UFG327802:UFG327819 UFG393338:UFG393355 UFG458874:UFG458891 UFG524410:UFG524427 UFG589946:UFG589963 UFG655482:UFG655499 UFG721018:UFG721035 UFG786554:UFG786571 UFG852090:UFG852107 UFG917626:UFG917643 UFG983162:UFG983179 UOW122:UOW139 UOW65658:UOW65675 UOW131194:UOW131211 UOW196730:UOW196747 UOW262266:UOW262283 UOW327802:UOW327819 UOW393338:UOW393355 UOW458874:UOW458891 UOW524410:UOW524427 UOW589946:UOW589963 UOW655482:UOW655499 UOW721018:UOW721035 UOW786554:UOW786571 UOW852090:UOW852107 UOW917626:UOW917643 UOW983162:UOW983179 UPC122:UPC139 UPC65658:UPC65675 UPC131194:UPC131211 UPC196730:UPC196747 UPC262266:UPC262283 UPC327802:UPC327819 UPC393338:UPC393355 UPC458874:UPC458891 UPC524410:UPC524427 UPC589946:UPC589963 UPC655482:UPC655499 UPC721018:UPC721035 UPC786554:UPC786571 UPC852090:UPC852107 UPC917626:UPC917643 UPC983162:UPC983179 UYS122:UYS139 UYS65658:UYS65675 UYS131194:UYS131211 UYS196730:UYS196747 UYS262266:UYS262283 UYS327802:UYS327819 UYS393338:UYS393355 UYS458874:UYS458891 UYS524410:UYS524427 UYS589946:UYS589963 UYS655482:UYS655499 UYS721018:UYS721035 UYS786554:UYS786571 UYS852090:UYS852107 UYS917626:UYS917643 UYS983162:UYS983179 UYY122:UYY139 UYY65658:UYY65675 UYY131194:UYY131211 UYY196730:UYY196747 UYY262266:UYY262283 UYY327802:UYY327819 UYY393338:UYY393355 UYY458874:UYY458891 UYY524410:UYY524427 UYY589946:UYY589963 UYY655482:UYY655499 UYY721018:UYY721035 UYY786554:UYY786571 UYY852090:UYY852107 UYY917626:UYY917643 UYY983162:UYY983179 VIO122:VIO139 VIO65658:VIO65675 VIO131194:VIO131211 VIO196730:VIO196747 VIO262266:VIO262283 VIO327802:VIO327819 VIO393338:VIO393355 VIO458874:VIO458891 VIO524410:VIO524427 VIO589946:VIO589963 VIO655482:VIO655499 VIO721018:VIO721035 VIO786554:VIO786571 VIO852090:VIO852107 VIO917626:VIO917643 VIO983162:VIO983179 VIU122:VIU139 VIU65658:VIU65675 VIU131194:VIU131211 VIU196730:VIU196747 VIU262266:VIU262283 VIU327802:VIU327819 VIU393338:VIU393355 VIU458874:VIU458891 VIU524410:VIU524427 VIU589946:VIU589963 VIU655482:VIU655499 VIU721018:VIU721035 VIU786554:VIU786571 VIU852090:VIU852107 VIU917626:VIU917643 VIU983162:VIU983179 VSK122:VSK139 VSK65658:VSK65675 VSK131194:VSK131211 VSK196730:VSK196747 VSK262266:VSK262283 VSK327802:VSK327819 VSK393338:VSK393355 VSK458874:VSK458891 VSK524410:VSK524427 VSK589946:VSK589963 VSK655482:VSK655499 VSK721018:VSK721035 VSK786554:VSK786571 VSK852090:VSK852107 VSK917626:VSK917643 VSK983162:VSK983179 VSQ122:VSQ139 VSQ65658:VSQ65675 VSQ131194:VSQ131211 VSQ196730:VSQ196747 VSQ262266:VSQ262283 VSQ327802:VSQ327819 VSQ393338:VSQ393355 VSQ458874:VSQ458891 VSQ524410:VSQ524427 VSQ589946:VSQ589963 VSQ655482:VSQ655499 VSQ721018:VSQ721035 VSQ786554:VSQ786571 VSQ852090:VSQ852107 VSQ917626:VSQ917643 VSQ983162:VSQ983179 WCG122:WCG139 WCG65658:WCG65675 WCG131194:WCG131211 WCG196730:WCG196747 WCG262266:WCG262283 WCG327802:WCG327819 WCG393338:WCG393355 WCG458874:WCG458891 WCG524410:WCG524427 WCG589946:WCG589963 WCG655482:WCG655499 WCG721018:WCG721035 WCG786554:WCG786571 WCG852090:WCG852107 WCG917626:WCG917643 WCG983162:WCG983179 WCM122:WCM139 WCM65658:WCM65675 WCM131194:WCM131211 WCM196730:WCM196747 WCM262266:WCM262283 WCM327802:WCM327819 WCM393338:WCM393355 WCM458874:WCM458891 WCM524410:WCM524427 WCM589946:WCM589963 WCM655482:WCM655499 WCM721018:WCM721035 WCM786554:WCM786571 WCM852090:WCM852107 WCM917626:WCM917643 WCM983162:WCM983179 WMC122:WMC139 WMC65658:WMC65675 WMC131194:WMC131211 WMC196730:WMC196747 WMC262266:WMC262283 WMC327802:WMC327819 WMC393338:WMC393355 WMC458874:WMC458891 WMC524410:WMC524427 WMC589946:WMC589963 WMC655482:WMC655499 WMC721018:WMC721035 WMC786554:WMC786571 WMC852090:WMC852107 WMC917626:WMC917643 WMC983162:WMC983179 WMI122:WMI139 WMI65658:WMI65675 WMI131194:WMI131211 WMI196730:WMI196747 WMI262266:WMI262283 WMI327802:WMI327819 WMI393338:WMI393355 WMI458874:WMI458891 WMI524410:WMI524427 WMI589946:WMI589963 WMI655482:WMI655499 WMI721018:WMI721035 WMI786554:WMI786571 WMI852090:WMI852107 WMI917626:WMI917643 WMI983162:WMI983179 WVY122:WVY139 WVY65658:WVY65675 WVY131194:WVY131211 WVY196730:WVY196747 WVY262266:WVY262283 WVY327802:WVY327819 WVY393338:WVY393355 WVY458874:WVY458891 WVY524410:WVY524427 WVY589946:WVY589963 WVY655482:WVY655499 WVY721018:WVY721035 WVY786554:WVY786571 WVY852090:WVY852107 WVY917626:WVY917643 WVY983162:WVY983179 WWE122:WWE139 WWE65658:WWE65675 WWE131194:WWE131211 WWE196730:WWE196747 WWE262266:WWE262283 WWE327802:WWE327819 WWE393338:WWE393355 WWE458874:WWE458891 WWE524410:WWE524427 WWE589946:WWE589963 WWE655482:WWE655499 WWE721018:WWE721035 WWE786554:WWE786571 WWE852090:WWE852107 WWE917626:WWE917643 WWE983162:WWE983179">
      <formula1>"I,U"</formula1>
    </dataValidation>
    <dataValidation type="list" allowBlank="1" showInputMessage="1" showErrorMessage="1" sqref="Y142:Z144 JU142:JV144 TQ142:TR144 ADM142:ADN144 ANI142:ANJ144 AXE142:AXF144 BHA142:BHB144 BQW142:BQX144 CAS142:CAT144 CKO142:CKP144 CUK142:CUL144 DEG142:DEH144 DOC142:DOD144 DXY142:DXZ144 EHU142:EHV144 ERQ142:ERR144 FBM142:FBN144 FLI142:FLJ144 FVE142:FVF144 GFA142:GFB144 GOW142:GOX144 GYS142:GYT144 HIO142:HIP144 HSK142:HSL144 ICG142:ICH144 IMC142:IMD144 IVY142:IVZ144 JFU142:JFV144 JPQ142:JPR144 JZM142:JZN144 KJI142:KJJ144 KTE142:KTF144 LDA142:LDB144 LMW142:LMX144 LWS142:LWT144 MGO142:MGP144 MQK142:MQL144 NAG142:NAH144 NKC142:NKD144 NTY142:NTZ144 ODU142:ODV144 ONQ142:ONR144 OXM142:OXN144 PHI142:PHJ144 PRE142:PRF144 QBA142:QBB144 QKW142:QKX144 QUS142:QUT144 REO142:REP144 ROK142:ROL144 RYG142:RYH144 SIC142:SID144 SRY142:SRZ144 TBU142:TBV144 TLQ142:TLR144 TVM142:TVN144 UFI142:UFJ144 UPE142:UPF144 UZA142:UZB144 VIW142:VIX144 VSS142:VST144 WCO142:WCP144 WMK142:WML144 WWG142:WWH144 Y196750:Z196752 JU196750:JV196752 TQ196750:TR196752 ADM196750:ADN196752 ANI196750:ANJ196752 AXE196750:AXF196752 BHA196750:BHB196752 BQW196750:BQX196752 CAS196750:CAT196752 CKO196750:CKP196752 CUK196750:CUL196752 DEG196750:DEH196752 DOC196750:DOD196752 DXY196750:DXZ196752 EHU196750:EHV196752 ERQ196750:ERR196752 FBM196750:FBN196752 FLI196750:FLJ196752 FVE196750:FVF196752 GFA196750:GFB196752 GOW196750:GOX196752 GYS196750:GYT196752 HIO196750:HIP196752 HSK196750:HSL196752 ICG196750:ICH196752 IMC196750:IMD196752 IVY196750:IVZ196752 JFU196750:JFV196752 JPQ196750:JPR196752 JZM196750:JZN196752 KJI196750:KJJ196752 KTE196750:KTF196752 LDA196750:LDB196752 LMW196750:LMX196752 LWS196750:LWT196752 MGO196750:MGP196752 MQK196750:MQL196752 NAG196750:NAH196752 NKC196750:NKD196752 NTY196750:NTZ196752 ODU196750:ODV196752 ONQ196750:ONR196752 OXM196750:OXN196752 PHI196750:PHJ196752 PRE196750:PRF196752 QBA196750:QBB196752 QKW196750:QKX196752 QUS196750:QUT196752 REO196750:REP196752 ROK196750:ROL196752 RYG196750:RYH196752 SIC196750:SID196752 SRY196750:SRZ196752 TBU196750:TBV196752 TLQ196750:TLR196752 TVM196750:TVN196752 UFI196750:UFJ196752 UPE196750:UPF196752 UZA196750:UZB196752 VIW196750:VIX196752 VSS196750:VST196752 WCO196750:WCP196752 WMK196750:WML196752 WWG196750:WWH196752 Y393358:Z393360 JU393358:JV393360 TQ393358:TR393360 ADM393358:ADN393360 ANI393358:ANJ393360 AXE393358:AXF393360 BHA393358:BHB393360 BQW393358:BQX393360 CAS393358:CAT393360 CKO393358:CKP393360 CUK393358:CUL393360 DEG393358:DEH393360 DOC393358:DOD393360 DXY393358:DXZ393360 EHU393358:EHV393360 ERQ393358:ERR393360 FBM393358:FBN393360 FLI393358:FLJ393360 FVE393358:FVF393360 GFA393358:GFB393360 GOW393358:GOX393360 GYS393358:GYT393360 HIO393358:HIP393360 HSK393358:HSL393360 ICG393358:ICH393360 IMC393358:IMD393360 IVY393358:IVZ393360 JFU393358:JFV393360 JPQ393358:JPR393360 JZM393358:JZN393360 KJI393358:KJJ393360 KTE393358:KTF393360 LDA393358:LDB393360 LMW393358:LMX393360 LWS393358:LWT393360 MGO393358:MGP393360 MQK393358:MQL393360 NAG393358:NAH393360 NKC393358:NKD393360 NTY393358:NTZ393360 ODU393358:ODV393360 ONQ393358:ONR393360 OXM393358:OXN393360 PHI393358:PHJ393360 PRE393358:PRF393360 QBA393358:QBB393360 QKW393358:QKX393360 QUS393358:QUT393360 REO393358:REP393360 ROK393358:ROL393360 RYG393358:RYH393360 SIC393358:SID393360 SRY393358:SRZ393360 TBU393358:TBV393360 TLQ393358:TLR393360 TVM393358:TVN393360 UFI393358:UFJ393360 UPE393358:UPF393360 UZA393358:UZB393360 VIW393358:VIX393360 VSS393358:VST393360 WCO393358:WCP393360 WMK393358:WML393360 WWG393358:WWH393360 Y589966:Z589968 JU589966:JV589968 TQ589966:TR589968 ADM589966:ADN589968 ANI589966:ANJ589968 AXE589966:AXF589968 BHA589966:BHB589968 BQW589966:BQX589968 CAS589966:CAT589968 CKO589966:CKP589968 CUK589966:CUL589968 DEG589966:DEH589968 DOC589966:DOD589968 DXY589966:DXZ589968 EHU589966:EHV589968 ERQ589966:ERR589968 FBM589966:FBN589968 FLI589966:FLJ589968 FVE589966:FVF589968 GFA589966:GFB589968 GOW589966:GOX589968 GYS589966:GYT589968 HIO589966:HIP589968 HSK589966:HSL589968 ICG589966:ICH589968 IMC589966:IMD589968 IVY589966:IVZ589968 JFU589966:JFV589968 JPQ589966:JPR589968 JZM589966:JZN589968 KJI589966:KJJ589968 KTE589966:KTF589968 LDA589966:LDB589968 LMW589966:LMX589968 LWS589966:LWT589968 MGO589966:MGP589968 MQK589966:MQL589968 NAG589966:NAH589968 NKC589966:NKD589968 NTY589966:NTZ589968 ODU589966:ODV589968 ONQ589966:ONR589968 OXM589966:OXN589968 PHI589966:PHJ589968 PRE589966:PRF589968 QBA589966:QBB589968 QKW589966:QKX589968 QUS589966:QUT589968 REO589966:REP589968 ROK589966:ROL589968 RYG589966:RYH589968 SIC589966:SID589968 SRY589966:SRZ589968 TBU589966:TBV589968 TLQ589966:TLR589968 TVM589966:TVN589968 UFI589966:UFJ589968 UPE589966:UPF589968 UZA589966:UZB589968 VIW589966:VIX589968 VSS589966:VST589968 WCO589966:WCP589968 WMK589966:WML589968 WWG589966:WWH589968 Y786574:Z786576 JU786574:JV786576 TQ786574:TR786576 ADM786574:ADN786576 ANI786574:ANJ786576 AXE786574:AXF786576 BHA786574:BHB786576 BQW786574:BQX786576 CAS786574:CAT786576 CKO786574:CKP786576 CUK786574:CUL786576 DEG786574:DEH786576 DOC786574:DOD786576 DXY786574:DXZ786576 EHU786574:EHV786576 ERQ786574:ERR786576 FBM786574:FBN786576 FLI786574:FLJ786576 FVE786574:FVF786576 GFA786574:GFB786576 GOW786574:GOX786576 GYS786574:GYT786576 HIO786574:HIP786576 HSK786574:HSL786576 ICG786574:ICH786576 IMC786574:IMD786576 IVY786574:IVZ786576 JFU786574:JFV786576 JPQ786574:JPR786576 JZM786574:JZN786576 KJI786574:KJJ786576 KTE786574:KTF786576 LDA786574:LDB786576 LMW786574:LMX786576 LWS786574:LWT786576 MGO786574:MGP786576 MQK786574:MQL786576 NAG786574:NAH786576 NKC786574:NKD786576 NTY786574:NTZ786576 ODU786574:ODV786576 ONQ786574:ONR786576 OXM786574:OXN786576 PHI786574:PHJ786576 PRE786574:PRF786576 QBA786574:QBB786576 QKW786574:QKX786576 QUS786574:QUT786576 REO786574:REP786576 ROK786574:ROL786576 RYG786574:RYH786576 SIC786574:SID786576 SRY786574:SRZ786576 TBU786574:TBV786576 TLQ786574:TLR786576 TVM786574:TVN786576 UFI786574:UFJ786576 UPE786574:UPF786576 UZA786574:UZB786576 VIW786574:VIX786576 VSS786574:VST786576 WCO786574:WCP786576 WMK786574:WML786576 WWG786574:WWH786576 Y983182:Z983184 JU983182:JV983184 TQ983182:TR983184 ADM983182:ADN983184 ANI983182:ANJ983184 AXE983182:AXF983184 BHA983182:BHB983184 BQW983182:BQX983184 CAS983182:CAT983184 CKO983182:CKP983184 CUK983182:CUL983184 DEG983182:DEH983184 DOC983182:DOD983184 DXY983182:DXZ983184 EHU983182:EHV983184 ERQ983182:ERR983184 FBM983182:FBN983184 FLI983182:FLJ983184 FVE983182:FVF983184 GFA983182:GFB983184 GOW983182:GOX983184 GYS983182:GYT983184 HIO983182:HIP983184 HSK983182:HSL983184 ICG983182:ICH983184 IMC983182:IMD983184 IVY983182:IVZ983184 JFU983182:JFV983184 JPQ983182:JPR983184 JZM983182:JZN983184 KJI983182:KJJ983184 KTE983182:KTF983184 LDA983182:LDB983184 LMW983182:LMX983184 LWS983182:LWT983184 MGO983182:MGP983184 MQK983182:MQL983184 NAG983182:NAH983184 NKC983182:NKD983184 NTY983182:NTZ983184 ODU983182:ODV983184 ONQ983182:ONR983184 OXM983182:OXN983184 PHI983182:PHJ983184 PRE983182:PRF983184 QBA983182:QBB983184 QKW983182:QKX983184 QUS983182:QUT983184 REO983182:REP983184 ROK983182:ROL983184 RYG983182:RYH983184 SIC983182:SID983184 SRY983182:SRZ983184 TBU983182:TBV983184 TLQ983182:TLR983184 TVM983182:TVN983184 UFI983182:UFJ983184 UPE983182:UPF983184 UZA983182:UZB983184 VIW983182:VIX983184 VSS983182:VST983184 WCO983182:WCP983184 WMK983182:WML983184 WWG983182:WWH983184 Y131214:Z131216 JU131214:JV131216 TQ131214:TR131216 ADM131214:ADN131216 ANI131214:ANJ131216 AXE131214:AXF131216 BHA131214:BHB131216 BQW131214:BQX131216 CAS131214:CAT131216 CKO131214:CKP131216 CUK131214:CUL131216 DEG131214:DEH131216 DOC131214:DOD131216 DXY131214:DXZ131216 EHU131214:EHV131216 ERQ131214:ERR131216 FBM131214:FBN131216 FLI131214:FLJ131216 FVE131214:FVF131216 GFA131214:GFB131216 GOW131214:GOX131216 GYS131214:GYT131216 HIO131214:HIP131216 HSK131214:HSL131216 ICG131214:ICH131216 IMC131214:IMD131216 IVY131214:IVZ131216 JFU131214:JFV131216 JPQ131214:JPR131216 JZM131214:JZN131216 KJI131214:KJJ131216 KTE131214:KTF131216 LDA131214:LDB131216 LMW131214:LMX131216 LWS131214:LWT131216 MGO131214:MGP131216 MQK131214:MQL131216 NAG131214:NAH131216 NKC131214:NKD131216 NTY131214:NTZ131216 ODU131214:ODV131216 ONQ131214:ONR131216 OXM131214:OXN131216 PHI131214:PHJ131216 PRE131214:PRF131216 QBA131214:QBB131216 QKW131214:QKX131216 QUS131214:QUT131216 REO131214:REP131216 ROK131214:ROL131216 RYG131214:RYH131216 SIC131214:SID131216 SRY131214:SRZ131216 TBU131214:TBV131216 TLQ131214:TLR131216 TVM131214:TVN131216 UFI131214:UFJ131216 UPE131214:UPF131216 UZA131214:UZB131216 VIW131214:VIX131216 VSS131214:VST131216 WCO131214:WCP131216 WMK131214:WML131216 WWG131214:WWH131216 Y327822:Z327824 JU327822:JV327824 TQ327822:TR327824 ADM327822:ADN327824 ANI327822:ANJ327824 AXE327822:AXF327824 BHA327822:BHB327824 BQW327822:BQX327824 CAS327822:CAT327824 CKO327822:CKP327824 CUK327822:CUL327824 DEG327822:DEH327824 DOC327822:DOD327824 DXY327822:DXZ327824 EHU327822:EHV327824 ERQ327822:ERR327824 FBM327822:FBN327824 FLI327822:FLJ327824 FVE327822:FVF327824 GFA327822:GFB327824 GOW327822:GOX327824 GYS327822:GYT327824 HIO327822:HIP327824 HSK327822:HSL327824 ICG327822:ICH327824 IMC327822:IMD327824 IVY327822:IVZ327824 JFU327822:JFV327824 JPQ327822:JPR327824 JZM327822:JZN327824 KJI327822:KJJ327824 KTE327822:KTF327824 LDA327822:LDB327824 LMW327822:LMX327824 LWS327822:LWT327824 MGO327822:MGP327824 MQK327822:MQL327824 NAG327822:NAH327824 NKC327822:NKD327824 NTY327822:NTZ327824 ODU327822:ODV327824 ONQ327822:ONR327824 OXM327822:OXN327824 PHI327822:PHJ327824 PRE327822:PRF327824 QBA327822:QBB327824 QKW327822:QKX327824 QUS327822:QUT327824 REO327822:REP327824 ROK327822:ROL327824 RYG327822:RYH327824 SIC327822:SID327824 SRY327822:SRZ327824 TBU327822:TBV327824 TLQ327822:TLR327824 TVM327822:TVN327824 UFI327822:UFJ327824 UPE327822:UPF327824 UZA327822:UZB327824 VIW327822:VIX327824 VSS327822:VST327824 WCO327822:WCP327824 WMK327822:WML327824 WWG327822:WWH327824 Y524430:Z524432 JU524430:JV524432 TQ524430:TR524432 ADM524430:ADN524432 ANI524430:ANJ524432 AXE524430:AXF524432 BHA524430:BHB524432 BQW524430:BQX524432 CAS524430:CAT524432 CKO524430:CKP524432 CUK524430:CUL524432 DEG524430:DEH524432 DOC524430:DOD524432 DXY524430:DXZ524432 EHU524430:EHV524432 ERQ524430:ERR524432 FBM524430:FBN524432 FLI524430:FLJ524432 FVE524430:FVF524432 GFA524430:GFB524432 GOW524430:GOX524432 GYS524430:GYT524432 HIO524430:HIP524432 HSK524430:HSL524432 ICG524430:ICH524432 IMC524430:IMD524432 IVY524430:IVZ524432 JFU524430:JFV524432 JPQ524430:JPR524432 JZM524430:JZN524432 KJI524430:KJJ524432 KTE524430:KTF524432 LDA524430:LDB524432 LMW524430:LMX524432 LWS524430:LWT524432 MGO524430:MGP524432 MQK524430:MQL524432 NAG524430:NAH524432 NKC524430:NKD524432 NTY524430:NTZ524432 ODU524430:ODV524432 ONQ524430:ONR524432 OXM524430:OXN524432 PHI524430:PHJ524432 PRE524430:PRF524432 QBA524430:QBB524432 QKW524430:QKX524432 QUS524430:QUT524432 REO524430:REP524432 ROK524430:ROL524432 RYG524430:RYH524432 SIC524430:SID524432 SRY524430:SRZ524432 TBU524430:TBV524432 TLQ524430:TLR524432 TVM524430:TVN524432 UFI524430:UFJ524432 UPE524430:UPF524432 UZA524430:UZB524432 VIW524430:VIX524432 VSS524430:VST524432 WCO524430:WCP524432 WMK524430:WML524432 WWG524430:WWH524432 Y721038:Z721040 JU721038:JV721040 TQ721038:TR721040 ADM721038:ADN721040 ANI721038:ANJ721040 AXE721038:AXF721040 BHA721038:BHB721040 BQW721038:BQX721040 CAS721038:CAT721040 CKO721038:CKP721040 CUK721038:CUL721040 DEG721038:DEH721040 DOC721038:DOD721040 DXY721038:DXZ721040 EHU721038:EHV721040 ERQ721038:ERR721040 FBM721038:FBN721040 FLI721038:FLJ721040 FVE721038:FVF721040 GFA721038:GFB721040 GOW721038:GOX721040 GYS721038:GYT721040 HIO721038:HIP721040 HSK721038:HSL721040 ICG721038:ICH721040 IMC721038:IMD721040 IVY721038:IVZ721040 JFU721038:JFV721040 JPQ721038:JPR721040 JZM721038:JZN721040 KJI721038:KJJ721040 KTE721038:KTF721040 LDA721038:LDB721040 LMW721038:LMX721040 LWS721038:LWT721040 MGO721038:MGP721040 MQK721038:MQL721040 NAG721038:NAH721040 NKC721038:NKD721040 NTY721038:NTZ721040 ODU721038:ODV721040 ONQ721038:ONR721040 OXM721038:OXN721040 PHI721038:PHJ721040 PRE721038:PRF721040 QBA721038:QBB721040 QKW721038:QKX721040 QUS721038:QUT721040 REO721038:REP721040 ROK721038:ROL721040 RYG721038:RYH721040 SIC721038:SID721040 SRY721038:SRZ721040 TBU721038:TBV721040 TLQ721038:TLR721040 TVM721038:TVN721040 UFI721038:UFJ721040 UPE721038:UPF721040 UZA721038:UZB721040 VIW721038:VIX721040 VSS721038:VST721040 WCO721038:WCP721040 WMK721038:WML721040 WWG721038:WWH721040 Y917646:Z917648 JU917646:JV917648 TQ917646:TR917648 ADM917646:ADN917648 ANI917646:ANJ917648 AXE917646:AXF917648 BHA917646:BHB917648 BQW917646:BQX917648 CAS917646:CAT917648 CKO917646:CKP917648 CUK917646:CUL917648 DEG917646:DEH917648 DOC917646:DOD917648 DXY917646:DXZ917648 EHU917646:EHV917648 ERQ917646:ERR917648 FBM917646:FBN917648 FLI917646:FLJ917648 FVE917646:FVF917648 GFA917646:GFB917648 GOW917646:GOX917648 GYS917646:GYT917648 HIO917646:HIP917648 HSK917646:HSL917648 ICG917646:ICH917648 IMC917646:IMD917648 IVY917646:IVZ917648 JFU917646:JFV917648 JPQ917646:JPR917648 JZM917646:JZN917648 KJI917646:KJJ917648 KTE917646:KTF917648 LDA917646:LDB917648 LMW917646:LMX917648 LWS917646:LWT917648 MGO917646:MGP917648 MQK917646:MQL917648 NAG917646:NAH917648 NKC917646:NKD917648 NTY917646:NTZ917648 ODU917646:ODV917648 ONQ917646:ONR917648 OXM917646:OXN917648 PHI917646:PHJ917648 PRE917646:PRF917648 QBA917646:QBB917648 QKW917646:QKX917648 QUS917646:QUT917648 REO917646:REP917648 ROK917646:ROL917648 RYG917646:RYH917648 SIC917646:SID917648 SRY917646:SRZ917648 TBU917646:TBV917648 TLQ917646:TLR917648 TVM917646:TVN917648 UFI917646:UFJ917648 UPE917646:UPF917648 UZA917646:UZB917648 VIW917646:VIX917648 VSS917646:VST917648 WCO917646:WCP917648 WMK917646:WML917648 WWG917646:WWH917648 Y65678:Z65680 JU65678:JV65680 TQ65678:TR65680 ADM65678:ADN65680 ANI65678:ANJ65680 AXE65678:AXF65680 BHA65678:BHB65680 BQW65678:BQX65680 CAS65678:CAT65680 CKO65678:CKP65680 CUK65678:CUL65680 DEG65678:DEH65680 DOC65678:DOD65680 DXY65678:DXZ65680 EHU65678:EHV65680 ERQ65678:ERR65680 FBM65678:FBN65680 FLI65678:FLJ65680 FVE65678:FVF65680 GFA65678:GFB65680 GOW65678:GOX65680 GYS65678:GYT65680 HIO65678:HIP65680 HSK65678:HSL65680 ICG65678:ICH65680 IMC65678:IMD65680 IVY65678:IVZ65680 JFU65678:JFV65680 JPQ65678:JPR65680 JZM65678:JZN65680 KJI65678:KJJ65680 KTE65678:KTF65680 LDA65678:LDB65680 LMW65678:LMX65680 LWS65678:LWT65680 MGO65678:MGP65680 MQK65678:MQL65680 NAG65678:NAH65680 NKC65678:NKD65680 NTY65678:NTZ65680 ODU65678:ODV65680 ONQ65678:ONR65680 OXM65678:OXN65680 PHI65678:PHJ65680 PRE65678:PRF65680 QBA65678:QBB65680 QKW65678:QKX65680 QUS65678:QUT65680 REO65678:REP65680 ROK65678:ROL65680 RYG65678:RYH65680 SIC65678:SID65680 SRY65678:SRZ65680 TBU65678:TBV65680 TLQ65678:TLR65680 TVM65678:TVN65680 UFI65678:UFJ65680 UPE65678:UPF65680 UZA65678:UZB65680 VIW65678:VIX65680 VSS65678:VST65680 WCO65678:WCP65680 WMK65678:WML65680 WWG65678:WWH65680 Y262286:Z262288 JU262286:JV262288 TQ262286:TR262288 ADM262286:ADN262288 ANI262286:ANJ262288 AXE262286:AXF262288 BHA262286:BHB262288 BQW262286:BQX262288 CAS262286:CAT262288 CKO262286:CKP262288 CUK262286:CUL262288 DEG262286:DEH262288 DOC262286:DOD262288 DXY262286:DXZ262288 EHU262286:EHV262288 ERQ262286:ERR262288 FBM262286:FBN262288 FLI262286:FLJ262288 FVE262286:FVF262288 GFA262286:GFB262288 GOW262286:GOX262288 GYS262286:GYT262288 HIO262286:HIP262288 HSK262286:HSL262288 ICG262286:ICH262288 IMC262286:IMD262288 IVY262286:IVZ262288 JFU262286:JFV262288 JPQ262286:JPR262288 JZM262286:JZN262288 KJI262286:KJJ262288 KTE262286:KTF262288 LDA262286:LDB262288 LMW262286:LMX262288 LWS262286:LWT262288 MGO262286:MGP262288 MQK262286:MQL262288 NAG262286:NAH262288 NKC262286:NKD262288 NTY262286:NTZ262288 ODU262286:ODV262288 ONQ262286:ONR262288 OXM262286:OXN262288 PHI262286:PHJ262288 PRE262286:PRF262288 QBA262286:QBB262288 QKW262286:QKX262288 QUS262286:QUT262288 REO262286:REP262288 ROK262286:ROL262288 RYG262286:RYH262288 SIC262286:SID262288 SRY262286:SRZ262288 TBU262286:TBV262288 TLQ262286:TLR262288 TVM262286:TVN262288 UFI262286:UFJ262288 UPE262286:UPF262288 UZA262286:UZB262288 VIW262286:VIX262288 VSS262286:VST262288 WCO262286:WCP262288 WMK262286:WML262288 WWG262286:WWH262288 Y458894:Z458896 JU458894:JV458896 TQ458894:TR458896 ADM458894:ADN458896 ANI458894:ANJ458896 AXE458894:AXF458896 BHA458894:BHB458896 BQW458894:BQX458896 CAS458894:CAT458896 CKO458894:CKP458896 CUK458894:CUL458896 DEG458894:DEH458896 DOC458894:DOD458896 DXY458894:DXZ458896 EHU458894:EHV458896 ERQ458894:ERR458896 FBM458894:FBN458896 FLI458894:FLJ458896 FVE458894:FVF458896 GFA458894:GFB458896 GOW458894:GOX458896 GYS458894:GYT458896 HIO458894:HIP458896 HSK458894:HSL458896 ICG458894:ICH458896 IMC458894:IMD458896 IVY458894:IVZ458896 JFU458894:JFV458896 JPQ458894:JPR458896 JZM458894:JZN458896 KJI458894:KJJ458896 KTE458894:KTF458896 LDA458894:LDB458896 LMW458894:LMX458896 LWS458894:LWT458896 MGO458894:MGP458896 MQK458894:MQL458896 NAG458894:NAH458896 NKC458894:NKD458896 NTY458894:NTZ458896 ODU458894:ODV458896 ONQ458894:ONR458896 OXM458894:OXN458896 PHI458894:PHJ458896 PRE458894:PRF458896 QBA458894:QBB458896 QKW458894:QKX458896 QUS458894:QUT458896 REO458894:REP458896 ROK458894:ROL458896 RYG458894:RYH458896 SIC458894:SID458896 SRY458894:SRZ458896 TBU458894:TBV458896 TLQ458894:TLR458896 TVM458894:TVN458896 UFI458894:UFJ458896 UPE458894:UPF458896 UZA458894:UZB458896 VIW458894:VIX458896 VSS458894:VST458896 WCO458894:WCP458896 WMK458894:WML458896 WWG458894:WWH458896 Y655502:Z655504 JU655502:JV655504 TQ655502:TR655504 ADM655502:ADN655504 ANI655502:ANJ655504 AXE655502:AXF655504 BHA655502:BHB655504 BQW655502:BQX655504 CAS655502:CAT655504 CKO655502:CKP655504 CUK655502:CUL655504 DEG655502:DEH655504 DOC655502:DOD655504 DXY655502:DXZ655504 EHU655502:EHV655504 ERQ655502:ERR655504 FBM655502:FBN655504 FLI655502:FLJ655504 FVE655502:FVF655504 GFA655502:GFB655504 GOW655502:GOX655504 GYS655502:GYT655504 HIO655502:HIP655504 HSK655502:HSL655504 ICG655502:ICH655504 IMC655502:IMD655504 IVY655502:IVZ655504 JFU655502:JFV655504 JPQ655502:JPR655504 JZM655502:JZN655504 KJI655502:KJJ655504 KTE655502:KTF655504 LDA655502:LDB655504 LMW655502:LMX655504 LWS655502:LWT655504 MGO655502:MGP655504 MQK655502:MQL655504 NAG655502:NAH655504 NKC655502:NKD655504 NTY655502:NTZ655504 ODU655502:ODV655504 ONQ655502:ONR655504 OXM655502:OXN655504 PHI655502:PHJ655504 PRE655502:PRF655504 QBA655502:QBB655504 QKW655502:QKX655504 QUS655502:QUT655504 REO655502:REP655504 ROK655502:ROL655504 RYG655502:RYH655504 SIC655502:SID655504 SRY655502:SRZ655504 TBU655502:TBV655504 TLQ655502:TLR655504 TVM655502:TVN655504 UFI655502:UFJ655504 UPE655502:UPF655504 UZA655502:UZB655504 VIW655502:VIX655504 VSS655502:VST655504 WCO655502:WCP655504 WMK655502:WML655504 WWG655502:WWH655504 Y852110:Z852112 JU852110:JV852112 TQ852110:TR852112 ADM852110:ADN852112 ANI852110:ANJ852112 AXE852110:AXF852112 BHA852110:BHB852112 BQW852110:BQX852112 CAS852110:CAT852112 CKO852110:CKP852112 CUK852110:CUL852112 DEG852110:DEH852112 DOC852110:DOD852112 DXY852110:DXZ852112 EHU852110:EHV852112 ERQ852110:ERR852112 FBM852110:FBN852112 FLI852110:FLJ852112 FVE852110:FVF852112 GFA852110:GFB852112 GOW852110:GOX852112 GYS852110:GYT852112 HIO852110:HIP852112 HSK852110:HSL852112 ICG852110:ICH852112 IMC852110:IMD852112 IVY852110:IVZ852112 JFU852110:JFV852112 JPQ852110:JPR852112 JZM852110:JZN852112 KJI852110:KJJ852112 KTE852110:KTF852112 LDA852110:LDB852112 LMW852110:LMX852112 LWS852110:LWT852112 MGO852110:MGP852112 MQK852110:MQL852112 NAG852110:NAH852112 NKC852110:NKD852112 NTY852110:NTZ852112 ODU852110:ODV852112 ONQ852110:ONR852112 OXM852110:OXN852112 PHI852110:PHJ852112 PRE852110:PRF852112 QBA852110:QBB852112 QKW852110:QKX852112 QUS852110:QUT852112 REO852110:REP852112 ROK852110:ROL852112 RYG852110:RYH852112 SIC852110:SID852112 SRY852110:SRZ852112 TBU852110:TBV852112 TLQ852110:TLR852112 TVM852110:TVN852112 UFI852110:UFJ852112 UPE852110:UPF852112 UZA852110:UZB852112 VIW852110:VIX852112 VSS852110:VST852112 WCO852110:WCP852112 WMK852110:WML852112 WWG852110:WWH852112">
      <formula1>OFFSET($S$95:$S$97,,,3)</formula1>
    </dataValidation>
  </dataValidations>
  <pageMargins left="0.393700787401575" right="0.31496062992126" top="0.275590551181102" bottom="0.748031496062992" header="0.31496062992126" footer="0.31496062992126"/>
  <pageSetup paperSize="9" orientation="portrait"/>
  <headerFooter>
    <oddHeader>&amp;L&amp;G</oddHeader>
  </headerFooter>
  <drawing r:id="rId1"/>
  <legacyDrawing r:id="rId2"/>
  <legacyDrawingHF r:id="rId5"/>
  <mc:AlternateContent xmlns:mc="http://schemas.openxmlformats.org/markup-compatibility/2006">
    <mc:Choice Requires="x14">
      <controls>
        <mc:AlternateContent xmlns:mc="http://schemas.openxmlformats.org/markup-compatibility/2006">
          <mc:Choice Requires="x14">
            <control shapeId="8207" name="Button 15" r:id="rId3">
              <controlPr print="0" defaultSize="0">
                <anchor moveWithCells="1">
                  <from>
                    <xdr:col>31</xdr:col>
                    <xdr:colOff>91440</xdr:colOff>
                    <xdr:row>114</xdr:row>
                    <xdr:rowOff>129540</xdr:rowOff>
                  </from>
                  <to>
                    <xdr:col>33</xdr:col>
                    <xdr:colOff>693420</xdr:colOff>
                    <xdr:row>116</xdr:row>
                    <xdr:rowOff>53340</xdr:rowOff>
                  </to>
                </anchor>
              </controlPr>
            </control>
          </mc:Choice>
        </mc:AlternateContent>
        <mc:AlternateContent xmlns:mc="http://schemas.openxmlformats.org/markup-compatibility/2006">
          <mc:Choice Requires="x14">
            <control shapeId="8208" name="Button 16" r:id="rId4">
              <controlPr print="0" defaultSize="0">
                <anchor moveWithCells="1">
                  <from>
                    <xdr:col>31</xdr:col>
                    <xdr:colOff>83820</xdr:colOff>
                    <xdr:row>112</xdr:row>
                    <xdr:rowOff>38100</xdr:rowOff>
                  </from>
                  <to>
                    <xdr:col>33</xdr:col>
                    <xdr:colOff>685800</xdr:colOff>
                    <xdr:row>114</xdr:row>
                    <xdr:rowOff>91440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C158"/>
  <sheetViews>
    <sheetView showGridLines="0" topLeftCell="I119" workbookViewId="0">
      <selection activeCell="Y131" sqref="Y131"/>
    </sheetView>
  </sheetViews>
  <sheetFormatPr defaultColWidth="9" defaultRowHeight="14.25"/>
  <cols>
    <col min="1" max="7" width="8.88333333333333" hidden="1" customWidth="1"/>
    <col min="8" max="8" width="5.55833333333333" hidden="1" customWidth="1"/>
    <col min="9" max="9" width="1.66666666666667" customWidth="1"/>
    <col min="10" max="10" width="6.55833333333333" customWidth="1"/>
    <col min="11" max="12" width="2.775" customWidth="1"/>
    <col min="13" max="14" width="6.775" customWidth="1"/>
    <col min="15" max="15" width="5.775" customWidth="1"/>
    <col min="16" max="16" width="10.1083333333333" customWidth="1"/>
    <col min="17" max="17" width="2.55833333333333" customWidth="1"/>
    <col min="18" max="18" width="6.88333333333333" customWidth="1"/>
    <col min="19" max="19" width="7.44166666666667" customWidth="1"/>
    <col min="20" max="20" width="10.4416666666667" customWidth="1"/>
    <col min="21" max="21" width="9.775" customWidth="1"/>
    <col min="22" max="22" width="11.1083333333333" customWidth="1"/>
    <col min="23" max="23" width="1" customWidth="1"/>
    <col min="24" max="16384" width="8.88333333333333"/>
  </cols>
  <sheetData>
    <row r="1" ht="15" hidden="1" customHeight="1" spans="4:20">
      <c r="D1" s="239" t="s">
        <v>523</v>
      </c>
      <c r="E1" s="33" t="s">
        <v>524</v>
      </c>
      <c r="F1" s="33" t="s">
        <v>525</v>
      </c>
      <c r="G1" s="2" t="str">
        <f t="shared" ref="G1:G37" si="0">IF(Report_Language=$H$1,E1,F1)</f>
        <v>Tank No.</v>
      </c>
      <c r="H1" s="1" t="s">
        <v>13</v>
      </c>
      <c r="I1" s="1" t="s">
        <v>14</v>
      </c>
      <c r="J1" s="2"/>
      <c r="K1" t="s">
        <v>2</v>
      </c>
      <c r="L1">
        <v>1</v>
      </c>
      <c r="M1" t="str">
        <f>INDEX(K1:K2,L1)</f>
        <v>英文 English</v>
      </c>
      <c r="R1" s="234" t="s">
        <v>427</v>
      </c>
      <c r="S1" s="642" t="s">
        <v>2</v>
      </c>
      <c r="T1" s="642" t="s">
        <v>1</v>
      </c>
    </row>
    <row r="2" ht="27" hidden="1" spans="4:21">
      <c r="D2" s="239"/>
      <c r="E2" s="242" t="s">
        <v>645</v>
      </c>
      <c r="F2" s="34" t="s">
        <v>527</v>
      </c>
      <c r="G2" s="2" t="str">
        <f t="shared" si="0"/>
        <v>G. H. L. 
(1)</v>
      </c>
      <c r="H2" s="3" t="s">
        <v>15</v>
      </c>
      <c r="I2" s="3" t="s">
        <v>16</v>
      </c>
      <c r="J2" s="2" t="str">
        <f t="shared" ref="J2:J33" si="1">IF(Report_Language=$H$1,H2,I2)</f>
        <v>JOB NO.</v>
      </c>
      <c r="K2" t="s">
        <v>1</v>
      </c>
      <c r="L2">
        <v>2</v>
      </c>
      <c r="M2" t="str">
        <f>INDEX(K26:K27,L2)</f>
        <v>正式报告 Official Report</v>
      </c>
      <c r="R2" s="234"/>
      <c r="S2" s="34" t="s">
        <v>15</v>
      </c>
      <c r="T2" s="34" t="s">
        <v>432</v>
      </c>
      <c r="U2" s="2" t="str">
        <f t="shared" ref="U2:U16" si="2">IF(Report_Language=$H$1,S2,T2)</f>
        <v>JOB NO.</v>
      </c>
    </row>
    <row r="3" hidden="1" spans="4:21">
      <c r="D3" s="239"/>
      <c r="E3" s="33" t="s">
        <v>528</v>
      </c>
      <c r="F3" s="33" t="s">
        <v>529</v>
      </c>
      <c r="G3" s="2" t="str">
        <f t="shared" si="0"/>
        <v>Gauge</v>
      </c>
      <c r="H3" s="4" t="s">
        <v>17</v>
      </c>
      <c r="I3" s="4" t="s">
        <v>18</v>
      </c>
      <c r="J3" s="2" t="str">
        <f t="shared" si="1"/>
        <v>DATE OF REPORT</v>
      </c>
      <c r="K3" s="5" t="s">
        <v>88</v>
      </c>
      <c r="L3">
        <v>2</v>
      </c>
      <c r="M3" t="str">
        <f>INDEX(K28:K31,L3,1)</f>
        <v>B--成品油 Refined Products</v>
      </c>
      <c r="N3" t="str">
        <f>LEFT(M3,1)</f>
        <v>B</v>
      </c>
      <c r="R3" s="234"/>
      <c r="S3" s="33" t="s">
        <v>17</v>
      </c>
      <c r="T3" s="33" t="s">
        <v>434</v>
      </c>
      <c r="U3" s="2" t="str">
        <f t="shared" si="2"/>
        <v>DATE OF REPORT</v>
      </c>
    </row>
    <row r="4" hidden="1" spans="4:21">
      <c r="D4" s="239"/>
      <c r="E4" s="34" t="s">
        <v>530</v>
      </c>
      <c r="F4" s="34" t="s">
        <v>531</v>
      </c>
      <c r="G4" s="2" t="str">
        <f t="shared" si="0"/>
        <v>Interface</v>
      </c>
      <c r="H4" s="3" t="s">
        <v>20</v>
      </c>
      <c r="I4" s="3" t="s">
        <v>21</v>
      </c>
      <c r="J4" s="2" t="str">
        <f t="shared" si="1"/>
        <v>APPLICANT</v>
      </c>
      <c r="K4" s="5" t="s">
        <v>91</v>
      </c>
      <c r="L4">
        <v>14</v>
      </c>
      <c r="M4" t="str">
        <f>INDEX(K3:K20,L4,1)</f>
        <v>T-60B</v>
      </c>
      <c r="R4" s="234"/>
      <c r="S4" s="34" t="s">
        <v>20</v>
      </c>
      <c r="T4" s="34" t="s">
        <v>436</v>
      </c>
      <c r="U4" s="2" t="str">
        <f t="shared" si="2"/>
        <v>APPLICANT</v>
      </c>
    </row>
    <row r="5" hidden="1" spans="4:21">
      <c r="D5" s="239"/>
      <c r="E5" s="33" t="s">
        <v>532</v>
      </c>
      <c r="F5" s="33" t="s">
        <v>533</v>
      </c>
      <c r="G5" s="2" t="str">
        <f t="shared" si="0"/>
        <v>Temp</v>
      </c>
      <c r="H5" s="4" t="s">
        <v>23</v>
      </c>
      <c r="I5" s="4" t="s">
        <v>24</v>
      </c>
      <c r="J5" s="2" t="str">
        <f t="shared" si="1"/>
        <v>CLIENT'S REF. NO.</v>
      </c>
      <c r="K5" s="5" t="s">
        <v>92</v>
      </c>
      <c r="L5">
        <v>3</v>
      </c>
      <c r="M5">
        <f>INDEX(K23:K25,L5,1)</f>
        <v>2004</v>
      </c>
      <c r="R5" s="234"/>
      <c r="S5" s="33" t="s">
        <v>23</v>
      </c>
      <c r="T5" s="33" t="s">
        <v>438</v>
      </c>
      <c r="U5" s="2" t="str">
        <f t="shared" si="2"/>
        <v>CLIENT'S REF. NO.</v>
      </c>
    </row>
    <row r="6" hidden="1" spans="4:21">
      <c r="D6" s="239"/>
      <c r="E6" s="34" t="s">
        <v>646</v>
      </c>
      <c r="F6" s="34" t="s">
        <v>646</v>
      </c>
      <c r="G6" s="2" t="str">
        <f t="shared" si="0"/>
        <v>U/I
(2)</v>
      </c>
      <c r="H6" s="3" t="s">
        <v>25</v>
      </c>
      <c r="I6" s="3" t="s">
        <v>26</v>
      </c>
      <c r="J6" s="2" t="str">
        <f t="shared" si="1"/>
        <v>COMMODITY</v>
      </c>
      <c r="K6" s="5" t="s">
        <v>95</v>
      </c>
      <c r="L6">
        <v>1</v>
      </c>
      <c r="M6" t="str">
        <f>INDEX(K21:K22,L6,1)</f>
        <v>ASTM D1250-1980</v>
      </c>
      <c r="R6" s="234"/>
      <c r="S6" s="34" t="s">
        <v>25</v>
      </c>
      <c r="T6" s="34" t="s">
        <v>439</v>
      </c>
      <c r="U6" s="2" t="str">
        <f t="shared" si="2"/>
        <v>COMMODITY</v>
      </c>
    </row>
    <row r="7" hidden="1" spans="4:21">
      <c r="D7" s="239"/>
      <c r="E7" s="33" t="s">
        <v>535</v>
      </c>
      <c r="F7" s="33" t="s">
        <v>536</v>
      </c>
      <c r="G7" s="2" t="str">
        <f t="shared" si="0"/>
        <v>Obs'd</v>
      </c>
      <c r="H7" s="4" t="s">
        <v>28</v>
      </c>
      <c r="I7" s="4" t="s">
        <v>29</v>
      </c>
      <c r="J7" s="2" t="str">
        <f t="shared" si="1"/>
        <v>VESSEL</v>
      </c>
      <c r="K7" s="5" t="s">
        <v>98</v>
      </c>
      <c r="L7">
        <v>1</v>
      </c>
      <c r="M7" t="str">
        <f>IF(L7=1,"Den15",IF(L7=2,"Den20",IF(L7=3,"API","SG")))</f>
        <v>Den15</v>
      </c>
      <c r="R7" s="234"/>
      <c r="S7" s="33" t="s">
        <v>28</v>
      </c>
      <c r="T7" s="33" t="s">
        <v>440</v>
      </c>
      <c r="U7" s="2" t="str">
        <f t="shared" si="2"/>
        <v>VESSEL</v>
      </c>
    </row>
    <row r="8" hidden="1" spans="4:21">
      <c r="D8" s="239"/>
      <c r="E8" s="34" t="s">
        <v>537</v>
      </c>
      <c r="F8" s="34" t="s">
        <v>538</v>
      </c>
      <c r="G8" s="2" t="str">
        <f t="shared" si="0"/>
        <v>Corr'd</v>
      </c>
      <c r="H8" s="3" t="s">
        <v>31</v>
      </c>
      <c r="I8" s="3" t="s">
        <v>32</v>
      </c>
      <c r="J8" s="2" t="str">
        <f t="shared" si="1"/>
        <v>PORT</v>
      </c>
      <c r="K8" s="5" t="s">
        <v>101</v>
      </c>
      <c r="L8">
        <v>2</v>
      </c>
      <c r="M8" t="str">
        <f>INDEX(U47:U48,L8,1)</f>
        <v>bbls</v>
      </c>
      <c r="R8" s="234"/>
      <c r="S8" s="34" t="s">
        <v>31</v>
      </c>
      <c r="T8" s="34" t="s">
        <v>441</v>
      </c>
      <c r="U8" s="2" t="str">
        <f t="shared" si="2"/>
        <v>PORT</v>
      </c>
    </row>
    <row r="9" hidden="1" spans="4:21">
      <c r="D9" s="239"/>
      <c r="E9" s="33" t="s">
        <v>539</v>
      </c>
      <c r="F9" s="33" t="s">
        <v>540</v>
      </c>
      <c r="G9" s="2" t="str">
        <f t="shared" si="0"/>
        <v>Total Observed Volume</v>
      </c>
      <c r="H9" s="6" t="s">
        <v>34</v>
      </c>
      <c r="I9" s="4" t="s">
        <v>35</v>
      </c>
      <c r="J9" s="2" t="str">
        <f t="shared" si="1"/>
        <v>TERMINAL</v>
      </c>
      <c r="K9" s="5" t="s">
        <v>104</v>
      </c>
      <c r="L9">
        <v>1</v>
      </c>
      <c r="M9" t="str">
        <f>INDEX(U11:U16,L9,1)</f>
        <v>Before Discharging</v>
      </c>
      <c r="R9" s="234"/>
      <c r="S9" s="33" t="s">
        <v>36</v>
      </c>
      <c r="T9" s="33" t="s">
        <v>442</v>
      </c>
      <c r="U9" s="2" t="str">
        <f t="shared" si="2"/>
        <v>DATE OF INSPECTION</v>
      </c>
    </row>
    <row r="10" ht="15" hidden="1" customHeight="1" spans="4:21">
      <c r="D10" s="239"/>
      <c r="E10" s="34" t="s">
        <v>541</v>
      </c>
      <c r="F10" s="34" t="s">
        <v>542</v>
      </c>
      <c r="G10" s="2" t="str">
        <f t="shared" si="0"/>
        <v>Free Water</v>
      </c>
      <c r="H10" s="4" t="s">
        <v>36</v>
      </c>
      <c r="I10" s="4" t="s">
        <v>37</v>
      </c>
      <c r="J10" s="2" t="str">
        <f t="shared" si="1"/>
        <v>DATE OF INSPECTION</v>
      </c>
      <c r="K10" s="5" t="s">
        <v>107</v>
      </c>
      <c r="L10">
        <v>3</v>
      </c>
      <c r="M10" t="str">
        <f>INDEX(U67:U70,L10,1)</f>
        <v>UTI</v>
      </c>
      <c r="R10" s="239" t="s">
        <v>647</v>
      </c>
      <c r="S10" s="34" t="s">
        <v>648</v>
      </c>
      <c r="T10" s="34" t="s">
        <v>649</v>
      </c>
      <c r="U10" s="2" t="str">
        <f t="shared" si="2"/>
        <v>ULLAGE REPORT</v>
      </c>
    </row>
    <row r="11" hidden="1" spans="4:21">
      <c r="D11" s="239"/>
      <c r="E11" s="33" t="s">
        <v>543</v>
      </c>
      <c r="F11" s="33" t="s">
        <v>544</v>
      </c>
      <c r="G11" s="2" t="str">
        <f t="shared" si="0"/>
        <v>Volume</v>
      </c>
      <c r="H11" s="7" t="s">
        <v>44</v>
      </c>
      <c r="I11" s="2" t="str">
        <f>H11</f>
        <v>SG0020031202-I</v>
      </c>
      <c r="J11" s="2" t="s">
        <v>45</v>
      </c>
      <c r="K11" s="5" t="s">
        <v>110</v>
      </c>
      <c r="L11">
        <v>4</v>
      </c>
      <c r="M11" t="str">
        <f>INDEX(U69:U73,L11,1)</f>
        <v>UTI &amp; Water Finding Paste</v>
      </c>
      <c r="R11" s="239"/>
      <c r="S11" s="33" t="s">
        <v>650</v>
      </c>
      <c r="T11" s="33" t="s">
        <v>651</v>
      </c>
      <c r="U11" s="2" t="str">
        <f>IF(Report_Language=$H$1,S11,T11)</f>
        <v>Before Discharging</v>
      </c>
    </row>
    <row r="12" hidden="1" spans="4:21">
      <c r="D12" s="239"/>
      <c r="E12" s="34" t="s">
        <v>545</v>
      </c>
      <c r="F12" s="34" t="s">
        <v>546</v>
      </c>
      <c r="G12" s="2" t="str">
        <f t="shared" si="0"/>
        <v>Gross Observed Volume</v>
      </c>
      <c r="H12" s="8" t="s">
        <v>46</v>
      </c>
      <c r="I12" s="2" t="str">
        <f>H12</f>
        <v>YYYY-MM-DD</v>
      </c>
      <c r="J12" s="2" t="s">
        <v>46</v>
      </c>
      <c r="K12" s="5" t="s">
        <v>113</v>
      </c>
      <c r="L12">
        <v>1</v>
      </c>
      <c r="M12" t="str">
        <f>INDEX(U42:U45,L12,1)</f>
        <v>Calm</v>
      </c>
      <c r="R12" s="239"/>
      <c r="S12" s="34" t="s">
        <v>652</v>
      </c>
      <c r="T12" s="34" t="s">
        <v>653</v>
      </c>
      <c r="U12" s="2" t="str">
        <f>IF(Report_Language=$H$1,S12,T12)</f>
        <v>After Discharging</v>
      </c>
    </row>
    <row r="13" hidden="1" spans="4:21">
      <c r="D13" s="239"/>
      <c r="E13" s="33" t="s">
        <v>547</v>
      </c>
      <c r="F13" s="33" t="s">
        <v>548</v>
      </c>
      <c r="G13" s="2" t="str">
        <f t="shared" si="0"/>
        <v>VCF</v>
      </c>
      <c r="H13" s="7" t="s">
        <v>48</v>
      </c>
      <c r="I13" s="9" t="s">
        <v>49</v>
      </c>
      <c r="J13" s="2" t="str">
        <f t="shared" si="1"/>
        <v>PETROCHINA </v>
      </c>
      <c r="K13" s="5" t="s">
        <v>116</v>
      </c>
      <c r="L13">
        <v>1</v>
      </c>
      <c r="M13" t="str">
        <f>INDEX(U38:U40,L13,1)</f>
        <v>Upright</v>
      </c>
      <c r="R13" s="239"/>
      <c r="S13" s="33" t="s">
        <v>654</v>
      </c>
      <c r="T13" s="33" t="s">
        <v>655</v>
      </c>
      <c r="U13" s="2" t="str">
        <f>IF(Report_Language=$H$1,S13,T13)</f>
        <v>Before Loading</v>
      </c>
    </row>
    <row r="14" hidden="1" spans="4:21">
      <c r="D14" s="239"/>
      <c r="E14" s="34" t="s">
        <v>549</v>
      </c>
      <c r="F14" s="34" t="s">
        <v>550</v>
      </c>
      <c r="G14" s="2" t="str">
        <f t="shared" si="0"/>
        <v>Gross Standard Volume</v>
      </c>
      <c r="H14" s="7" t="s">
        <v>50</v>
      </c>
      <c r="I14" s="7" t="s">
        <v>117</v>
      </c>
      <c r="J14" s="2" t="s">
        <v>51</v>
      </c>
      <c r="K14" s="5" t="s">
        <v>120</v>
      </c>
      <c r="R14" s="239"/>
      <c r="S14" s="34" t="s">
        <v>656</v>
      </c>
      <c r="T14" s="34" t="s">
        <v>657</v>
      </c>
      <c r="U14" s="2" t="str">
        <f>IF(Report_Language=$H$1,S14,T14)</f>
        <v>After Loading</v>
      </c>
    </row>
    <row r="15" hidden="1" spans="4:21">
      <c r="D15" s="239"/>
      <c r="E15" s="33" t="s">
        <v>257</v>
      </c>
      <c r="F15" s="33" t="s">
        <v>550</v>
      </c>
      <c r="G15" s="2" t="str">
        <f t="shared" si="0"/>
        <v>GSV</v>
      </c>
      <c r="H15" s="7" t="s">
        <v>52</v>
      </c>
      <c r="I15" s="9" t="s">
        <v>53</v>
      </c>
      <c r="J15" s="2" t="str">
        <f t="shared" si="1"/>
        <v>Crude Oil6658</v>
      </c>
      <c r="K15" s="5" t="s">
        <v>123</v>
      </c>
      <c r="R15" s="239"/>
      <c r="S15" s="33" t="s">
        <v>658</v>
      </c>
      <c r="T15" s="33" t="s">
        <v>659</v>
      </c>
      <c r="U15" s="2" t="str">
        <f t="shared" si="2"/>
        <v>Before Lighter</v>
      </c>
    </row>
    <row r="16" hidden="1" spans="4:21">
      <c r="D16" s="239"/>
      <c r="E16" s="34" t="s">
        <v>551</v>
      </c>
      <c r="F16" s="34" t="s">
        <v>552</v>
      </c>
      <c r="G16" s="2" t="str">
        <f t="shared" si="0"/>
        <v>TCV</v>
      </c>
      <c r="H16" s="7" t="s">
        <v>54</v>
      </c>
      <c r="I16" s="2" t="s">
        <v>55</v>
      </c>
      <c r="J16" s="2" t="str">
        <f t="shared" si="1"/>
        <v>MT ZhenYuanefdasdf</v>
      </c>
      <c r="K16" s="5" t="s">
        <v>126</v>
      </c>
      <c r="R16" s="239"/>
      <c r="S16" s="34" t="s">
        <v>660</v>
      </c>
      <c r="T16" s="34" t="s">
        <v>661</v>
      </c>
      <c r="U16" s="2" t="str">
        <f t="shared" si="2"/>
        <v>After Lighter</v>
      </c>
    </row>
    <row r="17" ht="15.6" hidden="1" customHeight="1" spans="4:11">
      <c r="D17" s="239"/>
      <c r="E17" s="33" t="s">
        <v>553</v>
      </c>
      <c r="F17" s="33" t="s">
        <v>554</v>
      </c>
      <c r="G17" s="2" t="str">
        <f t="shared" si="0"/>
        <v>TOTAL</v>
      </c>
      <c r="H17" s="7" t="s">
        <v>56</v>
      </c>
      <c r="I17" s="9" t="s">
        <v>57</v>
      </c>
      <c r="J17" s="2" t="str">
        <f t="shared" si="1"/>
        <v>Dalian, Chinafsadfa</v>
      </c>
      <c r="K17" s="5" t="s">
        <v>129</v>
      </c>
    </row>
    <row r="18" hidden="1" spans="4:11">
      <c r="D18" s="234"/>
      <c r="E18" s="34" t="s">
        <v>662</v>
      </c>
      <c r="F18" s="34" t="s">
        <v>663</v>
      </c>
      <c r="G18" s="2" t="str">
        <f t="shared" si="0"/>
        <v>Supplied by</v>
      </c>
      <c r="H18" s="7" t="s">
        <v>58</v>
      </c>
      <c r="I18" s="9" t="s">
        <v>59</v>
      </c>
      <c r="J18" s="2" t="str">
        <f t="shared" si="1"/>
        <v>Dalian Chinaoil, China1325415</v>
      </c>
      <c r="K18" s="5" t="s">
        <v>132</v>
      </c>
    </row>
    <row r="19" hidden="1" spans="4:21">
      <c r="D19" s="234"/>
      <c r="E19" s="33" t="s">
        <v>664</v>
      </c>
      <c r="F19" s="33" t="s">
        <v>665</v>
      </c>
      <c r="G19" s="2" t="str">
        <f t="shared" si="0"/>
        <v>(1) G.H.L. -- Gauge Hatch Location, F = Forward; C = Center; A = Aft.</v>
      </c>
      <c r="H19" s="10" t="s">
        <v>133</v>
      </c>
      <c r="I19" s="11" t="str">
        <f>H19</f>
        <v>YYYY-MM-DD -- YYYY-MM-DD</v>
      </c>
      <c r="J19" s="2" t="s">
        <v>60</v>
      </c>
      <c r="K19" s="12" t="s">
        <v>136</v>
      </c>
      <c r="R19" s="234" t="s">
        <v>443</v>
      </c>
      <c r="S19" s="33" t="s">
        <v>355</v>
      </c>
      <c r="T19" s="33" t="s">
        <v>356</v>
      </c>
      <c r="U19" s="2" t="str">
        <f t="shared" ref="U19:U64" si="3">IF(Report_Language=$H$1,S19,T19)</f>
        <v>Master/Chief Officer</v>
      </c>
    </row>
    <row r="20" hidden="1" spans="4:21">
      <c r="D20" s="234"/>
      <c r="E20" s="34" t="s">
        <v>573</v>
      </c>
      <c r="F20" s="34" t="s">
        <v>666</v>
      </c>
      <c r="G20" s="2" t="str">
        <f t="shared" si="0"/>
        <v>(2) I/U -- Innage/Ullage, I = Innage; U = Ullage.</v>
      </c>
      <c r="H20" s="13" t="s">
        <v>137</v>
      </c>
      <c r="I20" s="13" t="s">
        <v>138</v>
      </c>
      <c r="J20" s="2" t="str">
        <f t="shared" si="1"/>
        <v>Density@15℃ (g/cm³)</v>
      </c>
      <c r="K20" s="5" t="s">
        <v>141</v>
      </c>
      <c r="R20" s="234"/>
      <c r="S20" s="34" t="s">
        <v>357</v>
      </c>
      <c r="T20" s="34" t="s">
        <v>358</v>
      </c>
      <c r="U20" s="2" t="str">
        <f t="shared" si="3"/>
        <v>CCIC Surveyor</v>
      </c>
    </row>
    <row r="21" hidden="1" spans="4:21">
      <c r="D21" s="234"/>
      <c r="E21" s="33" t="s">
        <v>137</v>
      </c>
      <c r="F21" s="33" t="s">
        <v>138</v>
      </c>
      <c r="G21" s="2" t="str">
        <f t="shared" si="0"/>
        <v>Density@15℃ (g/cm³)</v>
      </c>
      <c r="H21" s="14" t="s">
        <v>142</v>
      </c>
      <c r="I21" s="14" t="s">
        <v>143</v>
      </c>
      <c r="J21" s="2" t="str">
        <f t="shared" si="1"/>
        <v>Density@20℃ (g/cm³)</v>
      </c>
      <c r="K21" s="5" t="s">
        <v>5</v>
      </c>
      <c r="R21" s="234"/>
      <c r="S21" s="33" t="s">
        <v>359</v>
      </c>
      <c r="T21" s="33" t="s">
        <v>360</v>
      </c>
      <c r="U21" s="2" t="str">
        <f t="shared" si="3"/>
        <v>Name</v>
      </c>
    </row>
    <row r="22" ht="15" hidden="1" customHeight="1" spans="4:21">
      <c r="D22" s="234"/>
      <c r="E22" s="34" t="s">
        <v>142</v>
      </c>
      <c r="F22" s="34" t="s">
        <v>143</v>
      </c>
      <c r="G22" s="2" t="str">
        <f t="shared" si="0"/>
        <v>Density@20℃ (g/cm³)</v>
      </c>
      <c r="H22" s="13" t="s">
        <v>146</v>
      </c>
      <c r="I22" s="13" t="s">
        <v>146</v>
      </c>
      <c r="J22" s="2" t="str">
        <f t="shared" si="1"/>
        <v>API@60℉</v>
      </c>
      <c r="K22" s="5" t="s">
        <v>6</v>
      </c>
      <c r="R22" s="234"/>
      <c r="S22" s="34" t="s">
        <v>361</v>
      </c>
      <c r="T22" s="34" t="s">
        <v>362</v>
      </c>
      <c r="U22" s="2" t="str">
        <f t="shared" si="3"/>
        <v>Signature</v>
      </c>
    </row>
    <row r="23" ht="16.5" hidden="1" spans="4:21">
      <c r="D23" s="626"/>
      <c r="E23" s="33" t="s">
        <v>146</v>
      </c>
      <c r="F23" s="33" t="s">
        <v>146</v>
      </c>
      <c r="G23" s="2" t="str">
        <f t="shared" si="0"/>
        <v>API@60℉</v>
      </c>
      <c r="H23" s="14" t="s">
        <v>149</v>
      </c>
      <c r="I23" s="14" t="s">
        <v>150</v>
      </c>
      <c r="J23" s="2" t="str">
        <f t="shared" si="1"/>
        <v>S.G.@60℉/60℉</v>
      </c>
      <c r="K23" s="12">
        <v>1952</v>
      </c>
      <c r="R23" s="234"/>
      <c r="S23" s="33" t="s">
        <v>363</v>
      </c>
      <c r="T23" s="33" t="s">
        <v>364</v>
      </c>
      <c r="U23" s="2" t="str">
        <f t="shared" si="3"/>
        <v>Authorized Signature (S)</v>
      </c>
    </row>
    <row r="24" ht="16.5" hidden="1" spans="4:21">
      <c r="D24" s="626"/>
      <c r="E24" s="34" t="s">
        <v>149</v>
      </c>
      <c r="F24" s="34" t="s">
        <v>150</v>
      </c>
      <c r="G24" s="2" t="str">
        <f t="shared" si="0"/>
        <v>S.G.@60℉/60℉</v>
      </c>
      <c r="H24" s="15" t="s">
        <v>153</v>
      </c>
      <c r="I24" s="15" t="s">
        <v>154</v>
      </c>
      <c r="J24" s="2" t="str">
        <f t="shared" si="1"/>
        <v>α60℉ (1/℉)</v>
      </c>
      <c r="K24" s="12">
        <v>1980</v>
      </c>
      <c r="R24" s="239" t="s">
        <v>444</v>
      </c>
      <c r="S24" s="34" t="s">
        <v>74</v>
      </c>
      <c r="T24" s="34" t="s">
        <v>75</v>
      </c>
      <c r="U24" s="2" t="str">
        <f t="shared" si="3"/>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25" ht="16.5" hidden="1" spans="4:21">
      <c r="D25" s="626"/>
      <c r="E25" s="628" t="s">
        <v>667</v>
      </c>
      <c r="F25" s="164" t="s">
        <v>668</v>
      </c>
      <c r="G25" s="628" t="str">
        <f t="shared" si="0"/>
        <v>Thermal Expansion Coefficient α60℉  (1/℉)</v>
      </c>
      <c r="H25" s="15" t="s">
        <v>157</v>
      </c>
      <c r="I25" s="15" t="s">
        <v>158</v>
      </c>
      <c r="J25" s="2" t="str">
        <f t="shared" si="1"/>
        <v>α60℉ (1/℃)</v>
      </c>
      <c r="K25" s="12">
        <v>2004</v>
      </c>
      <c r="R25" s="239"/>
      <c r="S25" s="33" t="s">
        <v>445</v>
      </c>
      <c r="T25" s="33" t="s">
        <v>446</v>
      </c>
      <c r="U25" s="2" t="str">
        <f t="shared" si="3"/>
        <v>Note:</v>
      </c>
    </row>
    <row r="26" ht="16.5" hidden="1" spans="4:21">
      <c r="D26" s="626"/>
      <c r="E26" s="628" t="s">
        <v>669</v>
      </c>
      <c r="F26" s="164" t="s">
        <v>670</v>
      </c>
      <c r="G26" s="628" t="str">
        <f t="shared" si="0"/>
        <v>Thermal Expansion Coefficient α60℉  (1/℃)</v>
      </c>
      <c r="H26" s="14" t="s">
        <v>161</v>
      </c>
      <c r="I26" s="14" t="s">
        <v>162</v>
      </c>
      <c r="J26" s="2" t="str">
        <f t="shared" si="1"/>
        <v>Density@15℃ (kg/m³)</v>
      </c>
      <c r="K26" s="16" t="s">
        <v>165</v>
      </c>
      <c r="R26" s="239"/>
      <c r="S26" s="34" t="s">
        <v>447</v>
      </c>
      <c r="T26" s="34" t="s">
        <v>448</v>
      </c>
      <c r="U26" s="2" t="str">
        <f t="shared" si="3"/>
        <v>Remark:</v>
      </c>
    </row>
    <row r="27" ht="16.5" hidden="1" spans="4:21">
      <c r="D27" s="626"/>
      <c r="E27" s="628" t="s">
        <v>161</v>
      </c>
      <c r="F27" s="164" t="s">
        <v>162</v>
      </c>
      <c r="G27" s="628" t="str">
        <f t="shared" si="0"/>
        <v>Density@15℃ (kg/m³)</v>
      </c>
      <c r="H27" s="13" t="s">
        <v>167</v>
      </c>
      <c r="I27" s="13" t="s">
        <v>168</v>
      </c>
      <c r="J27" s="2" t="str">
        <f t="shared" si="1"/>
        <v>Density@20℃ (kg/m³)</v>
      </c>
      <c r="K27" s="16" t="s">
        <v>171</v>
      </c>
      <c r="R27" s="239"/>
      <c r="S27" s="33" t="s">
        <v>449</v>
      </c>
      <c r="T27" s="33" t="s">
        <v>450</v>
      </c>
      <c r="U27" s="2" t="str">
        <f t="shared" si="3"/>
        <v>Yes</v>
      </c>
    </row>
    <row r="28" ht="16.5" hidden="1" spans="4:21">
      <c r="D28" s="626"/>
      <c r="E28" s="628" t="s">
        <v>167</v>
      </c>
      <c r="F28" s="164" t="s">
        <v>168</v>
      </c>
      <c r="G28" s="628" t="str">
        <f t="shared" si="0"/>
        <v>Density@20℃ (kg/m³)</v>
      </c>
      <c r="H28" s="14" t="s">
        <v>146</v>
      </c>
      <c r="I28" s="14" t="s">
        <v>173</v>
      </c>
      <c r="J28" s="2" t="str">
        <f t="shared" si="1"/>
        <v>API@60℉</v>
      </c>
      <c r="K28" s="5" t="s">
        <v>7</v>
      </c>
      <c r="R28" s="239"/>
      <c r="S28" s="34" t="s">
        <v>451</v>
      </c>
      <c r="T28" s="34" t="s">
        <v>452</v>
      </c>
      <c r="U28" s="2" t="str">
        <f t="shared" si="3"/>
        <v>No</v>
      </c>
    </row>
    <row r="29" ht="15" hidden="1" customHeight="1" spans="4:21">
      <c r="D29" s="626"/>
      <c r="E29" s="628" t="s">
        <v>146</v>
      </c>
      <c r="F29" s="164" t="s">
        <v>173</v>
      </c>
      <c r="G29" s="628" t="str">
        <f t="shared" si="0"/>
        <v>API@60℉</v>
      </c>
      <c r="H29" s="13" t="s">
        <v>149</v>
      </c>
      <c r="I29" s="13" t="s">
        <v>177</v>
      </c>
      <c r="J29" s="2" t="str">
        <f t="shared" si="1"/>
        <v>S.G.@60℉/60℉</v>
      </c>
      <c r="K29" s="5" t="s">
        <v>8</v>
      </c>
      <c r="R29" s="240" t="s">
        <v>453</v>
      </c>
      <c r="S29" s="33" t="s">
        <v>454</v>
      </c>
      <c r="T29" s="33" t="s">
        <v>455</v>
      </c>
      <c r="U29" s="2" t="str">
        <f t="shared" si="3"/>
        <v>Date :</v>
      </c>
    </row>
    <row r="30" ht="16.5" hidden="1" spans="4:21">
      <c r="D30" s="626"/>
      <c r="E30" s="628" t="s">
        <v>149</v>
      </c>
      <c r="F30" s="164" t="s">
        <v>177</v>
      </c>
      <c r="G30" s="628" t="str">
        <f t="shared" si="0"/>
        <v>S.G.@60℉/60℉</v>
      </c>
      <c r="H30" s="17" t="s">
        <v>181</v>
      </c>
      <c r="I30" s="18" t="s">
        <v>182</v>
      </c>
      <c r="J30" s="2" t="str">
        <f t="shared" si="1"/>
        <v>WCF MT(in air)/m³@15℃ [T-56]</v>
      </c>
      <c r="K30" s="5" t="s">
        <v>11</v>
      </c>
      <c r="R30" s="240"/>
      <c r="S30" s="34" t="s">
        <v>457</v>
      </c>
      <c r="T30" s="34" t="s">
        <v>458</v>
      </c>
      <c r="U30" s="2" t="str">
        <f t="shared" si="3"/>
        <v>Time :</v>
      </c>
    </row>
    <row r="31" ht="16.5" hidden="1" spans="4:21">
      <c r="D31" s="626"/>
      <c r="E31" s="628" t="s">
        <v>671</v>
      </c>
      <c r="F31" s="164" t="s">
        <v>672</v>
      </c>
      <c r="G31" s="628" t="str">
        <f t="shared" si="0"/>
        <v>Gross Standard Weight</v>
      </c>
      <c r="H31" s="17" t="s">
        <v>186</v>
      </c>
      <c r="I31" s="18" t="s">
        <v>187</v>
      </c>
      <c r="J31" s="2" t="str">
        <f t="shared" si="1"/>
        <v>WCF MT(in air)/m³@15℃</v>
      </c>
      <c r="K31" s="5" t="s">
        <v>12</v>
      </c>
      <c r="R31" s="239" t="s">
        <v>459</v>
      </c>
      <c r="S31" s="33" t="s">
        <v>460</v>
      </c>
      <c r="T31" s="33" t="s">
        <v>461</v>
      </c>
      <c r="U31" s="2" t="str">
        <f t="shared" si="3"/>
        <v>Draft Fwd :</v>
      </c>
    </row>
    <row r="32" ht="16.5" hidden="1" spans="4:21">
      <c r="D32" s="626"/>
      <c r="E32" s="628" t="s">
        <v>673</v>
      </c>
      <c r="F32" s="164" t="s">
        <v>674</v>
      </c>
      <c r="G32" s="628" t="str">
        <f t="shared" si="0"/>
        <v>MT (in air)</v>
      </c>
      <c r="H32" s="17" t="s">
        <v>191</v>
      </c>
      <c r="I32" s="18" t="s">
        <v>192</v>
      </c>
      <c r="J32" s="2" t="str">
        <f t="shared" si="1"/>
        <v>WCF MT(in air)/m³@20℃</v>
      </c>
      <c r="R32" s="239"/>
      <c r="S32" s="34" t="s">
        <v>462</v>
      </c>
      <c r="T32" s="34" t="s">
        <v>463</v>
      </c>
      <c r="U32" s="2" t="str">
        <f t="shared" si="3"/>
        <v>Draft Aft :</v>
      </c>
    </row>
    <row r="33" ht="16.5" hidden="1" spans="4:21">
      <c r="D33" s="626"/>
      <c r="E33" s="628" t="s">
        <v>675</v>
      </c>
      <c r="F33" s="164" t="s">
        <v>676</v>
      </c>
      <c r="G33" s="628" t="str">
        <f t="shared" si="0"/>
        <v>LT (in air)</v>
      </c>
      <c r="H33" s="19" t="s">
        <v>196</v>
      </c>
      <c r="I33" s="20" t="s">
        <v>197</v>
      </c>
      <c r="J33" s="2" t="str">
        <f t="shared" si="1"/>
        <v>MT/LT [T-1] </v>
      </c>
      <c r="R33" s="239"/>
      <c r="S33" s="33" t="s">
        <v>464</v>
      </c>
      <c r="T33" s="33" t="s">
        <v>465</v>
      </c>
      <c r="U33" s="2" t="str">
        <f t="shared" si="3"/>
        <v>List :</v>
      </c>
    </row>
    <row r="34" ht="16.5" hidden="1" spans="4:21">
      <c r="D34" s="626"/>
      <c r="E34" s="628" t="s">
        <v>677</v>
      </c>
      <c r="F34" s="164" t="s">
        <v>678</v>
      </c>
      <c r="G34" s="628" t="str">
        <f t="shared" si="0"/>
        <v>Total Free Water Volume - m³</v>
      </c>
      <c r="H34" s="19" t="s">
        <v>201</v>
      </c>
      <c r="I34" s="21" t="s">
        <v>202</v>
      </c>
      <c r="J34" s="2" t="str">
        <f t="shared" ref="J34:J65" si="4">IF(Report_Language=$H$1,H34,I34)</f>
        <v>MT/LT</v>
      </c>
      <c r="R34" s="239"/>
      <c r="S34" s="34" t="s">
        <v>466</v>
      </c>
      <c r="T34" s="34" t="s">
        <v>467</v>
      </c>
      <c r="U34" s="2" t="str">
        <f t="shared" si="3"/>
        <v>Trim :</v>
      </c>
    </row>
    <row r="35" ht="16.5" hidden="1" spans="4:21">
      <c r="D35" s="626"/>
      <c r="E35" s="628" t="s">
        <v>679</v>
      </c>
      <c r="F35" s="164" t="s">
        <v>680</v>
      </c>
      <c r="G35" s="628" t="str">
        <f t="shared" si="0"/>
        <v>Total Free Water Volume - Bbls</v>
      </c>
      <c r="H35" s="17" t="s">
        <v>206</v>
      </c>
      <c r="I35" s="18" t="s">
        <v>207</v>
      </c>
      <c r="J35" s="2" t="str">
        <f t="shared" si="4"/>
        <v>WCF MT(in air)/bbls@60℉ [T-13]</v>
      </c>
      <c r="R35" s="239"/>
      <c r="S35" s="33" t="s">
        <v>468</v>
      </c>
      <c r="T35" s="33" t="s">
        <v>469</v>
      </c>
      <c r="U35" s="2" t="str">
        <f t="shared" si="3"/>
        <v>m By Head</v>
      </c>
    </row>
    <row r="36" ht="16.5" hidden="1" spans="4:21">
      <c r="D36" s="626"/>
      <c r="E36" s="628" t="s">
        <v>681</v>
      </c>
      <c r="F36" s="164" t="s">
        <v>552</v>
      </c>
      <c r="G36" s="628" t="str">
        <f t="shared" si="0"/>
        <v>Total Calculated Volume</v>
      </c>
      <c r="H36" s="17" t="s">
        <v>210</v>
      </c>
      <c r="I36" s="18" t="s">
        <v>211</v>
      </c>
      <c r="J36" s="2" t="str">
        <f t="shared" si="4"/>
        <v>WCF MT(in air)/bbls@60℉</v>
      </c>
      <c r="R36" s="239"/>
      <c r="S36" s="34" t="s">
        <v>470</v>
      </c>
      <c r="T36" s="34" t="s">
        <v>471</v>
      </c>
      <c r="U36" s="2" t="str">
        <f t="shared" si="3"/>
        <v>m By Stern</v>
      </c>
    </row>
    <row r="37" ht="16.5" hidden="1" spans="4:21">
      <c r="D37" s="626"/>
      <c r="E37" s="628" t="s">
        <v>682</v>
      </c>
      <c r="F37" s="164" t="s">
        <v>683</v>
      </c>
      <c r="G37" s="628" t="str">
        <f t="shared" si="0"/>
        <v>S&amp;W</v>
      </c>
      <c r="H37" s="14" t="s">
        <v>214</v>
      </c>
      <c r="I37" s="14" t="s">
        <v>215</v>
      </c>
      <c r="J37" s="2" t="str">
        <f t="shared" si="4"/>
        <v>Density@15℃ MT(Vacuo)/m³</v>
      </c>
      <c r="R37" s="239"/>
      <c r="S37" s="33" t="s">
        <v>684</v>
      </c>
      <c r="T37" s="33" t="s">
        <v>685</v>
      </c>
      <c r="U37" s="2" t="str">
        <f t="shared" si="3"/>
        <v>Even Keel</v>
      </c>
    </row>
    <row r="38" ht="16.5" hidden="1" spans="4:21">
      <c r="D38" s="626"/>
      <c r="E38" s="628"/>
      <c r="F38" s="164"/>
      <c r="G38" s="628" t="s">
        <v>686</v>
      </c>
      <c r="H38" s="14" t="s">
        <v>218</v>
      </c>
      <c r="I38" s="14" t="s">
        <v>219</v>
      </c>
      <c r="J38" s="2" t="str">
        <f t="shared" si="4"/>
        <v>Density@20℃ MT(Vacuo)/m³</v>
      </c>
      <c r="R38" s="239"/>
      <c r="S38" s="34" t="s">
        <v>472</v>
      </c>
      <c r="T38" s="34" t="s">
        <v>473</v>
      </c>
      <c r="U38" s="2" t="str">
        <f t="shared" si="3"/>
        <v>Upright</v>
      </c>
    </row>
    <row r="39" ht="15" hidden="1" customHeight="1" spans="4:21">
      <c r="D39" s="117"/>
      <c r="E39" s="628"/>
      <c r="F39" s="164"/>
      <c r="G39" s="628" t="s">
        <v>687</v>
      </c>
      <c r="H39" s="17" t="s">
        <v>222</v>
      </c>
      <c r="I39" s="18" t="s">
        <v>223</v>
      </c>
      <c r="J39" s="2" t="str">
        <f t="shared" si="4"/>
        <v>WCF MT(in vacuo)/bbls@60℉ [T-13]</v>
      </c>
      <c r="R39" s="239"/>
      <c r="S39" s="33" t="s">
        <v>688</v>
      </c>
      <c r="T39" s="33" t="s">
        <v>475</v>
      </c>
      <c r="U39" s="2" t="str">
        <f t="shared" si="3"/>
        <v>° To P</v>
      </c>
    </row>
    <row r="40" hidden="1" spans="4:21">
      <c r="D40" s="117"/>
      <c r="E40" s="628" t="s">
        <v>689</v>
      </c>
      <c r="F40" s="164" t="s">
        <v>690</v>
      </c>
      <c r="G40" s="628" t="str">
        <f>IF(Report_Language=$H$1,E40,F40)</f>
        <v>TOTAL QUANTITY</v>
      </c>
      <c r="H40" s="17" t="s">
        <v>226</v>
      </c>
      <c r="I40" s="18" t="s">
        <v>227</v>
      </c>
      <c r="J40" s="2" t="str">
        <f t="shared" si="4"/>
        <v>WCF MT(in vacuo)/bbls@60℉</v>
      </c>
      <c r="R40" s="239"/>
      <c r="S40" s="34" t="s">
        <v>691</v>
      </c>
      <c r="T40" s="34" t="s">
        <v>477</v>
      </c>
      <c r="U40" s="2" t="str">
        <f t="shared" si="3"/>
        <v>° To S</v>
      </c>
    </row>
    <row r="41" hidden="1" spans="5:21">
      <c r="E41" s="628" t="s">
        <v>692</v>
      </c>
      <c r="F41" s="164" t="s">
        <v>377</v>
      </c>
      <c r="G41" s="628" t="str">
        <f>IF(Report_Language=$H$1,E41,F41)</f>
        <v>GROSS</v>
      </c>
      <c r="H41" s="19" t="s">
        <v>196</v>
      </c>
      <c r="I41" s="20" t="s">
        <v>197</v>
      </c>
      <c r="J41" s="2" t="str">
        <f t="shared" si="4"/>
        <v>MT/LT [T-1] </v>
      </c>
      <c r="R41" s="234" t="s">
        <v>478</v>
      </c>
      <c r="S41" s="33" t="s">
        <v>693</v>
      </c>
      <c r="T41" s="33" t="s">
        <v>694</v>
      </c>
      <c r="U41" s="2" t="str">
        <f t="shared" si="3"/>
        <v>Sea Condition:</v>
      </c>
    </row>
    <row r="42" hidden="1" spans="5:21">
      <c r="E42" s="628" t="s">
        <v>695</v>
      </c>
      <c r="F42" s="164" t="s">
        <v>378</v>
      </c>
      <c r="G42" s="628" t="str">
        <f>IF(Report_Language=$H$1,E42,F42)</f>
        <v>NET</v>
      </c>
      <c r="H42" s="19" t="s">
        <v>201</v>
      </c>
      <c r="I42" s="21" t="s">
        <v>202</v>
      </c>
      <c r="J42" s="2" t="str">
        <f t="shared" si="4"/>
        <v>MT/LT</v>
      </c>
      <c r="R42" s="234"/>
      <c r="S42" s="34" t="s">
        <v>480</v>
      </c>
      <c r="T42" s="34" t="s">
        <v>481</v>
      </c>
      <c r="U42" s="2" t="str">
        <f t="shared" si="3"/>
        <v>Calm</v>
      </c>
    </row>
    <row r="43" hidden="1" spans="5:21">
      <c r="E43" s="628" t="s">
        <v>696</v>
      </c>
      <c r="F43" s="164" t="s">
        <v>697</v>
      </c>
      <c r="G43" s="628" t="str">
        <f>IF(Report_Language=$H$1,E43,F43)</f>
        <v>- Reference Standards: API MPMS Chapter 3, Chapter 7 (2012), Chapter 11.1 (R2012), Chapter 11.5(E2011), Chapter 12.1.1(E2015).</v>
      </c>
      <c r="H43" s="17" t="s">
        <v>233</v>
      </c>
      <c r="I43" s="18" t="s">
        <v>234</v>
      </c>
      <c r="J43" s="2" t="str">
        <f t="shared" si="4"/>
        <v>WCF LT(in air)/m³@15℃ [T-57]</v>
      </c>
      <c r="R43" s="234"/>
      <c r="S43" s="33" t="s">
        <v>482</v>
      </c>
      <c r="T43" s="33" t="s">
        <v>483</v>
      </c>
      <c r="U43" s="2" t="str">
        <f t="shared" si="3"/>
        <v>Slight</v>
      </c>
    </row>
    <row r="44" ht="15" hidden="1" customHeight="1" spans="8:21">
      <c r="H44" s="17" t="s">
        <v>236</v>
      </c>
      <c r="I44" s="18" t="s">
        <v>237</v>
      </c>
      <c r="J44" s="2" t="str">
        <f t="shared" si="4"/>
        <v>WCF LT(in air)/m³@15℃</v>
      </c>
      <c r="R44" s="234"/>
      <c r="S44" s="34" t="s">
        <v>484</v>
      </c>
      <c r="T44" s="34" t="s">
        <v>485</v>
      </c>
      <c r="U44" s="2" t="str">
        <f t="shared" si="3"/>
        <v>Moderate</v>
      </c>
    </row>
    <row r="45" hidden="1" spans="8:21">
      <c r="H45" s="19" t="s">
        <v>240</v>
      </c>
      <c r="I45" s="20" t="s">
        <v>241</v>
      </c>
      <c r="J45" s="2" t="str">
        <f t="shared" si="4"/>
        <v>LT/MT [T-1] </v>
      </c>
      <c r="R45" s="234"/>
      <c r="S45" s="33" t="s">
        <v>486</v>
      </c>
      <c r="T45" s="33" t="s">
        <v>487</v>
      </c>
      <c r="U45" s="2" t="str">
        <f t="shared" si="3"/>
        <v>Rough</v>
      </c>
    </row>
    <row r="46" hidden="1" spans="8:21">
      <c r="H46" s="19" t="s">
        <v>244</v>
      </c>
      <c r="I46" s="20" t="s">
        <v>245</v>
      </c>
      <c r="J46" s="2" t="str">
        <f t="shared" si="4"/>
        <v>LT/MT</v>
      </c>
      <c r="R46" s="239" t="s">
        <v>488</v>
      </c>
      <c r="S46" s="34" t="s">
        <v>489</v>
      </c>
      <c r="T46" s="34" t="s">
        <v>490</v>
      </c>
      <c r="U46" s="2" t="str">
        <f t="shared" si="3"/>
        <v>m</v>
      </c>
    </row>
    <row r="47" hidden="1" spans="8:21">
      <c r="H47" s="17" t="s">
        <v>248</v>
      </c>
      <c r="I47" s="18" t="s">
        <v>249</v>
      </c>
      <c r="J47" s="2" t="str">
        <f t="shared" si="4"/>
        <v>WCF LT(in air)/bbls@60℉ [T-29] </v>
      </c>
      <c r="R47" s="239"/>
      <c r="S47" s="33" t="s">
        <v>491</v>
      </c>
      <c r="T47" s="33" t="s">
        <v>492</v>
      </c>
      <c r="U47" s="2" t="str">
        <f t="shared" si="3"/>
        <v>m³</v>
      </c>
    </row>
    <row r="48" hidden="1" spans="8:21">
      <c r="H48" s="17" t="s">
        <v>253</v>
      </c>
      <c r="I48" s="18" t="s">
        <v>254</v>
      </c>
      <c r="J48" s="2" t="str">
        <f t="shared" si="4"/>
        <v>WCF LT(in air)/bbls@60℉</v>
      </c>
      <c r="R48" s="239"/>
      <c r="S48" s="34" t="s">
        <v>493</v>
      </c>
      <c r="T48" s="34" t="s">
        <v>494</v>
      </c>
      <c r="U48" s="2" t="str">
        <f t="shared" si="3"/>
        <v>bbls</v>
      </c>
    </row>
    <row r="49" hidden="1" spans="8:21">
      <c r="H49" s="17" t="s">
        <v>259</v>
      </c>
      <c r="I49" s="18" t="s">
        <v>260</v>
      </c>
      <c r="J49" s="2" t="str">
        <f t="shared" si="4"/>
        <v>WCF LT(in air)/bbls@60℉ [T-11] </v>
      </c>
      <c r="R49" s="239"/>
      <c r="S49" s="33" t="s">
        <v>495</v>
      </c>
      <c r="T49" s="33" t="s">
        <v>495</v>
      </c>
      <c r="U49" s="2" t="str">
        <f t="shared" si="3"/>
        <v>℃</v>
      </c>
    </row>
    <row r="50" hidden="1" spans="8:24">
      <c r="H50" s="17" t="s">
        <v>253</v>
      </c>
      <c r="I50" s="18" t="s">
        <v>254</v>
      </c>
      <c r="J50" s="2" t="str">
        <f t="shared" si="4"/>
        <v>WCF LT(in air)/bbls@60℉</v>
      </c>
      <c r="R50" s="239"/>
      <c r="S50" s="34" t="s">
        <v>496</v>
      </c>
      <c r="T50" s="34" t="s">
        <v>496</v>
      </c>
      <c r="U50" s="2" t="str">
        <f t="shared" si="3"/>
        <v>℉</v>
      </c>
      <c r="W50" s="33"/>
      <c r="X50" s="33"/>
    </row>
    <row r="51" hidden="1" spans="8:24">
      <c r="H51" s="17" t="s">
        <v>265</v>
      </c>
      <c r="I51" s="18" t="s">
        <v>266</v>
      </c>
      <c r="J51" s="2" t="str">
        <f t="shared" si="4"/>
        <v>WCF LT(in vacuo)/m³@15℃ [T-57]</v>
      </c>
      <c r="R51" s="239"/>
      <c r="S51" s="33" t="s">
        <v>315</v>
      </c>
      <c r="T51" s="33" t="s">
        <v>386</v>
      </c>
      <c r="U51" s="2" t="str">
        <f t="shared" si="3"/>
        <v>m³ (15℃)</v>
      </c>
      <c r="W51" s="34"/>
      <c r="X51" s="34"/>
    </row>
    <row r="52" hidden="1" spans="8:21">
      <c r="H52" s="17" t="s">
        <v>268</v>
      </c>
      <c r="I52" s="18" t="s">
        <v>269</v>
      </c>
      <c r="J52" s="2" t="str">
        <f t="shared" si="4"/>
        <v>WCF LT(in vacuo)/m³@15℃</v>
      </c>
      <c r="R52" s="239"/>
      <c r="S52" s="34" t="s">
        <v>319</v>
      </c>
      <c r="T52" s="34" t="s">
        <v>390</v>
      </c>
      <c r="U52" s="2" t="str">
        <f t="shared" si="3"/>
        <v>m³ (20℃)</v>
      </c>
    </row>
    <row r="53" hidden="1" spans="8:21">
      <c r="H53" s="19" t="s">
        <v>240</v>
      </c>
      <c r="I53" s="20" t="s">
        <v>241</v>
      </c>
      <c r="J53" s="2" t="str">
        <f t="shared" si="4"/>
        <v>LT/MT [T-1] </v>
      </c>
      <c r="R53" s="239"/>
      <c r="S53" s="33" t="s">
        <v>698</v>
      </c>
      <c r="T53" s="33" t="s">
        <v>414</v>
      </c>
      <c r="U53" s="2" t="str">
        <f t="shared" si="3"/>
        <v>bbls (60℉)</v>
      </c>
    </row>
    <row r="54" hidden="1" spans="8:21">
      <c r="H54" s="19" t="s">
        <v>244</v>
      </c>
      <c r="I54" s="20" t="s">
        <v>245</v>
      </c>
      <c r="J54" s="2" t="str">
        <f t="shared" si="4"/>
        <v>LT/MT</v>
      </c>
      <c r="R54" s="239"/>
      <c r="S54" s="474" t="s">
        <v>411</v>
      </c>
      <c r="T54" s="474" t="s">
        <v>412</v>
      </c>
      <c r="U54" s="2" t="str">
        <f t="shared" si="3"/>
        <v>US Barrels (Obsd. Temp.)</v>
      </c>
    </row>
    <row r="55" hidden="1" spans="8:21">
      <c r="H55" s="17" t="s">
        <v>273</v>
      </c>
      <c r="I55" s="18" t="s">
        <v>274</v>
      </c>
      <c r="J55" s="2" t="str">
        <f t="shared" si="4"/>
        <v>WCF LT(in vacuo)/bbls@60℉ [T-29]</v>
      </c>
      <c r="R55" s="239"/>
      <c r="S55" s="474" t="s">
        <v>381</v>
      </c>
      <c r="T55" s="474" t="s">
        <v>382</v>
      </c>
      <c r="U55" s="2" t="str">
        <f t="shared" si="3"/>
        <v>Cubic Meters (Obsd. Temp.)</v>
      </c>
    </row>
    <row r="56" hidden="1" spans="8:21">
      <c r="H56" s="17" t="s">
        <v>276</v>
      </c>
      <c r="I56" s="18" t="s">
        <v>277</v>
      </c>
      <c r="J56" s="2" t="str">
        <f t="shared" si="4"/>
        <v>WCF LT(in vacuo)/bbls@60℉</v>
      </c>
      <c r="R56" s="239"/>
      <c r="S56" s="474" t="s">
        <v>413</v>
      </c>
      <c r="T56" s="474" t="s">
        <v>414</v>
      </c>
      <c r="U56" s="2" t="str">
        <f t="shared" si="3"/>
        <v>US Barrels (60℉)</v>
      </c>
    </row>
    <row r="57" hidden="1" spans="8:21">
      <c r="H57" s="17" t="s">
        <v>279</v>
      </c>
      <c r="I57" s="18" t="s">
        <v>280</v>
      </c>
      <c r="J57" s="2" t="str">
        <f t="shared" si="4"/>
        <v>WCF LT(in vacuo)/bbls@60℉ [T-11]</v>
      </c>
      <c r="R57" s="239"/>
      <c r="S57" s="474" t="s">
        <v>415</v>
      </c>
      <c r="T57" s="474" t="s">
        <v>416</v>
      </c>
      <c r="U57" s="2" t="str">
        <f t="shared" si="3"/>
        <v>US Gallon (60℉)</v>
      </c>
    </row>
    <row r="58" hidden="1" spans="8:21">
      <c r="H58" s="17" t="s">
        <v>276</v>
      </c>
      <c r="I58" s="18" t="s">
        <v>277</v>
      </c>
      <c r="J58" s="2" t="str">
        <f t="shared" si="4"/>
        <v>WCF LT(in vacuo)/bbls@60℉</v>
      </c>
      <c r="R58" s="239"/>
      <c r="S58" s="474" t="s">
        <v>385</v>
      </c>
      <c r="T58" s="474" t="s">
        <v>386</v>
      </c>
      <c r="U58" s="2" t="str">
        <f t="shared" si="3"/>
        <v>Cubic Meters (15℃)</v>
      </c>
    </row>
    <row r="59" hidden="1" spans="8:21">
      <c r="H59" s="22" t="s">
        <v>283</v>
      </c>
      <c r="I59" s="21" t="s">
        <v>284</v>
      </c>
      <c r="J59" s="2" t="str">
        <f t="shared" si="4"/>
        <v>bbls@60℉/m³@15℃ [T-52]</v>
      </c>
      <c r="R59" s="239"/>
      <c r="S59" s="474" t="s">
        <v>389</v>
      </c>
      <c r="T59" s="474" t="s">
        <v>390</v>
      </c>
      <c r="U59" s="2" t="str">
        <f t="shared" si="3"/>
        <v>Cubic Meters (20℃)</v>
      </c>
    </row>
    <row r="60" hidden="1" spans="8:21">
      <c r="H60" s="22" t="s">
        <v>286</v>
      </c>
      <c r="I60" s="21" t="s">
        <v>287</v>
      </c>
      <c r="J60" s="2" t="str">
        <f t="shared" si="4"/>
        <v>bbls@60℉/m³@15℃</v>
      </c>
      <c r="R60" s="239"/>
      <c r="S60" s="474" t="s">
        <v>393</v>
      </c>
      <c r="T60" s="474" t="s">
        <v>394</v>
      </c>
      <c r="U60" s="2" t="str">
        <f t="shared" si="3"/>
        <v>Cubic Meters (30℃)</v>
      </c>
    </row>
    <row r="61" hidden="1" spans="8:21">
      <c r="H61" s="23" t="s">
        <v>290</v>
      </c>
      <c r="I61" s="24" t="s">
        <v>291</v>
      </c>
      <c r="J61" s="2" t="str">
        <f t="shared" si="4"/>
        <v>bbls@60℉/MT(in air)</v>
      </c>
      <c r="R61" s="239"/>
      <c r="S61" s="474" t="s">
        <v>417</v>
      </c>
      <c r="T61" s="474" t="s">
        <v>418</v>
      </c>
      <c r="U61" s="2" t="str">
        <f t="shared" si="3"/>
        <v>Metric Tons (in vacuo)</v>
      </c>
    </row>
    <row r="62" hidden="1" spans="8:21">
      <c r="H62" s="2" t="s">
        <v>294</v>
      </c>
      <c r="I62" s="9" t="s">
        <v>295</v>
      </c>
      <c r="J62" s="2" t="str">
        <f t="shared" si="4"/>
        <v>Standard Volume</v>
      </c>
      <c r="R62" s="239"/>
      <c r="S62" s="474" t="s">
        <v>419</v>
      </c>
      <c r="T62" s="474" t="s">
        <v>420</v>
      </c>
      <c r="U62" s="2" t="str">
        <f t="shared" si="3"/>
        <v>Metric Tons (in air)</v>
      </c>
    </row>
    <row r="63" ht="16.5" hidden="1" spans="8:21">
      <c r="H63" s="2" t="s">
        <v>298</v>
      </c>
      <c r="I63" s="2" t="s">
        <v>299</v>
      </c>
      <c r="J63" s="2" t="str">
        <f t="shared" si="4"/>
        <v>m³@15℃/m³@20℃ [1/VCF(15℃)]</v>
      </c>
      <c r="R63" s="239"/>
      <c r="S63" s="474" t="s">
        <v>421</v>
      </c>
      <c r="T63" s="474" t="s">
        <v>422</v>
      </c>
      <c r="U63" s="2" t="str">
        <f t="shared" si="3"/>
        <v>Long Tons (in vacuo)</v>
      </c>
    </row>
    <row r="64" hidden="1" spans="8:21">
      <c r="H64" s="22" t="s">
        <v>302</v>
      </c>
      <c r="I64" s="21" t="s">
        <v>303</v>
      </c>
      <c r="J64" s="2" t="str">
        <f t="shared" si="4"/>
        <v>m³@15℃/bbls@60℉ [T-22]</v>
      </c>
      <c r="R64" s="239"/>
      <c r="S64" s="474" t="s">
        <v>423</v>
      </c>
      <c r="T64" s="474" t="s">
        <v>424</v>
      </c>
      <c r="U64" s="2" t="str">
        <f t="shared" si="3"/>
        <v>Long Tons (in air)</v>
      </c>
    </row>
    <row r="65" ht="15" hidden="1" customHeight="1" spans="8:21">
      <c r="H65" s="22" t="s">
        <v>306</v>
      </c>
      <c r="I65" s="19" t="s">
        <v>307</v>
      </c>
      <c r="J65" s="2" t="str">
        <f t="shared" si="4"/>
        <v>m³@15℃/bbls@60℉</v>
      </c>
      <c r="R65" s="234" t="s">
        <v>503</v>
      </c>
      <c r="S65" s="33" t="s">
        <v>699</v>
      </c>
      <c r="T65" s="33" t="s">
        <v>700</v>
      </c>
      <c r="U65" s="2" t="str">
        <f>IF(Report_Language=$H$1,S65,T65)</f>
        <v>Level Detected by</v>
      </c>
    </row>
    <row r="66" hidden="1" spans="8:21">
      <c r="H66" s="22" t="s">
        <v>310</v>
      </c>
      <c r="I66" s="21" t="s">
        <v>311</v>
      </c>
      <c r="J66" s="2" t="str">
        <f t="shared" ref="J66:J85" si="5">IF(Report_Language=$H$1,H66,I66)</f>
        <v>m³@15℃/bbls@60℉ [T-4] </v>
      </c>
      <c r="R66" s="234"/>
      <c r="S66" s="34" t="s">
        <v>701</v>
      </c>
      <c r="T66" s="34" t="s">
        <v>702</v>
      </c>
      <c r="U66" s="2" t="str">
        <f t="shared" ref="U66:U75" si="6">IF(Report_Language=$H$1,S66,T66)</f>
        <v>F.W. Detected by</v>
      </c>
    </row>
    <row r="67" hidden="1" spans="8:21">
      <c r="H67" s="22" t="s">
        <v>306</v>
      </c>
      <c r="I67" s="21" t="s">
        <v>314</v>
      </c>
      <c r="J67" s="2" t="str">
        <f t="shared" si="5"/>
        <v>m³@15℃/bbls@60℉</v>
      </c>
      <c r="R67" s="234"/>
      <c r="S67" s="33" t="s">
        <v>511</v>
      </c>
      <c r="T67" s="33" t="s">
        <v>512</v>
      </c>
      <c r="U67" s="2" t="str">
        <f t="shared" si="6"/>
        <v>Level System</v>
      </c>
    </row>
    <row r="68" hidden="1" spans="8:21">
      <c r="H68" s="19" t="s">
        <v>317</v>
      </c>
      <c r="I68" s="19" t="s">
        <v>318</v>
      </c>
      <c r="J68" s="2" t="str">
        <f t="shared" si="5"/>
        <v>m³@20℃/m³@15℃ [1/VCF(20℃)]</v>
      </c>
      <c r="R68" s="234"/>
      <c r="S68" s="34" t="s">
        <v>507</v>
      </c>
      <c r="T68" s="34" t="s">
        <v>508</v>
      </c>
      <c r="U68" s="2" t="str">
        <f t="shared" si="6"/>
        <v>Sounding Tape</v>
      </c>
    </row>
    <row r="69" hidden="1" spans="8:21">
      <c r="H69" s="17" t="s">
        <v>321</v>
      </c>
      <c r="I69" s="17" t="s">
        <v>322</v>
      </c>
      <c r="J69" s="2" t="str">
        <f t="shared" si="5"/>
        <v>m³@20℃/bbls@60℉ [T-4] x VCF(59℉)/VCF(68℉)</v>
      </c>
      <c r="R69" s="234"/>
      <c r="S69" s="33" t="s">
        <v>505</v>
      </c>
      <c r="T69" s="33" t="s">
        <v>505</v>
      </c>
      <c r="U69" s="2" t="str">
        <f t="shared" si="6"/>
        <v>UTI</v>
      </c>
    </row>
    <row r="70" hidden="1" spans="8:21">
      <c r="H70" s="17" t="s">
        <v>325</v>
      </c>
      <c r="I70" s="17" t="s">
        <v>326</v>
      </c>
      <c r="J70" s="2" t="str">
        <f t="shared" si="5"/>
        <v>m³@20℃/bbls@60℉</v>
      </c>
      <c r="R70" s="234"/>
      <c r="S70" s="34" t="s">
        <v>506</v>
      </c>
      <c r="T70" s="34" t="s">
        <v>506</v>
      </c>
      <c r="U70" s="2" t="str">
        <f t="shared" si="6"/>
        <v>MMC</v>
      </c>
    </row>
    <row r="71" hidden="1" spans="8:21">
      <c r="H71" s="17" t="s">
        <v>329</v>
      </c>
      <c r="I71" s="17" t="s">
        <v>330</v>
      </c>
      <c r="J71" s="2" t="str">
        <f t="shared" si="5"/>
        <v>m³@20℃/bbls@60℉ [T-22] x VCF(59℉)/VCF(68℉)</v>
      </c>
      <c r="R71" s="234"/>
      <c r="S71" s="33" t="s">
        <v>513</v>
      </c>
      <c r="T71" s="33" t="s">
        <v>514</v>
      </c>
      <c r="U71" s="2" t="str">
        <f t="shared" si="6"/>
        <v>Water Finding Paste</v>
      </c>
    </row>
    <row r="72" hidden="1" spans="8:21">
      <c r="H72" s="17" t="s">
        <v>325</v>
      </c>
      <c r="I72" s="17" t="s">
        <v>333</v>
      </c>
      <c r="J72" s="2" t="str">
        <f t="shared" si="5"/>
        <v>m³@20℃/bbls@60℉</v>
      </c>
      <c r="R72" s="234"/>
      <c r="S72" s="34" t="s">
        <v>703</v>
      </c>
      <c r="T72" s="34" t="s">
        <v>704</v>
      </c>
      <c r="U72" s="2" t="str">
        <f t="shared" si="6"/>
        <v>UTI &amp; Water Finding Paste</v>
      </c>
    </row>
    <row r="73" hidden="1" spans="8:21">
      <c r="H73" s="19" t="s">
        <v>336</v>
      </c>
      <c r="I73" s="21" t="s">
        <v>337</v>
      </c>
      <c r="J73" s="2" t="str">
        <f t="shared" si="5"/>
        <v>m³@30℃/m³@15℃ [1/VCF(30℃)]</v>
      </c>
      <c r="R73" s="234"/>
      <c r="S73" s="33" t="s">
        <v>705</v>
      </c>
      <c r="T73" s="33" t="s">
        <v>518</v>
      </c>
      <c r="U73" s="2" t="str">
        <f t="shared" si="6"/>
        <v>MMC &amp; Water Finding Paste</v>
      </c>
    </row>
    <row r="74" hidden="1" spans="8:21">
      <c r="H74" s="19" t="s">
        <v>340</v>
      </c>
      <c r="I74" s="21" t="s">
        <v>341</v>
      </c>
      <c r="J74" s="2" t="str">
        <f t="shared" si="5"/>
        <v>m³@30℃/m³@20℃ [1/VCF(30℃)]</v>
      </c>
      <c r="R74" s="234"/>
      <c r="S74" s="34" t="s">
        <v>706</v>
      </c>
      <c r="T74" s="34" t="s">
        <v>707</v>
      </c>
      <c r="U74" s="2" t="str">
        <f t="shared" si="6"/>
        <v>Ser. No.:</v>
      </c>
    </row>
    <row r="75" hidden="1" spans="8:21">
      <c r="H75" s="17" t="s">
        <v>344</v>
      </c>
      <c r="I75" s="17" t="s">
        <v>345</v>
      </c>
      <c r="J75" s="2" t="str">
        <f t="shared" si="5"/>
        <v>m³@30℃/bbls@60℉ [T-4] x VCF(59℉)/VCF(86℉)</v>
      </c>
      <c r="R75" s="234"/>
      <c r="S75" s="33" t="s">
        <v>521</v>
      </c>
      <c r="T75" s="33" t="s">
        <v>522</v>
      </c>
      <c r="U75" s="2" t="str">
        <f t="shared" si="6"/>
        <v>Brand of Water Finding Paste</v>
      </c>
    </row>
    <row r="76" hidden="1" spans="8:18">
      <c r="H76" s="17" t="s">
        <v>348</v>
      </c>
      <c r="I76" s="17" t="s">
        <v>349</v>
      </c>
      <c r="J76" s="2" t="str">
        <f t="shared" si="5"/>
        <v>m³@30℃/bbls@60℉</v>
      </c>
      <c r="R76" s="234"/>
    </row>
    <row r="77" ht="15" hidden="1" customHeight="1" spans="8:21">
      <c r="H77" s="17" t="s">
        <v>350</v>
      </c>
      <c r="I77" s="17" t="s">
        <v>351</v>
      </c>
      <c r="J77" s="2" t="str">
        <f t="shared" si="5"/>
        <v>m³@30℃/bbls@60℉ [T-22] x VCF(59℉)/VCF(86℉)</v>
      </c>
      <c r="S77" s="34" t="s">
        <v>708</v>
      </c>
      <c r="T77" s="34" t="s">
        <v>709</v>
      </c>
      <c r="U77" s="2" t="str">
        <f t="shared" ref="U77:U85" si="7">IF(Report_Language=$H$1,S77,T77)</f>
        <v>Volume Unit</v>
      </c>
    </row>
    <row r="78" hidden="1" spans="8:21">
      <c r="H78" s="17" t="s">
        <v>348</v>
      </c>
      <c r="I78" s="17" t="s">
        <v>352</v>
      </c>
      <c r="J78" s="2" t="str">
        <f t="shared" si="5"/>
        <v>m³@30℃/bbls@60℉</v>
      </c>
      <c r="S78" s="164" t="s">
        <v>524</v>
      </c>
      <c r="T78" s="164" t="s">
        <v>525</v>
      </c>
      <c r="U78" s="2" t="str">
        <f t="shared" si="7"/>
        <v>Tank No.</v>
      </c>
    </row>
    <row r="79" hidden="1" spans="8:21">
      <c r="H79" s="5" t="s">
        <v>353</v>
      </c>
      <c r="I79" s="32" t="s">
        <v>354</v>
      </c>
      <c r="J79" s="2" t="str">
        <f t="shared" si="5"/>
        <v>US Gallon/US Barrels [T-1]</v>
      </c>
      <c r="S79" s="164" t="s">
        <v>710</v>
      </c>
      <c r="T79" s="164" t="s">
        <v>711</v>
      </c>
      <c r="U79" s="2" t="str">
        <f t="shared" si="7"/>
        <v>Corrected Gauge</v>
      </c>
    </row>
    <row r="80" hidden="1" spans="8:21">
      <c r="H80" s="33" t="s">
        <v>355</v>
      </c>
      <c r="I80" s="33" t="s">
        <v>356</v>
      </c>
      <c r="J80" s="2" t="str">
        <f t="shared" si="5"/>
        <v>Master/Chief Officer</v>
      </c>
      <c r="S80" s="164" t="s">
        <v>712</v>
      </c>
      <c r="T80" s="164" t="s">
        <v>713</v>
      </c>
      <c r="U80" s="2" t="str">
        <f t="shared" si="7"/>
        <v>Current Trim</v>
      </c>
    </row>
    <row r="81" hidden="1" spans="8:21">
      <c r="H81" s="34" t="s">
        <v>357</v>
      </c>
      <c r="I81" s="34" t="s">
        <v>358</v>
      </c>
      <c r="J81" s="2" t="str">
        <f t="shared" si="5"/>
        <v>CCIC Surveyor</v>
      </c>
      <c r="S81" s="164" t="s">
        <v>714</v>
      </c>
      <c r="T81" s="164" t="s">
        <v>529</v>
      </c>
      <c r="U81" s="2" t="str">
        <f t="shared" si="7"/>
        <v>Level</v>
      </c>
    </row>
    <row r="82" hidden="1" spans="8:21">
      <c r="H82" s="33" t="s">
        <v>359</v>
      </c>
      <c r="I82" s="33" t="s">
        <v>360</v>
      </c>
      <c r="J82" s="2" t="str">
        <f t="shared" si="5"/>
        <v>Name</v>
      </c>
      <c r="S82" s="164" t="s">
        <v>715</v>
      </c>
      <c r="T82" s="164" t="s">
        <v>716</v>
      </c>
      <c r="U82" s="2" t="str">
        <f t="shared" si="7"/>
        <v>Trim</v>
      </c>
    </row>
    <row r="83" hidden="1" spans="8:25">
      <c r="H83" s="34" t="s">
        <v>361</v>
      </c>
      <c r="I83" s="34" t="s">
        <v>362</v>
      </c>
      <c r="J83" s="2" t="str">
        <f t="shared" si="5"/>
        <v>Signature</v>
      </c>
      <c r="S83" s="164" t="s">
        <v>717</v>
      </c>
      <c r="T83" s="164" t="s">
        <v>568</v>
      </c>
      <c r="U83" s="2" t="str">
        <f t="shared" si="7"/>
        <v>Table Volume</v>
      </c>
      <c r="Y83">
        <v>1</v>
      </c>
    </row>
    <row r="84" hidden="1" spans="8:21">
      <c r="H84" s="33" t="s">
        <v>363</v>
      </c>
      <c r="I84" s="33" t="s">
        <v>364</v>
      </c>
      <c r="J84" s="2" t="str">
        <f t="shared" si="5"/>
        <v>Authorized Signature (S)</v>
      </c>
      <c r="S84" s="164" t="s">
        <v>718</v>
      </c>
      <c r="T84" s="164" t="s">
        <v>719</v>
      </c>
      <c r="U84" s="2" t="str">
        <f t="shared" si="7"/>
        <v>Gallon/bbls [T-1]</v>
      </c>
    </row>
    <row r="85" hidden="1" spans="8:21">
      <c r="H85" s="34" t="s">
        <v>74</v>
      </c>
      <c r="I85" s="34" t="s">
        <v>75</v>
      </c>
      <c r="J85" s="2" t="str">
        <f t="shared" si="5"/>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S85" s="791" t="str">
        <f>"- Free water detection and determination are in line with client's instruction, details refer to "&amp;'Vsl FW'!I92&amp;"."</f>
        <v>- Free water detection and determination are in line with client's instruction, details refer to FREE WATER MEASUREMENT REPORT.</v>
      </c>
      <c r="T85" s="791" t="str">
        <f>"- 游离水的检测方式和确定方法按照客户指示，详情请参阅"&amp;'Vsl FW'!I92&amp;"。"</f>
        <v>- 游离水的检测方式和确定方法按照客户指示，详情请参阅FREE WATER MEASUREMENT REPORT。</v>
      </c>
      <c r="U85" s="2" t="str">
        <f t="shared" si="7"/>
        <v>- Free water detection and determination are in line with client's instruction, details refer to FREE WATER MEASUREMENT REPORT.</v>
      </c>
    </row>
    <row r="86" hidden="1" spans="3:10">
      <c r="C86" s="27"/>
      <c r="D86" s="27"/>
      <c r="E86" s="27"/>
      <c r="F86" s="27"/>
      <c r="G86" s="27"/>
      <c r="H86" s="28"/>
      <c r="I86" s="28"/>
      <c r="J86" s="29"/>
    </row>
    <row r="87" hidden="1" spans="3:10">
      <c r="C87" s="27"/>
      <c r="D87" s="27"/>
      <c r="E87" s="27"/>
      <c r="F87" s="27"/>
      <c r="G87" s="27"/>
      <c r="H87" s="28"/>
      <c r="I87" s="28"/>
      <c r="J87" s="29"/>
    </row>
    <row r="88" hidden="1" spans="1:1">
      <c r="A88" t="str">
        <f>IF(OR(B88="隐藏",C88="隐藏"),"隐藏","显示")</f>
        <v>显示</v>
      </c>
    </row>
    <row r="89" ht="12" customHeight="1" spans="1:22">
      <c r="A89" t="str">
        <f>IF(OR(B89="隐藏",C89="隐藏"),"隐藏","显示")</f>
        <v>显示</v>
      </c>
      <c r="I89" s="47"/>
      <c r="J89" s="47"/>
      <c r="K89" s="47"/>
      <c r="L89" s="47"/>
      <c r="M89" s="47"/>
      <c r="N89" s="47"/>
      <c r="O89" s="47"/>
      <c r="P89" s="47"/>
      <c r="Q89" s="47"/>
      <c r="R89" s="47"/>
      <c r="S89" s="47"/>
      <c r="U89" s="670" t="str">
        <f>J2</f>
        <v>JOB NO.</v>
      </c>
      <c r="V89" s="671" t="str">
        <f>单号</f>
        <v>这就是爱</v>
      </c>
    </row>
    <row r="90" ht="12" customHeight="1" spans="1:22">
      <c r="A90" t="str">
        <f>IF(OR(B90="隐藏",C90="隐藏"),"隐藏","显示")</f>
        <v>显示</v>
      </c>
      <c r="I90" s="47"/>
      <c r="J90" s="47"/>
      <c r="K90" s="47"/>
      <c r="L90" s="47"/>
      <c r="M90" s="47"/>
      <c r="N90" s="47"/>
      <c r="O90" s="47"/>
      <c r="P90" s="47"/>
      <c r="Q90" s="47"/>
      <c r="R90" s="47"/>
      <c r="S90" s="47"/>
      <c r="U90" s="670" t="str">
        <f>J3</f>
        <v>DATE OF REPORT</v>
      </c>
      <c r="V90" s="671" t="str">
        <f>报告日期</f>
        <v>YYYY-MM-DD</v>
      </c>
    </row>
    <row r="91" ht="9.6" customHeight="1" spans="1:22">
      <c r="A91" t="str">
        <f>IF(OR(B91="隐藏",C91="隐藏"),"隐藏","显示")</f>
        <v>显示</v>
      </c>
      <c r="I91" s="47"/>
      <c r="J91" s="47"/>
      <c r="K91" s="47"/>
      <c r="L91" s="47"/>
      <c r="M91" s="47"/>
      <c r="N91" s="47"/>
      <c r="O91" s="47"/>
      <c r="P91" s="47"/>
      <c r="Q91" s="47"/>
      <c r="R91" s="47"/>
      <c r="S91" s="47"/>
      <c r="T91" s="47"/>
      <c r="U91" s="47"/>
      <c r="V91" s="47"/>
    </row>
    <row r="92" ht="9.6" customHeight="1" spans="1:22">
      <c r="A92" t="str">
        <f>IF(OR(B92="隐藏",C92="隐藏"),"隐藏","显示")</f>
        <v>显示</v>
      </c>
      <c r="I92" s="47"/>
      <c r="J92" s="47"/>
      <c r="K92" s="47"/>
      <c r="L92" s="47"/>
      <c r="M92" s="47"/>
      <c r="N92" s="47"/>
      <c r="O92" s="47"/>
      <c r="P92" s="47"/>
      <c r="Q92" s="47"/>
      <c r="R92" s="47"/>
      <c r="S92" s="47"/>
      <c r="T92" s="47"/>
      <c r="U92" s="47"/>
      <c r="V92" s="47"/>
    </row>
    <row r="93" ht="12.45" customHeight="1" spans="1:22">
      <c r="A93" t="str">
        <f t="shared" ref="A93:A156" si="8">IF(OR(B93="隐藏",C93="隐藏"),"隐藏","显示")</f>
        <v>显示</v>
      </c>
      <c r="B93" t="str">
        <f>IF(隐藏客户名称,"隐藏","显示")</f>
        <v>显示</v>
      </c>
      <c r="C93" t="b">
        <v>0</v>
      </c>
      <c r="I93" s="643" t="str">
        <f>U10</f>
        <v>ULLAGE REPORT</v>
      </c>
      <c r="J93" s="643"/>
      <c r="K93" s="643"/>
      <c r="L93" s="643"/>
      <c r="M93" s="643"/>
      <c r="N93" s="643"/>
      <c r="O93" s="644"/>
      <c r="P93" s="645" t="str">
        <f t="shared" ref="P93:P99" si="9">J4</f>
        <v>APPLICANT</v>
      </c>
      <c r="Q93" s="645"/>
      <c r="R93" s="645"/>
      <c r="S93" s="672" t="str">
        <f>客户名</f>
        <v>PETROCHINA </v>
      </c>
      <c r="T93" s="672"/>
      <c r="U93" s="672"/>
      <c r="V93" s="672"/>
    </row>
    <row r="94" ht="12.45" customHeight="1" spans="1:22">
      <c r="A94" t="str">
        <f t="shared" si="8"/>
        <v>显示</v>
      </c>
      <c r="B94" t="str">
        <f>IF(隐藏客户编号,"隐藏","显示")</f>
        <v>显示</v>
      </c>
      <c r="C94" t="b">
        <v>0</v>
      </c>
      <c r="I94" s="643"/>
      <c r="J94" s="643"/>
      <c r="K94" s="643"/>
      <c r="L94" s="643"/>
      <c r="M94" s="643"/>
      <c r="N94" s="643"/>
      <c r="O94" s="644"/>
      <c r="P94" s="645" t="str">
        <f t="shared" si="9"/>
        <v>CLIENT'S REF. NO.</v>
      </c>
      <c r="Q94" s="645"/>
      <c r="R94" s="645"/>
      <c r="S94" s="673" t="str">
        <f>客户编号</f>
        <v>说也说不清楚</v>
      </c>
      <c r="T94" s="673"/>
      <c r="U94" s="673"/>
      <c r="V94" s="673"/>
    </row>
    <row r="95" ht="12.45" customHeight="1" spans="1:22">
      <c r="A95" t="str">
        <f t="shared" si="8"/>
        <v>显示</v>
      </c>
      <c r="I95" s="643"/>
      <c r="J95" s="643"/>
      <c r="K95" s="643"/>
      <c r="L95" s="643"/>
      <c r="M95" s="643"/>
      <c r="N95" s="643"/>
      <c r="O95" s="644"/>
      <c r="P95" s="645" t="str">
        <f t="shared" si="9"/>
        <v>COMMODITY</v>
      </c>
      <c r="Q95" s="645"/>
      <c r="R95" s="645"/>
      <c r="S95" s="673" t="str">
        <f>品名</f>
        <v>Crude Oil6658</v>
      </c>
      <c r="T95" s="673"/>
      <c r="U95" s="673"/>
      <c r="V95" s="673"/>
    </row>
    <row r="96" ht="12.45" customHeight="1" spans="1:22">
      <c r="A96" t="str">
        <f t="shared" si="8"/>
        <v>显示</v>
      </c>
      <c r="B96" t="str">
        <f>IF(隐藏船名,"隐藏","显示")</f>
        <v>显示</v>
      </c>
      <c r="C96" t="b">
        <v>0</v>
      </c>
      <c r="I96" s="643"/>
      <c r="J96" s="643"/>
      <c r="K96" s="643"/>
      <c r="L96" s="643"/>
      <c r="M96" s="643"/>
      <c r="N96" s="643"/>
      <c r="O96" s="644"/>
      <c r="P96" s="645" t="str">
        <f t="shared" si="9"/>
        <v>VESSEL</v>
      </c>
      <c r="Q96" s="645"/>
      <c r="R96" s="645"/>
      <c r="S96" s="673" t="str">
        <f>船名</f>
        <v>MT ZhenYuanefdasdf</v>
      </c>
      <c r="T96" s="673"/>
      <c r="U96" s="673"/>
      <c r="V96" s="673"/>
    </row>
    <row r="97" ht="12.45" customHeight="1" spans="1:22">
      <c r="A97" t="str">
        <f t="shared" si="8"/>
        <v>显示</v>
      </c>
      <c r="B97" t="str">
        <f>IF(隐藏港口名称,"隐藏","显示")</f>
        <v>显示</v>
      </c>
      <c r="C97" t="b">
        <v>0</v>
      </c>
      <c r="I97" s="643"/>
      <c r="J97" s="643"/>
      <c r="K97" s="643"/>
      <c r="L97" s="643"/>
      <c r="M97" s="643"/>
      <c r="N97" s="643"/>
      <c r="O97" s="644"/>
      <c r="P97" s="645" t="str">
        <f t="shared" si="9"/>
        <v>PORT</v>
      </c>
      <c r="Q97" s="645"/>
      <c r="R97" s="645"/>
      <c r="S97" s="673" t="str">
        <f>港口名</f>
        <v>Dalian, Chinafsadfa</v>
      </c>
      <c r="T97" s="673"/>
      <c r="U97" s="673"/>
      <c r="V97" s="673"/>
    </row>
    <row r="98" ht="12.45" customHeight="1" spans="1:22">
      <c r="A98" t="str">
        <f t="shared" si="8"/>
        <v>显示</v>
      </c>
      <c r="B98" t="str">
        <f>IF(隐藏油库名称,"隐藏","显示")</f>
        <v>显示</v>
      </c>
      <c r="C98" t="b">
        <v>0</v>
      </c>
      <c r="I98" s="643"/>
      <c r="J98" s="643"/>
      <c r="K98" s="643"/>
      <c r="L98" s="643"/>
      <c r="M98" s="643"/>
      <c r="N98" s="643"/>
      <c r="O98" s="644"/>
      <c r="P98" s="645" t="str">
        <f t="shared" si="9"/>
        <v>TERMINAL</v>
      </c>
      <c r="Q98" s="645"/>
      <c r="R98" s="645"/>
      <c r="S98" s="673" t="str">
        <f>油库名</f>
        <v>Dalian Chinaoil, China1325415</v>
      </c>
      <c r="T98" s="673"/>
      <c r="U98" s="673"/>
      <c r="V98" s="673"/>
    </row>
    <row r="99" ht="12.45" customHeight="1" spans="1:22">
      <c r="A99" t="str">
        <f t="shared" si="8"/>
        <v>显示</v>
      </c>
      <c r="I99" s="646" t="str">
        <f>M9</f>
        <v>Before Discharging</v>
      </c>
      <c r="J99" s="646"/>
      <c r="K99" s="646"/>
      <c r="L99" s="646"/>
      <c r="M99" s="646"/>
      <c r="N99" s="646"/>
      <c r="O99" s="646"/>
      <c r="P99" s="645" t="str">
        <f t="shared" si="9"/>
        <v>DATE OF INSPECTION</v>
      </c>
      <c r="Q99" s="645"/>
      <c r="R99" s="645"/>
      <c r="S99" s="673" t="str">
        <f>检验日期</f>
        <v>YYYY-MM-DD To YYYY-MM-DD</v>
      </c>
      <c r="T99" s="673"/>
      <c r="U99" s="673"/>
      <c r="V99" s="673"/>
    </row>
    <row r="100" ht="5.4" customHeight="1" spans="1:29">
      <c r="A100" t="str">
        <f t="shared" si="8"/>
        <v>显示</v>
      </c>
      <c r="I100" s="646"/>
      <c r="J100" s="646"/>
      <c r="K100" s="646"/>
      <c r="L100" s="646"/>
      <c r="M100" s="646"/>
      <c r="N100" s="646"/>
      <c r="O100" s="646"/>
      <c r="P100" s="47"/>
      <c r="Q100" s="47"/>
      <c r="R100" s="47"/>
      <c r="S100" s="47"/>
      <c r="T100" s="47"/>
      <c r="U100" s="47"/>
      <c r="V100" s="47"/>
      <c r="Y100" s="101"/>
      <c r="Z100" s="101"/>
      <c r="AA100" s="101"/>
      <c r="AB100" s="101"/>
      <c r="AC100" s="101"/>
    </row>
    <row r="101" ht="12.6" customHeight="1" spans="1:29">
      <c r="A101" t="str">
        <f t="shared" si="8"/>
        <v>显示</v>
      </c>
      <c r="I101" s="247"/>
      <c r="J101" s="247"/>
      <c r="K101" s="247"/>
      <c r="L101" s="247"/>
      <c r="M101" s="247"/>
      <c r="N101" s="247"/>
      <c r="O101" s="247"/>
      <c r="P101" s="247"/>
      <c r="Q101" s="247"/>
      <c r="S101" s="247" t="str">
        <f>U29</f>
        <v>Date :</v>
      </c>
      <c r="T101" s="674">
        <v>44188</v>
      </c>
      <c r="U101" s="675" t="str">
        <f>U30</f>
        <v>Time :</v>
      </c>
      <c r="V101" s="676">
        <v>0.538194444444444</v>
      </c>
      <c r="W101" s="117"/>
      <c r="X101" s="117"/>
      <c r="Y101" s="694"/>
      <c r="Z101" s="101"/>
      <c r="AA101" s="101"/>
      <c r="AB101" s="101"/>
      <c r="AC101" s="101"/>
    </row>
    <row r="102" ht="12.6" customHeight="1" spans="1:29">
      <c r="A102" t="str">
        <f t="shared" si="8"/>
        <v>显示</v>
      </c>
      <c r="I102" s="647" t="str">
        <f>U41</f>
        <v>Sea Condition:</v>
      </c>
      <c r="J102" s="647"/>
      <c r="K102" s="647"/>
      <c r="L102" s="352" t="str">
        <f>M12</f>
        <v>Calm</v>
      </c>
      <c r="M102" s="352"/>
      <c r="N102" s="247"/>
      <c r="O102" s="247"/>
      <c r="P102" s="354" t="str">
        <f>U65</f>
        <v>Level Detected by</v>
      </c>
      <c r="Q102" s="354"/>
      <c r="R102" s="233"/>
      <c r="S102" s="677" t="str">
        <f>M10</f>
        <v>UTI</v>
      </c>
      <c r="T102" s="352"/>
      <c r="U102" s="675" t="str">
        <f>U74</f>
        <v>Ser. No.:</v>
      </c>
      <c r="V102" s="678" t="s">
        <v>720</v>
      </c>
      <c r="W102" s="117"/>
      <c r="X102" s="679"/>
      <c r="Y102" s="694"/>
      <c r="Z102" s="101"/>
      <c r="AA102" s="101"/>
      <c r="AB102" s="101"/>
      <c r="AC102" s="101"/>
    </row>
    <row r="103" ht="12.6" customHeight="1" spans="1:29">
      <c r="A103" t="str">
        <f t="shared" si="8"/>
        <v>显示</v>
      </c>
      <c r="I103" s="647" t="str">
        <f>U31</f>
        <v>Draft Fwd :</v>
      </c>
      <c r="J103" s="647"/>
      <c r="K103" s="648">
        <v>12.4</v>
      </c>
      <c r="L103" s="648"/>
      <c r="M103" s="247" t="str">
        <f>U46</f>
        <v>m</v>
      </c>
      <c r="N103" s="247"/>
      <c r="O103" s="247"/>
      <c r="P103" s="354" t="str">
        <f>U66</f>
        <v>F.W. Detected by</v>
      </c>
      <c r="Q103" s="354"/>
      <c r="R103" s="233"/>
      <c r="S103" s="680" t="str">
        <f>M11</f>
        <v>UTI &amp; Water Finding Paste</v>
      </c>
      <c r="T103" s="353"/>
      <c r="U103" s="352"/>
      <c r="V103" s="352"/>
      <c r="X103" s="117"/>
      <c r="Y103" s="694"/>
      <c r="Z103" s="101"/>
      <c r="AA103" s="101"/>
      <c r="AB103" s="101"/>
      <c r="AC103" s="101"/>
    </row>
    <row r="104" ht="12.6" customHeight="1" spans="1:29">
      <c r="A104" t="str">
        <f t="shared" si="8"/>
        <v>显示</v>
      </c>
      <c r="I104" s="647" t="str">
        <f>U32</f>
        <v>Draft Aft :</v>
      </c>
      <c r="J104" s="647"/>
      <c r="K104" s="648">
        <v>13.6</v>
      </c>
      <c r="L104" s="648"/>
      <c r="M104" s="247" t="str">
        <f>U46</f>
        <v>m</v>
      </c>
      <c r="N104" s="247"/>
      <c r="O104" s="247"/>
      <c r="P104" s="647" t="str">
        <f>U75</f>
        <v>Brand of Water Finding Paste</v>
      </c>
      <c r="Q104" s="647"/>
      <c r="R104" s="647"/>
      <c r="S104" s="681" t="s">
        <v>721</v>
      </c>
      <c r="T104" s="682"/>
      <c r="U104" s="353"/>
      <c r="V104" s="353"/>
      <c r="W104" s="117"/>
      <c r="X104" s="117"/>
      <c r="Y104" s="694"/>
      <c r="Z104" s="101"/>
      <c r="AA104" s="101"/>
      <c r="AB104" s="101"/>
      <c r="AC104" s="101"/>
    </row>
    <row r="105" ht="12.6" customHeight="1" spans="1:29">
      <c r="A105" t="str">
        <f t="shared" si="8"/>
        <v>显示</v>
      </c>
      <c r="I105" s="647" t="str">
        <f>U34</f>
        <v>Trim :</v>
      </c>
      <c r="J105" s="647"/>
      <c r="K105" s="649">
        <f>IF(OR(ISBLANK(K103),ISBLANK(K104)),"",ABS(K103-K104))</f>
        <v>1.2</v>
      </c>
      <c r="L105" s="649"/>
      <c r="M105" s="247" t="str">
        <f>IF(OR(ISBLANK(K103),ISBLANK(K104)),U46,IF(K103&gt;K104,U35,IF(K103&lt;K104,U36,U37)))</f>
        <v>m By Stern</v>
      </c>
      <c r="N105" s="247"/>
      <c r="O105" s="247"/>
      <c r="P105" s="647" t="str">
        <f>INDEX(J20:J23,L7,0)</f>
        <v>Density@15℃ (g/cm³)</v>
      </c>
      <c r="Q105" s="647"/>
      <c r="R105" s="647"/>
      <c r="S105" s="683">
        <v>0.8232</v>
      </c>
      <c r="T105" s="684" t="str">
        <f>G18</f>
        <v>Supplied by</v>
      </c>
      <c r="U105" s="685" t="s">
        <v>722</v>
      </c>
      <c r="V105" s="685"/>
      <c r="W105" s="117"/>
      <c r="X105" s="679"/>
      <c r="Y105" s="694"/>
      <c r="Z105" s="101"/>
      <c r="AA105" s="101"/>
      <c r="AB105" s="101"/>
      <c r="AC105" s="101"/>
    </row>
    <row r="106" ht="12.6" customHeight="1" spans="1:29">
      <c r="A106" t="str">
        <f t="shared" si="8"/>
        <v>显示</v>
      </c>
      <c r="I106" s="647" t="str">
        <f>U33</f>
        <v>List :</v>
      </c>
      <c r="J106" s="647"/>
      <c r="K106" s="648">
        <v>0</v>
      </c>
      <c r="L106" s="648"/>
      <c r="M106" s="247" t="str">
        <f>M13</f>
        <v>Upright</v>
      </c>
      <c r="N106" s="247"/>
      <c r="O106" s="247"/>
      <c r="P106" s="247" t="str">
        <f>IF(Cargo_type="C",IF(OR(LEFT(vcfTab,4)="T-54",LEFT(vcfTab,4)="T-60"),G26,G25),"")</f>
        <v/>
      </c>
      <c r="Q106" s="247"/>
      <c r="R106" s="233"/>
      <c r="S106" s="247"/>
      <c r="T106" s="233"/>
      <c r="U106" s="686">
        <v>0.00046</v>
      </c>
      <c r="V106" s="686"/>
      <c r="W106" s="117"/>
      <c r="X106" s="117"/>
      <c r="Y106" s="694"/>
      <c r="Z106" s="101"/>
      <c r="AA106" s="101"/>
      <c r="AB106" s="101"/>
      <c r="AC106" s="101"/>
    </row>
    <row r="107" ht="4.8" customHeight="1" spans="1:29">
      <c r="A107" t="str">
        <f t="shared" si="8"/>
        <v>显示</v>
      </c>
      <c r="I107" s="47"/>
      <c r="J107" s="47"/>
      <c r="K107" s="47"/>
      <c r="L107" s="47"/>
      <c r="M107" s="47"/>
      <c r="N107" s="47"/>
      <c r="O107" s="47"/>
      <c r="P107" s="47"/>
      <c r="Q107" s="47"/>
      <c r="R107" s="117"/>
      <c r="S107" s="117"/>
      <c r="T107" s="117"/>
      <c r="U107" s="117"/>
      <c r="V107" s="117"/>
      <c r="W107" s="117"/>
      <c r="X107" s="117"/>
      <c r="Y107" s="694"/>
      <c r="Z107" s="101"/>
      <c r="AA107" s="101"/>
      <c r="AB107" s="101"/>
      <c r="AC107" s="101"/>
    </row>
    <row r="108" ht="25.8" customHeight="1" spans="1:29">
      <c r="A108" t="str">
        <f t="shared" si="8"/>
        <v>显示</v>
      </c>
      <c r="I108" s="47"/>
      <c r="J108" s="650" t="str">
        <f>G1</f>
        <v>Tank No.</v>
      </c>
      <c r="K108" s="651" t="str">
        <f>G2</f>
        <v>G. H. L. 
(1)</v>
      </c>
      <c r="L108" s="652" t="str">
        <f>G3</f>
        <v>Gauge</v>
      </c>
      <c r="M108" s="652"/>
      <c r="N108" s="652"/>
      <c r="O108" s="652" t="str">
        <f>G5</f>
        <v>Temp</v>
      </c>
      <c r="P108" s="653" t="str">
        <f>G9</f>
        <v>Total Observed Volume</v>
      </c>
      <c r="Q108" s="652" t="str">
        <f>G10</f>
        <v>Free Water</v>
      </c>
      <c r="R108" s="652"/>
      <c r="S108" s="652"/>
      <c r="T108" s="653" t="str">
        <f>G12</f>
        <v>Gross Observed Volume</v>
      </c>
      <c r="U108" s="653" t="str">
        <f>G13</f>
        <v>VCF</v>
      </c>
      <c r="V108" s="687" t="str">
        <f>G14</f>
        <v>Gross Standard Volume</v>
      </c>
      <c r="W108" s="47"/>
      <c r="X108" s="47"/>
      <c r="Y108" s="694"/>
      <c r="Z108" s="101"/>
      <c r="AA108" s="101"/>
      <c r="AB108" s="101"/>
      <c r="AC108" s="101"/>
    </row>
    <row r="109" ht="23.4" customHeight="1" spans="1:29">
      <c r="A109" t="str">
        <f t="shared" si="8"/>
        <v>显示</v>
      </c>
      <c r="D109" s="47" t="s">
        <v>599</v>
      </c>
      <c r="E109" s="117" t="s">
        <v>599</v>
      </c>
      <c r="F109" t="s">
        <v>723</v>
      </c>
      <c r="G109" t="s">
        <v>723</v>
      </c>
      <c r="I109" s="47"/>
      <c r="J109" s="654"/>
      <c r="K109" s="655"/>
      <c r="L109" s="656" t="str">
        <f>G6</f>
        <v>U/I
(2)</v>
      </c>
      <c r="M109" s="657" t="str">
        <f>G7</f>
        <v>Obs'd</v>
      </c>
      <c r="N109" s="657" t="str">
        <f>G8</f>
        <v>Corr'd</v>
      </c>
      <c r="O109" s="657"/>
      <c r="P109" s="656"/>
      <c r="Q109" s="656" t="str">
        <f>G6</f>
        <v>U/I
(2)</v>
      </c>
      <c r="R109" s="656" t="str">
        <f>G4</f>
        <v>Interface</v>
      </c>
      <c r="S109" s="657" t="str">
        <f>G11</f>
        <v>Volume</v>
      </c>
      <c r="T109" s="656"/>
      <c r="U109" s="657" t="str">
        <f>vcfTab</f>
        <v>T-60B</v>
      </c>
      <c r="V109" s="688"/>
      <c r="W109" s="47"/>
      <c r="Y109" s="101"/>
      <c r="Z109" s="101"/>
      <c r="AA109" s="101"/>
      <c r="AB109" s="101"/>
      <c r="AC109" s="101"/>
    </row>
    <row r="110" spans="1:29">
      <c r="A110" t="str">
        <f t="shared" si="8"/>
        <v>显示</v>
      </c>
      <c r="D110" s="47" t="str">
        <f>$U$47</f>
        <v>m³</v>
      </c>
      <c r="E110" s="117" t="str">
        <f>$U$48</f>
        <v>bbls</v>
      </c>
      <c r="F110" s="47" t="str">
        <f>$U$47</f>
        <v>m³</v>
      </c>
      <c r="G110" s="117" t="str">
        <f>$U$48</f>
        <v>bbls</v>
      </c>
      <c r="I110" s="47"/>
      <c r="J110" s="658"/>
      <c r="K110" s="659"/>
      <c r="L110" s="660"/>
      <c r="M110" s="661" t="str">
        <f>U46</f>
        <v>m</v>
      </c>
      <c r="N110" s="661" t="str">
        <f>U46</f>
        <v>m</v>
      </c>
      <c r="O110" s="662" t="s">
        <v>495</v>
      </c>
      <c r="P110" s="663" t="str">
        <f>表体积单位</f>
        <v>bbls</v>
      </c>
      <c r="Q110" s="660"/>
      <c r="R110" s="661" t="str">
        <f>U46</f>
        <v>m</v>
      </c>
      <c r="S110" s="661" t="str">
        <f>P110</f>
        <v>bbls</v>
      </c>
      <c r="T110" s="661" t="str">
        <f>P110</f>
        <v>bbls</v>
      </c>
      <c r="U110" s="689" t="str">
        <f>IF(语言序号=1,"Ver. "&amp;vcfVersion,vcfVersion&amp;"版")</f>
        <v>Ver. 2004</v>
      </c>
      <c r="V110" s="690" t="str">
        <f>IF(LEFT(vcfTab,4)="T-54",U51,IF(LEFT(vcfTab,4)="T-60",U52,U53))</f>
        <v>m³ (20℃)</v>
      </c>
      <c r="W110" s="47"/>
      <c r="Y110" s="101"/>
      <c r="Z110" s="101"/>
      <c r="AA110" s="101"/>
      <c r="AB110" s="101"/>
      <c r="AC110" s="101"/>
    </row>
    <row r="111" ht="12" customHeight="1" spans="1:23">
      <c r="A111" t="str">
        <f t="shared" si="8"/>
        <v>显示</v>
      </c>
      <c r="D111" s="474">
        <f>IF(T111="","",ROUND(IF($T$110=$D$110,T111,T_1_bbls_to_cbm(T111)),3))</f>
        <v>4194.721</v>
      </c>
      <c r="E111" s="474">
        <f>IF(T111="","",ROUND(IF($T$110=$E$110,T111,T_1_cbm_to_bbls(T111)),2))</f>
        <v>26384</v>
      </c>
      <c r="F111" s="474">
        <f>IF(S111="","",ROUND(IF($S$110=$F$110,S111,T_1_bbls_to_cbm(S111)),3))</f>
        <v>0</v>
      </c>
      <c r="G111" s="474">
        <f>IF(S111="","",ROUND(IF($S$110=$G$110,S111,T_1_cbm_to_bbls(S111)),2))</f>
        <v>0</v>
      </c>
      <c r="I111" s="47"/>
      <c r="J111" s="664" t="s">
        <v>615</v>
      </c>
      <c r="K111" s="85" t="s">
        <v>624</v>
      </c>
      <c r="L111" s="85" t="s">
        <v>617</v>
      </c>
      <c r="M111" s="96">
        <v>2.26</v>
      </c>
      <c r="N111" s="96">
        <f>M111</f>
        <v>2.26</v>
      </c>
      <c r="O111" s="665">
        <v>38.2</v>
      </c>
      <c r="P111" s="85">
        <v>26384</v>
      </c>
      <c r="Q111" s="85" t="s">
        <v>619</v>
      </c>
      <c r="R111" s="96" t="s">
        <v>724</v>
      </c>
      <c r="S111" s="85">
        <v>0</v>
      </c>
      <c r="T111" s="82">
        <f>IF(P111="","",P111-S111)</f>
        <v>26384</v>
      </c>
      <c r="U111" s="82">
        <f>IF(T111="","",IF($S$105="","",vcf(vcfTab,vcfVersion,$N$133,$O$110,O111,$U$106)))</f>
        <v>0.98384</v>
      </c>
      <c r="V111" s="691">
        <f t="shared" ref="V111:V128" si="10">IF(T111="","",IF(OR(LEFT(vcfTab,4)="T-54",LEFT(vcfTab,4)="T-60"),ROUND(U111*D111,3),ROUND(U111*E111,2)))</f>
        <v>4126.934</v>
      </c>
      <c r="W111" s="47"/>
    </row>
    <row r="112" ht="12" customHeight="1" spans="1:23">
      <c r="A112" t="str">
        <f t="shared" si="8"/>
        <v>显示</v>
      </c>
      <c r="D112" s="474">
        <f>IF(T112="","",ROUND(IF($T$110=$D$110,T112,T_1_bbls_to_cbm(T112)),3))</f>
        <v>5047.688</v>
      </c>
      <c r="E112" s="474">
        <f>IF(T112="","",ROUND(IF($T$110=$E$110,T112,T_1_cbm_to_bbls(T112)),2))</f>
        <v>31749</v>
      </c>
      <c r="F112" s="474">
        <f>IF(S112="","",ROUND(IF($S$110=$F$110,S112,T_1_bbls_to_cbm(S112)),3))</f>
        <v>3.657</v>
      </c>
      <c r="G112" s="474">
        <f>IF(S112="","",ROUND(IF($S$110=$G$110,S112,T_1_cbm_to_bbls(S112)),2))</f>
        <v>23</v>
      </c>
      <c r="I112" s="47"/>
      <c r="J112" s="664" t="s">
        <v>620</v>
      </c>
      <c r="K112" s="85" t="s">
        <v>624</v>
      </c>
      <c r="L112" s="85" t="s">
        <v>617</v>
      </c>
      <c r="M112" s="96">
        <v>2.12</v>
      </c>
      <c r="N112" s="96">
        <f t="shared" ref="N112:N127" si="11">M112</f>
        <v>2.12</v>
      </c>
      <c r="O112" s="665">
        <v>38.8</v>
      </c>
      <c r="P112" s="85">
        <v>31772</v>
      </c>
      <c r="Q112" s="85" t="s">
        <v>619</v>
      </c>
      <c r="R112" s="96" t="s">
        <v>725</v>
      </c>
      <c r="S112" s="85">
        <v>23</v>
      </c>
      <c r="T112" s="82">
        <f t="shared" ref="T112:T128" si="12">IF(P112="","",P112-S112)</f>
        <v>31749</v>
      </c>
      <c r="U112" s="82">
        <f>IF(T112="","",IF($S$105="","",vcf(vcfTab,vcfVersion,$N$133,$O$110,O112,$U$106)))</f>
        <v>0.98331</v>
      </c>
      <c r="V112" s="691">
        <f t="shared" si="10"/>
        <v>4963.442</v>
      </c>
      <c r="W112" s="47"/>
    </row>
    <row r="113" ht="12" customHeight="1" spans="1:23">
      <c r="A113" t="str">
        <f t="shared" si="8"/>
        <v>显示</v>
      </c>
      <c r="D113" s="474">
        <f>IF(T113="","",ROUND(IF($T$110=$D$110,T113,T_1_bbls_to_cbm(T113)),3))</f>
        <v>10.493</v>
      </c>
      <c r="E113" s="474">
        <f>IF(T113="","",ROUND(IF($T$110=$E$110,T113,T_1_cbm_to_bbls(T113)),2))</f>
        <v>66</v>
      </c>
      <c r="F113" s="474">
        <f>IF(S113="","",ROUND(IF($S$110=$F$110,S113,T_1_bbls_to_cbm(S113)),3))</f>
        <v>0</v>
      </c>
      <c r="G113" s="474">
        <f>IF(S113="","",ROUND(IF($S$110=$G$110,S113,T_1_cbm_to_bbls(S113)),2))</f>
        <v>0</v>
      </c>
      <c r="I113" s="47"/>
      <c r="J113" s="664" t="s">
        <v>621</v>
      </c>
      <c r="K113" s="85" t="s">
        <v>624</v>
      </c>
      <c r="L113" s="85" t="s">
        <v>617</v>
      </c>
      <c r="M113" s="96">
        <v>2.17</v>
      </c>
      <c r="N113" s="96">
        <f t="shared" si="11"/>
        <v>2.17</v>
      </c>
      <c r="O113" s="665">
        <v>39</v>
      </c>
      <c r="P113" s="85">
        <v>66</v>
      </c>
      <c r="Q113" s="85" t="s">
        <v>619</v>
      </c>
      <c r="R113" s="96" t="s">
        <v>724</v>
      </c>
      <c r="S113" s="85">
        <v>0</v>
      </c>
      <c r="T113" s="82">
        <f t="shared" si="12"/>
        <v>66</v>
      </c>
      <c r="U113" s="82">
        <f>IF(T113="","",IF($S$105="","",vcf(vcfTab,vcfVersion,$N$133,$O$110,O113,$U$106)))</f>
        <v>0.98313</v>
      </c>
      <c r="V113" s="691">
        <f t="shared" si="10"/>
        <v>10.316</v>
      </c>
      <c r="W113" s="47"/>
    </row>
    <row r="114" ht="12" customHeight="1" spans="1:29">
      <c r="A114" t="str">
        <f t="shared" si="8"/>
        <v>显示</v>
      </c>
      <c r="D114" s="474">
        <f>IF(T114="","",ROUND(IF($T$110=$D$110,T114,T_1_bbls_to_cbm(T114)),3))</f>
        <v>4919.099</v>
      </c>
      <c r="E114" s="474">
        <f>IF(T114="","",ROUND(IF($T$110=$E$110,T114,T_1_cbm_to_bbls(T114)),2))</f>
        <v>30940.2</v>
      </c>
      <c r="F114" s="474">
        <f>IF(S114="","",ROUND(IF($S$110=$F$110,S114,T_1_bbls_to_cbm(S114)),3))</f>
        <v>1.908</v>
      </c>
      <c r="G114" s="474">
        <f>IF(S114="","",ROUND(IF($S$110=$G$110,S114,T_1_cbm_to_bbls(S114)),2))</f>
        <v>12</v>
      </c>
      <c r="I114" s="47"/>
      <c r="J114" s="664" t="s">
        <v>623</v>
      </c>
      <c r="K114" s="85" t="s">
        <v>624</v>
      </c>
      <c r="L114" s="85" t="s">
        <v>617</v>
      </c>
      <c r="M114" s="96">
        <v>2.68</v>
      </c>
      <c r="N114" s="96">
        <f t="shared" si="11"/>
        <v>2.68</v>
      </c>
      <c r="O114" s="665">
        <v>39.2</v>
      </c>
      <c r="P114" s="85">
        <v>30952.2</v>
      </c>
      <c r="Q114" s="85" t="s">
        <v>619</v>
      </c>
      <c r="R114" s="96">
        <v>0.01</v>
      </c>
      <c r="S114" s="85">
        <v>12</v>
      </c>
      <c r="T114" s="82">
        <f t="shared" si="12"/>
        <v>30940.2</v>
      </c>
      <c r="U114" s="82">
        <f>IF(T114="","",IF($S$105="","",vcf(vcfTab,vcfVersion,$N$133,$O$110,O114,$U$106)))</f>
        <v>0.98295</v>
      </c>
      <c r="V114" s="691">
        <f t="shared" si="10"/>
        <v>4835.228</v>
      </c>
      <c r="W114" s="117"/>
      <c r="AC114" s="69"/>
    </row>
    <row r="115" ht="12" customHeight="1" spans="1:29">
      <c r="A115" t="str">
        <f t="shared" si="8"/>
        <v>显示</v>
      </c>
      <c r="D115" s="474">
        <f>IF(T115="","",ROUND(IF($T$110=$D$110,T115,T_1_bbls_to_cbm(T115)),3))</f>
        <v>4980.436</v>
      </c>
      <c r="E115" s="474">
        <f>IF(T115="","",ROUND(IF($T$110=$E$110,T115,T_1_cbm_to_bbls(T115)),2))</f>
        <v>31326</v>
      </c>
      <c r="F115" s="474">
        <f>IF(S115="","",ROUND(IF($S$110=$F$110,S115,T_1_bbls_to_cbm(S115)),3))</f>
        <v>3.657</v>
      </c>
      <c r="G115" s="474">
        <f>IF(S115="","",ROUND(IF($S$110=$G$110,S115,T_1_cbm_to_bbls(S115)),2))</f>
        <v>23</v>
      </c>
      <c r="I115" s="47"/>
      <c r="J115" s="664" t="s">
        <v>625</v>
      </c>
      <c r="K115" s="85" t="s">
        <v>624</v>
      </c>
      <c r="L115" s="85" t="s">
        <v>617</v>
      </c>
      <c r="M115" s="96">
        <v>2.32</v>
      </c>
      <c r="N115" s="96">
        <f t="shared" si="11"/>
        <v>2.32</v>
      </c>
      <c r="O115" s="665">
        <v>39.5</v>
      </c>
      <c r="P115" s="85">
        <v>31349</v>
      </c>
      <c r="Q115" s="85" t="s">
        <v>619</v>
      </c>
      <c r="R115" s="96">
        <v>0.02</v>
      </c>
      <c r="S115" s="85">
        <v>23</v>
      </c>
      <c r="T115" s="82">
        <f t="shared" si="12"/>
        <v>31326</v>
      </c>
      <c r="U115" s="82">
        <f>IF(T115="","",IF($S$105="","",vcf(vcfTab,vcfVersion,$N$133,$O$110,O115,$U$106)))</f>
        <v>0.98268</v>
      </c>
      <c r="V115" s="691">
        <f t="shared" si="10"/>
        <v>4894.175</v>
      </c>
      <c r="W115" s="117"/>
      <c r="AC115" s="69"/>
    </row>
    <row r="116" ht="12" customHeight="1" spans="1:29">
      <c r="A116" t="str">
        <f t="shared" si="8"/>
        <v>显示</v>
      </c>
      <c r="D116" s="474">
        <f>IF(T116="","",ROUND(IF($T$110=$D$110,T116,T_1_bbls_to_cbm(T116)),3))</f>
        <v>2609.204</v>
      </c>
      <c r="E116" s="474">
        <f>IF(T116="","",ROUND(IF($T$110=$E$110,T116,T_1_cbm_to_bbls(T116)),2))</f>
        <v>16411.4</v>
      </c>
      <c r="F116" s="474">
        <f>IF(S116="","",ROUND(IF($S$110=$F$110,S116,T_1_bbls_to_cbm(S116)),3))</f>
        <v>0</v>
      </c>
      <c r="G116" s="474">
        <f>IF(S116="","",ROUND(IF($S$110=$G$110,S116,T_1_cbm_to_bbls(S116)),2))</f>
        <v>0</v>
      </c>
      <c r="I116" s="47"/>
      <c r="J116" s="664" t="s">
        <v>627</v>
      </c>
      <c r="K116" s="85" t="s">
        <v>624</v>
      </c>
      <c r="L116" s="85" t="s">
        <v>617</v>
      </c>
      <c r="M116" s="96">
        <v>2.44</v>
      </c>
      <c r="N116" s="96">
        <f t="shared" si="11"/>
        <v>2.44</v>
      </c>
      <c r="O116" s="665">
        <v>35.9</v>
      </c>
      <c r="P116" s="85">
        <v>16411.4</v>
      </c>
      <c r="Q116" s="85" t="s">
        <v>619</v>
      </c>
      <c r="R116" s="96" t="s">
        <v>724</v>
      </c>
      <c r="S116" s="85">
        <v>0</v>
      </c>
      <c r="T116" s="82">
        <f t="shared" si="12"/>
        <v>16411.4</v>
      </c>
      <c r="U116" s="82">
        <f>IF(T116="","",IF($S$105="","",vcf(vcfTab,vcfVersion,$N$133,$O$110,O116,$U$106)))</f>
        <v>0.98589</v>
      </c>
      <c r="V116" s="691">
        <f t="shared" si="10"/>
        <v>2572.388</v>
      </c>
      <c r="W116" s="117"/>
      <c r="AC116" s="69"/>
    </row>
    <row r="117" ht="12" customHeight="1" spans="1:23">
      <c r="A117" t="str">
        <f t="shared" si="8"/>
        <v>显示</v>
      </c>
      <c r="D117" s="474">
        <f>IF(T117="","",ROUND(IF($T$110=$D$110,T117,T_1_bbls_to_cbm(T117)),3))</f>
        <v>2604.339</v>
      </c>
      <c r="E117" s="474">
        <f>IF(T117="","",ROUND(IF($T$110=$E$110,T117,T_1_cbm_to_bbls(T117)),2))</f>
        <v>16380.8</v>
      </c>
      <c r="F117" s="474">
        <f>IF(S117="","",ROUND(IF($S$110=$F$110,S117,T_1_bbls_to_cbm(S117)),3))</f>
        <v>0</v>
      </c>
      <c r="G117" s="474">
        <f>IF(S117="","",ROUND(IF($S$110=$G$110,S117,T_1_cbm_to_bbls(S117)),2))</f>
        <v>0</v>
      </c>
      <c r="I117" s="47"/>
      <c r="J117" s="664" t="s">
        <v>628</v>
      </c>
      <c r="K117" s="85" t="s">
        <v>624</v>
      </c>
      <c r="L117" s="85" t="s">
        <v>617</v>
      </c>
      <c r="M117" s="96">
        <v>2.48</v>
      </c>
      <c r="N117" s="96">
        <f t="shared" si="11"/>
        <v>2.48</v>
      </c>
      <c r="O117" s="665">
        <v>35.7</v>
      </c>
      <c r="P117" s="85">
        <v>16380.8</v>
      </c>
      <c r="Q117" s="85" t="s">
        <v>619</v>
      </c>
      <c r="R117" s="96" t="s">
        <v>724</v>
      </c>
      <c r="S117" s="85">
        <v>0</v>
      </c>
      <c r="T117" s="82">
        <f t="shared" si="12"/>
        <v>16380.8</v>
      </c>
      <c r="U117" s="82">
        <f>IF(T117="","",IF($S$105="","",vcf(vcfTab,vcfVersion,$N$133,$O$110,O117,$U$106)))</f>
        <v>0.98607</v>
      </c>
      <c r="V117" s="691">
        <f t="shared" si="10"/>
        <v>2568.061</v>
      </c>
      <c r="W117" s="117"/>
    </row>
    <row r="118" ht="12" customHeight="1" spans="1:23">
      <c r="A118" t="str">
        <f t="shared" si="8"/>
        <v>显示</v>
      </c>
      <c r="D118" s="474">
        <f>IF(T118="","",ROUND(IF($T$110=$D$110,T118,T_1_bbls_to_cbm(T118)),3))</f>
        <v>3153.354</v>
      </c>
      <c r="E118" s="474">
        <f>IF(T118="","",ROUND(IF($T$110=$E$110,T118,T_1_cbm_to_bbls(T118)),2))</f>
        <v>19834</v>
      </c>
      <c r="F118" s="474">
        <f>IF(S118="","",ROUND(IF($S$110=$F$110,S118,T_1_bbls_to_cbm(S118)),3))</f>
        <v>1.749</v>
      </c>
      <c r="G118" s="474">
        <f>IF(S118="","",ROUND(IF($S$110=$G$110,S118,T_1_cbm_to_bbls(S118)),2))</f>
        <v>11</v>
      </c>
      <c r="I118" s="47"/>
      <c r="J118" s="664" t="s">
        <v>629</v>
      </c>
      <c r="K118" s="85" t="s">
        <v>624</v>
      </c>
      <c r="L118" s="85" t="s">
        <v>617</v>
      </c>
      <c r="M118" s="96">
        <v>2.43</v>
      </c>
      <c r="N118" s="96">
        <f t="shared" si="11"/>
        <v>2.43</v>
      </c>
      <c r="O118" s="665">
        <v>36.2</v>
      </c>
      <c r="P118" s="85">
        <v>19845</v>
      </c>
      <c r="Q118" s="85" t="s">
        <v>619</v>
      </c>
      <c r="R118" s="96">
        <v>0.02</v>
      </c>
      <c r="S118" s="85">
        <v>11</v>
      </c>
      <c r="T118" s="82">
        <f t="shared" si="12"/>
        <v>19834</v>
      </c>
      <c r="U118" s="82">
        <f>IF(T118="","",IF($S$105="","",vcf(vcfTab,vcfVersion,$N$133,$O$110,O118,$U$106)))</f>
        <v>0.98562</v>
      </c>
      <c r="V118" s="691">
        <f t="shared" si="10"/>
        <v>3108.009</v>
      </c>
      <c r="W118" s="117"/>
    </row>
    <row r="119" ht="12" customHeight="1" spans="1:23">
      <c r="A119" t="str">
        <f t="shared" si="8"/>
        <v>显示</v>
      </c>
      <c r="D119" s="474">
        <f>IF(T119="","",ROUND(IF($T$110=$D$110,T119,T_1_bbls_to_cbm(T119)),3))</f>
        <v>3152.241</v>
      </c>
      <c r="E119" s="474">
        <f>IF(T119="","",ROUND(IF($T$110=$E$110,T119,T_1_cbm_to_bbls(T119)),2))</f>
        <v>19827</v>
      </c>
      <c r="F119" s="474">
        <f>IF(S119="","",ROUND(IF($S$110=$F$110,S119,T_1_bbls_to_cbm(S119)),3))</f>
        <v>0</v>
      </c>
      <c r="G119" s="474">
        <f>IF(S119="","",ROUND(IF($S$110=$G$110,S119,T_1_cbm_to_bbls(S119)),2))</f>
        <v>0</v>
      </c>
      <c r="I119" s="47"/>
      <c r="J119" s="664" t="s">
        <v>630</v>
      </c>
      <c r="K119" s="85" t="s">
        <v>624</v>
      </c>
      <c r="L119" s="85" t="s">
        <v>617</v>
      </c>
      <c r="M119" s="96">
        <v>2.44</v>
      </c>
      <c r="N119" s="96">
        <f t="shared" si="11"/>
        <v>2.44</v>
      </c>
      <c r="O119" s="665">
        <v>36.1</v>
      </c>
      <c r="P119" s="85">
        <v>19827</v>
      </c>
      <c r="Q119" s="85" t="s">
        <v>619</v>
      </c>
      <c r="R119" s="96" t="s">
        <v>724</v>
      </c>
      <c r="S119" s="85">
        <v>0</v>
      </c>
      <c r="T119" s="82">
        <f t="shared" si="12"/>
        <v>19827</v>
      </c>
      <c r="U119" s="82">
        <f>IF(T119="","",IF($S$105="","",vcf(vcfTab,vcfVersion,$N$133,$O$110,O119,$U$106)))</f>
        <v>0.98571</v>
      </c>
      <c r="V119" s="691">
        <f t="shared" si="10"/>
        <v>3107.195</v>
      </c>
      <c r="W119" s="117"/>
    </row>
    <row r="120" ht="12" customHeight="1" spans="1:23">
      <c r="A120" t="str">
        <f t="shared" si="8"/>
        <v>显示</v>
      </c>
      <c r="D120" s="474">
        <f>IF(T120="","",ROUND(IF($T$110=$D$110,T120,T_1_bbls_to_cbm(T120)),3))</f>
        <v>3156.057</v>
      </c>
      <c r="E120" s="474">
        <f>IF(T120="","",ROUND(IF($T$110=$E$110,T120,T_1_cbm_to_bbls(T120)),2))</f>
        <v>19851</v>
      </c>
      <c r="F120" s="474">
        <f>IF(S120="","",ROUND(IF($S$110=$F$110,S120,T_1_bbls_to_cbm(S120)),3))</f>
        <v>0</v>
      </c>
      <c r="G120" s="474">
        <f>IF(S120="","",ROUND(IF($S$110=$G$110,S120,T_1_cbm_to_bbls(S120)),2))</f>
        <v>0</v>
      </c>
      <c r="I120" s="117"/>
      <c r="J120" s="664" t="s">
        <v>631</v>
      </c>
      <c r="K120" s="85" t="s">
        <v>624</v>
      </c>
      <c r="L120" s="85" t="s">
        <v>617</v>
      </c>
      <c r="M120" s="96">
        <v>2.51</v>
      </c>
      <c r="N120" s="96">
        <f t="shared" si="11"/>
        <v>2.51</v>
      </c>
      <c r="O120" s="665">
        <v>36.2</v>
      </c>
      <c r="P120" s="85">
        <v>19851</v>
      </c>
      <c r="Q120" s="85" t="s">
        <v>619</v>
      </c>
      <c r="R120" s="96" t="s">
        <v>724</v>
      </c>
      <c r="S120" s="85">
        <v>0</v>
      </c>
      <c r="T120" s="82">
        <f t="shared" si="12"/>
        <v>19851</v>
      </c>
      <c r="U120" s="82">
        <f>IF(T120="","",IF($S$105="","",vcf(vcfTab,vcfVersion,$N$133,$O$110,O120,$U$106)))</f>
        <v>0.98562</v>
      </c>
      <c r="V120" s="691">
        <f t="shared" si="10"/>
        <v>3110.673</v>
      </c>
      <c r="W120" s="117"/>
    </row>
    <row r="121" ht="12" customHeight="1" spans="1:23">
      <c r="A121" t="str">
        <f t="shared" si="8"/>
        <v>显示</v>
      </c>
      <c r="D121" s="474">
        <f>IF(T121="","",ROUND(IF($T$110=$D$110,T121,T_1_bbls_to_cbm(T121)),3))</f>
        <v>3196.599</v>
      </c>
      <c r="E121" s="474">
        <f>IF(T121="","",ROUND(IF($T$110=$E$110,T121,T_1_cbm_to_bbls(T121)),2))</f>
        <v>20106</v>
      </c>
      <c r="F121" s="474">
        <f>IF(S121="","",ROUND(IF($S$110=$F$110,S121,T_1_bbls_to_cbm(S121)),3))</f>
        <v>1.749</v>
      </c>
      <c r="G121" s="474">
        <f>IF(S121="","",ROUND(IF($S$110=$G$110,S121,T_1_cbm_to_bbls(S121)),2))</f>
        <v>11</v>
      </c>
      <c r="I121" s="117"/>
      <c r="J121" s="664" t="s">
        <v>632</v>
      </c>
      <c r="K121" s="85" t="s">
        <v>624</v>
      </c>
      <c r="L121" s="85" t="s">
        <v>617</v>
      </c>
      <c r="M121" s="96">
        <v>2.15</v>
      </c>
      <c r="N121" s="96">
        <f t="shared" si="11"/>
        <v>2.15</v>
      </c>
      <c r="O121" s="665">
        <v>36.4</v>
      </c>
      <c r="P121" s="85">
        <v>20117</v>
      </c>
      <c r="Q121" s="85" t="s">
        <v>619</v>
      </c>
      <c r="R121" s="96">
        <v>0.02</v>
      </c>
      <c r="S121" s="85">
        <v>11</v>
      </c>
      <c r="T121" s="82">
        <f t="shared" si="12"/>
        <v>20106</v>
      </c>
      <c r="U121" s="82">
        <f>IF(T121="","",IF($S$105="","",vcf(vcfTab,vcfVersion,$N$133,$O$110,O121,$U$106)))</f>
        <v>0.98545</v>
      </c>
      <c r="V121" s="691">
        <f t="shared" si="10"/>
        <v>3150.088</v>
      </c>
      <c r="W121" s="117"/>
    </row>
    <row r="122" ht="12" customHeight="1" spans="1:23">
      <c r="A122" t="str">
        <f t="shared" si="8"/>
        <v>显示</v>
      </c>
      <c r="D122" s="474">
        <f>IF(T122="","",ROUND(IF($T$110=$D$110,T122,T_1_bbls_to_cbm(T122)),3))</f>
        <v>3188.49</v>
      </c>
      <c r="E122" s="474">
        <f>IF(T122="","",ROUND(IF($T$110=$E$110,T122,T_1_cbm_to_bbls(T122)),2))</f>
        <v>20055</v>
      </c>
      <c r="F122" s="474">
        <f>IF(S122="","",ROUND(IF($S$110=$F$110,S122,T_1_bbls_to_cbm(S122)),3))</f>
        <v>0</v>
      </c>
      <c r="G122" s="474">
        <f>IF(S122="","",ROUND(IF($S$110=$G$110,S122,T_1_cbm_to_bbls(S122)),2))</f>
        <v>0</v>
      </c>
      <c r="I122" s="117"/>
      <c r="J122" s="664" t="s">
        <v>633</v>
      </c>
      <c r="K122" s="85" t="s">
        <v>624</v>
      </c>
      <c r="L122" s="85" t="s">
        <v>617</v>
      </c>
      <c r="M122" s="96">
        <v>2.24</v>
      </c>
      <c r="N122" s="96">
        <f t="shared" si="11"/>
        <v>2.24</v>
      </c>
      <c r="O122" s="665">
        <v>36.7</v>
      </c>
      <c r="P122" s="85">
        <v>20055</v>
      </c>
      <c r="Q122" s="85" t="s">
        <v>619</v>
      </c>
      <c r="R122" s="96" t="s">
        <v>724</v>
      </c>
      <c r="S122" s="85">
        <v>0</v>
      </c>
      <c r="T122" s="82">
        <f t="shared" si="12"/>
        <v>20055</v>
      </c>
      <c r="U122" s="82">
        <f>IF(T122="","",IF($S$105="","",vcf(vcfTab,vcfVersion,$N$133,$O$110,O122,$U$106)))</f>
        <v>0.98518</v>
      </c>
      <c r="V122" s="691">
        <f t="shared" si="10"/>
        <v>3141.237</v>
      </c>
      <c r="W122" s="117"/>
    </row>
    <row r="123" ht="12" customHeight="1" spans="1:23">
      <c r="A123" t="str">
        <f t="shared" si="8"/>
        <v>显示</v>
      </c>
      <c r="D123" s="474">
        <f>IF(T123="","",ROUND(IF($T$110=$D$110,T123,T_1_bbls_to_cbm(T123)),3))</f>
        <v>3189.285</v>
      </c>
      <c r="E123" s="474">
        <f>IF(T123="","",ROUND(IF($T$110=$E$110,T123,T_1_cbm_to_bbls(T123)),2))</f>
        <v>20060</v>
      </c>
      <c r="F123" s="474">
        <f>IF(S123="","",ROUND(IF($S$110=$F$110,S123,T_1_bbls_to_cbm(S123)),3))</f>
        <v>0</v>
      </c>
      <c r="G123" s="474">
        <f>IF(S123="","",ROUND(IF($S$110=$G$110,S123,T_1_cbm_to_bbls(S123)),2))</f>
        <v>0</v>
      </c>
      <c r="I123" s="117"/>
      <c r="J123" s="664" t="s">
        <v>634</v>
      </c>
      <c r="K123" s="85" t="s">
        <v>624</v>
      </c>
      <c r="L123" s="85" t="s">
        <v>617</v>
      </c>
      <c r="M123" s="96">
        <v>2.23</v>
      </c>
      <c r="N123" s="96">
        <f t="shared" si="11"/>
        <v>2.23</v>
      </c>
      <c r="O123" s="665">
        <v>36.5</v>
      </c>
      <c r="P123" s="85">
        <v>20060</v>
      </c>
      <c r="Q123" s="85" t="s">
        <v>619</v>
      </c>
      <c r="R123" s="96" t="s">
        <v>724</v>
      </c>
      <c r="S123" s="85">
        <v>0</v>
      </c>
      <c r="T123" s="82">
        <f t="shared" si="12"/>
        <v>20060</v>
      </c>
      <c r="U123" s="82">
        <f>IF(T123="","",IF($S$105="","",vcf(vcfTab,vcfVersion,$N$133,$O$110,O123,$U$106)))</f>
        <v>0.98536</v>
      </c>
      <c r="V123" s="691">
        <f t="shared" si="10"/>
        <v>3142.594</v>
      </c>
      <c r="W123" s="117"/>
    </row>
    <row r="124" ht="12" customHeight="1" spans="1:23">
      <c r="A124" t="str">
        <f t="shared" si="8"/>
        <v>显示</v>
      </c>
      <c r="D124" s="474">
        <f>IF(T124="","",ROUND(IF($T$110=$D$110,T124,T_1_bbls_to_cbm(T124)),3))</f>
        <v>1993.383</v>
      </c>
      <c r="E124" s="474">
        <f>IF(T124="","",ROUND(IF($T$110=$E$110,T124,T_1_cbm_to_bbls(T124)),2))</f>
        <v>12538</v>
      </c>
      <c r="F124" s="474">
        <f>IF(S124="","",ROUND(IF($S$110=$F$110,S124,T_1_bbls_to_cbm(S124)),3))</f>
        <v>0</v>
      </c>
      <c r="G124" s="474">
        <f>IF(S124="","",ROUND(IF($S$110=$G$110,S124,T_1_cbm_to_bbls(S124)),2))</f>
        <v>0</v>
      </c>
      <c r="I124" s="117"/>
      <c r="J124" s="664" t="s">
        <v>635</v>
      </c>
      <c r="K124" s="85" t="s">
        <v>624</v>
      </c>
      <c r="L124" s="85" t="s">
        <v>617</v>
      </c>
      <c r="M124" s="96">
        <v>2.22</v>
      </c>
      <c r="N124" s="96">
        <f t="shared" si="11"/>
        <v>2.22</v>
      </c>
      <c r="O124" s="665">
        <v>36.5</v>
      </c>
      <c r="P124" s="85">
        <v>12538</v>
      </c>
      <c r="Q124" s="85" t="s">
        <v>619</v>
      </c>
      <c r="R124" s="96" t="s">
        <v>724</v>
      </c>
      <c r="S124" s="85">
        <v>0</v>
      </c>
      <c r="T124" s="82">
        <f t="shared" si="12"/>
        <v>12538</v>
      </c>
      <c r="U124" s="82">
        <f>IF(T124="","",IF($S$105="","",vcf(vcfTab,vcfVersion,$N$133,$O$110,O124,$U$106)))</f>
        <v>0.98536</v>
      </c>
      <c r="V124" s="691">
        <f t="shared" si="10"/>
        <v>1964.2</v>
      </c>
      <c r="W124" s="117"/>
    </row>
    <row r="125" ht="12" customHeight="1" spans="1:23">
      <c r="A125" t="str">
        <f t="shared" si="8"/>
        <v>显示</v>
      </c>
      <c r="D125" s="474">
        <f>IF(T125="","",ROUND(IF($T$110=$D$110,T125,T_1_bbls_to_cbm(T125)),3))</f>
        <v>1990.839</v>
      </c>
      <c r="E125" s="474">
        <f>IF(T125="","",ROUND(IF($T$110=$E$110,T125,T_1_cbm_to_bbls(T125)),2))</f>
        <v>12522</v>
      </c>
      <c r="F125" s="474">
        <f>IF(S125="","",ROUND(IF($S$110=$F$110,S125,T_1_bbls_to_cbm(S125)),3))</f>
        <v>0</v>
      </c>
      <c r="G125" s="474">
        <f>IF(S125="","",ROUND(IF($S$110=$G$110,S125,T_1_cbm_to_bbls(S125)),2))</f>
        <v>0</v>
      </c>
      <c r="I125" s="117"/>
      <c r="J125" s="664" t="s">
        <v>636</v>
      </c>
      <c r="K125" s="85" t="s">
        <v>624</v>
      </c>
      <c r="L125" s="85" t="s">
        <v>617</v>
      </c>
      <c r="M125" s="96">
        <v>2.25</v>
      </c>
      <c r="N125" s="96">
        <f t="shared" si="11"/>
        <v>2.25</v>
      </c>
      <c r="O125" s="665">
        <v>36.5</v>
      </c>
      <c r="P125" s="85">
        <v>12522</v>
      </c>
      <c r="Q125" s="85" t="s">
        <v>619</v>
      </c>
      <c r="R125" s="96" t="s">
        <v>724</v>
      </c>
      <c r="S125" s="85">
        <v>0</v>
      </c>
      <c r="T125" s="82">
        <f t="shared" si="12"/>
        <v>12522</v>
      </c>
      <c r="U125" s="82">
        <f>IF(T125="","",IF($S$105="","",vcf(vcfTab,vcfVersion,$N$133,$O$110,O125,$U$106)))</f>
        <v>0.98536</v>
      </c>
      <c r="V125" s="691">
        <f t="shared" si="10"/>
        <v>1961.693</v>
      </c>
      <c r="W125" s="117"/>
    </row>
    <row r="126" ht="12" customHeight="1" spans="1:23">
      <c r="A126" t="str">
        <f t="shared" si="8"/>
        <v>显示</v>
      </c>
      <c r="D126" s="474">
        <f>IF(T126="","",ROUND(IF($T$110=$D$110,T126,T_1_bbls_to_cbm(T126)),3))</f>
        <v>712.518</v>
      </c>
      <c r="E126" s="474">
        <f>IF(T126="","",ROUND(IF($T$110=$E$110,T126,T_1_cbm_to_bbls(T126)),2))</f>
        <v>4481.6</v>
      </c>
      <c r="F126" s="474">
        <f>IF(S126="","",ROUND(IF($S$110=$F$110,S126,T_1_bbls_to_cbm(S126)),3))</f>
        <v>0.445</v>
      </c>
      <c r="G126" s="474">
        <f>IF(S126="","",ROUND(IF($S$110=$G$110,S126,T_1_cbm_to_bbls(S126)),2))</f>
        <v>2.8</v>
      </c>
      <c r="I126" s="117"/>
      <c r="J126" s="664" t="s">
        <v>726</v>
      </c>
      <c r="K126" s="85" t="s">
        <v>624</v>
      </c>
      <c r="L126" s="85" t="s">
        <v>617</v>
      </c>
      <c r="M126" s="96">
        <v>3.39</v>
      </c>
      <c r="N126" s="96">
        <f t="shared" si="11"/>
        <v>3.39</v>
      </c>
      <c r="O126" s="665">
        <v>36.6</v>
      </c>
      <c r="P126" s="85">
        <v>4484.4</v>
      </c>
      <c r="Q126" s="85" t="s">
        <v>619</v>
      </c>
      <c r="R126" s="96">
        <v>0.17</v>
      </c>
      <c r="S126" s="85">
        <v>2.8</v>
      </c>
      <c r="T126" s="82">
        <f t="shared" si="12"/>
        <v>4481.6</v>
      </c>
      <c r="U126" s="82">
        <f>IF(T126="","",IF($S$105="","",vcf(vcfTab,vcfVersion,$N$133,$O$110,O126,$U$106)))</f>
        <v>0.98527</v>
      </c>
      <c r="V126" s="691">
        <f t="shared" si="10"/>
        <v>702.023</v>
      </c>
      <c r="W126" s="117"/>
    </row>
    <row r="127" ht="12" customHeight="1" spans="1:23">
      <c r="A127" t="str">
        <f t="shared" si="8"/>
        <v>显示</v>
      </c>
      <c r="D127" s="474">
        <f>IF(T127="","",ROUND(IF($T$110=$D$110,T127,T_1_bbls_to_cbm(T127)),3))</f>
        <v>711.077</v>
      </c>
      <c r="E127" s="474">
        <f>IF(T127="","",ROUND(IF($T$110=$E$110,T127,T_1_cbm_to_bbls(T127)),2))</f>
        <v>4472.54</v>
      </c>
      <c r="F127" s="474">
        <f>IF(S127="","",ROUND(IF($S$110=$F$110,S127,T_1_bbls_to_cbm(S127)),3))</f>
        <v>0.413</v>
      </c>
      <c r="G127" s="474">
        <f>IF(S127="","",ROUND(IF($S$110=$G$110,S127,T_1_cbm_to_bbls(S127)),2))</f>
        <v>2.6</v>
      </c>
      <c r="I127" s="117"/>
      <c r="J127" s="664" t="s">
        <v>727</v>
      </c>
      <c r="K127" s="85" t="s">
        <v>624</v>
      </c>
      <c r="L127" s="85" t="s">
        <v>617</v>
      </c>
      <c r="M127" s="96">
        <v>3.42</v>
      </c>
      <c r="N127" s="96">
        <f t="shared" si="11"/>
        <v>3.42</v>
      </c>
      <c r="O127" s="665">
        <v>36.2</v>
      </c>
      <c r="P127" s="85">
        <v>4475.14</v>
      </c>
      <c r="Q127" s="85" t="s">
        <v>619</v>
      </c>
      <c r="R127" s="96">
        <v>0.16</v>
      </c>
      <c r="S127" s="85">
        <v>2.6</v>
      </c>
      <c r="T127" s="82">
        <f t="shared" si="12"/>
        <v>4472.54</v>
      </c>
      <c r="U127" s="82">
        <f>IF(T127="","",IF($S$105="","",vcf(vcfTab,vcfVersion,$N$133,$O$110,O127,$U$106)))</f>
        <v>0.98562</v>
      </c>
      <c r="V127" s="691">
        <f t="shared" si="10"/>
        <v>700.852</v>
      </c>
      <c r="W127" s="117"/>
    </row>
    <row r="128" ht="12" customHeight="1" spans="1:23">
      <c r="A128" t="str">
        <f t="shared" si="8"/>
        <v>显示</v>
      </c>
      <c r="D128" s="474">
        <f>IF(T128="","",ROUND(IF($T$110=$D$110,T128,T_1_bbls_to_cbm(T128)),3))</f>
        <v>62.561</v>
      </c>
      <c r="E128" s="474">
        <f>IF(T128="","",ROUND(IF($T$110=$E$110,T128,T_1_cbm_to_bbls(T128)),2))</f>
        <v>393.49</v>
      </c>
      <c r="F128" s="474">
        <f>IF(S128="","",ROUND(IF($S$110=$F$110,S128,T_1_bbls_to_cbm(S128)),3))</f>
        <v>0</v>
      </c>
      <c r="G128" s="474">
        <f>IF(S128="","",ROUND(IF($S$110=$G$110,S128,T_1_cbm_to_bbls(S128)),2))</f>
        <v>0</v>
      </c>
      <c r="I128" s="117"/>
      <c r="J128" s="666" t="s">
        <v>728</v>
      </c>
      <c r="K128" s="667"/>
      <c r="L128" s="667"/>
      <c r="M128" s="668"/>
      <c r="N128" s="668"/>
      <c r="O128" s="669">
        <v>36.9</v>
      </c>
      <c r="P128" s="667">
        <v>393.494</v>
      </c>
      <c r="Q128" s="667" t="s">
        <v>619</v>
      </c>
      <c r="R128" s="668">
        <v>0</v>
      </c>
      <c r="S128" s="667">
        <v>0</v>
      </c>
      <c r="T128" s="692">
        <f t="shared" si="12"/>
        <v>393.494</v>
      </c>
      <c r="U128" s="692">
        <f>IF(T128="","",IF($S$105="","",vcf(vcfTab,vcfVersion,$N$133,$O$110,O128,$U$106)))</f>
        <v>0.985</v>
      </c>
      <c r="V128" s="693">
        <f t="shared" si="10"/>
        <v>61.623</v>
      </c>
      <c r="W128" s="117"/>
    </row>
    <row r="129" ht="16.8" customHeight="1" spans="1:25">
      <c r="A129" t="str">
        <f t="shared" si="8"/>
        <v>显示</v>
      </c>
      <c r="I129" s="117"/>
      <c r="J129" s="125" t="str">
        <f>G17</f>
        <v>TOTAL</v>
      </c>
      <c r="K129" s="695"/>
      <c r="L129" s="695"/>
      <c r="M129" s="695"/>
      <c r="N129" s="695"/>
      <c r="O129" s="695"/>
      <c r="P129" s="696">
        <f>IF(SUM(P111:P128)=0,"",SUM(P111:P128))</f>
        <v>307483.434</v>
      </c>
      <c r="Q129" s="695"/>
      <c r="R129" s="695"/>
      <c r="S129" s="696">
        <f>IF(SUM(S111:S128)=0,"",(SUM(S111:S128)))</f>
        <v>85.4</v>
      </c>
      <c r="T129" s="696">
        <f>IF(P129="","",SUM(T111:T128))</f>
        <v>307398.034</v>
      </c>
      <c r="U129" s="695"/>
      <c r="V129" s="706">
        <f>IF(T129="","",SUM(V111:V128))</f>
        <v>48120.731</v>
      </c>
      <c r="W129" s="117"/>
      <c r="X129" s="117"/>
      <c r="Y129" s="117"/>
    </row>
    <row r="130" ht="12.6" customHeight="1" spans="1:25">
      <c r="A130" t="str">
        <f t="shared" si="8"/>
        <v>显示</v>
      </c>
      <c r="I130" s="117"/>
      <c r="J130" s="47" t="str">
        <f>U25</f>
        <v>Note:</v>
      </c>
      <c r="K130" s="47"/>
      <c r="L130" s="47"/>
      <c r="M130" s="47"/>
      <c r="N130" s="47"/>
      <c r="O130" s="47"/>
      <c r="P130" s="47"/>
      <c r="Q130" s="47"/>
      <c r="R130" s="47"/>
      <c r="S130" s="47"/>
      <c r="T130" s="47"/>
      <c r="U130" s="47"/>
      <c r="V130" s="47"/>
      <c r="W130" s="117"/>
      <c r="X130" s="117"/>
      <c r="Y130" s="117"/>
    </row>
    <row r="131" ht="12.6" customHeight="1" spans="1:25">
      <c r="A131" t="str">
        <f t="shared" si="8"/>
        <v>显示</v>
      </c>
      <c r="I131" s="117"/>
      <c r="J131" s="47" t="str">
        <f>G19</f>
        <v>(1) G.H.L. -- Gauge Hatch Location, F = Forward; C = Center; A = Aft.</v>
      </c>
      <c r="K131" s="47"/>
      <c r="L131" s="47"/>
      <c r="M131" s="47"/>
      <c r="N131" s="47"/>
      <c r="O131" s="47"/>
      <c r="P131" s="47"/>
      <c r="Q131" s="47"/>
      <c r="R131" s="47"/>
      <c r="S131" s="697" t="str">
        <f>V108&amp;" - "&amp;V110</f>
        <v>Gross Standard Volume - m³ (20℃)</v>
      </c>
      <c r="T131" s="697"/>
      <c r="U131" s="697"/>
      <c r="V131" s="82">
        <f>V129</f>
        <v>48120.731</v>
      </c>
      <c r="W131" s="117"/>
      <c r="X131" s="117"/>
      <c r="Y131" s="117"/>
    </row>
    <row r="132" ht="12.6" customHeight="1" spans="1:25">
      <c r="A132" t="str">
        <f t="shared" si="8"/>
        <v>显示</v>
      </c>
      <c r="I132" s="117"/>
      <c r="J132" s="47" t="str">
        <f>G20</f>
        <v>(2) I/U -- Innage/Ullage, I = Innage; U = Ullage.</v>
      </c>
      <c r="K132" s="47"/>
      <c r="L132" s="47"/>
      <c r="M132" s="47"/>
      <c r="N132" s="47"/>
      <c r="O132" s="47"/>
      <c r="P132" s="47"/>
      <c r="Q132" s="47"/>
      <c r="R132" s="47"/>
      <c r="S132" s="697" t="str">
        <f>IF(OR(LEFT(vcfTab,4)="T-60",LEFT(vcfTab,4)="T-54"),G34,G35)</f>
        <v>Total Free Water Volume - m³</v>
      </c>
      <c r="T132" s="697"/>
      <c r="U132" s="697"/>
      <c r="V132" s="82">
        <f>IF(V131="","",IF(OR(LEFT(vcfTab,4)="T-60",LEFT(vcfTab,4)="T-54"),SUM(F111:F128),SUM(G111:G128)))</f>
        <v>13.578</v>
      </c>
      <c r="W132" s="117"/>
      <c r="X132" s="117"/>
      <c r="Y132" s="117"/>
    </row>
    <row r="133" ht="12.6" customHeight="1" spans="1:25">
      <c r="A133" t="str">
        <f t="shared" si="8"/>
        <v>显示</v>
      </c>
      <c r="I133" s="117"/>
      <c r="J133" s="697" t="str">
        <f>IF(LEFT(vcfTab,4)="T-54",J26,IF(LEFT(vcfTab,4)="T-60",J27,IF(LEFT(vcfTab,4)="T-24",J29,J28)))</f>
        <v>Density@20℃ (kg/m³)</v>
      </c>
      <c r="K133" s="697"/>
      <c r="L133" s="697"/>
      <c r="M133" s="697"/>
      <c r="N133" s="698">
        <f>IF(S105="","",Standard_Density(vcfTab,Cargo_type,Den_type,S105,U106))</f>
        <v>819.6</v>
      </c>
      <c r="O133" s="698"/>
      <c r="P133" s="47"/>
      <c r="Q133" s="47"/>
      <c r="R133" s="47"/>
      <c r="S133" s="697" t="str">
        <f>G36&amp;" - "&amp;V110</f>
        <v>Total Calculated Volume - m³ (20℃)</v>
      </c>
      <c r="T133" s="697"/>
      <c r="U133" s="697"/>
      <c r="V133" s="82">
        <f>IF(V131="","",V131+V132)</f>
        <v>48134.309</v>
      </c>
      <c r="W133" s="117"/>
      <c r="X133" s="117"/>
      <c r="Y133" s="117"/>
    </row>
    <row r="134" ht="12.6" customHeight="1" spans="1:25">
      <c r="A134" t="str">
        <f t="shared" si="8"/>
        <v>显示</v>
      </c>
      <c r="I134" s="117"/>
      <c r="J134" s="671" t="str">
        <f>G37</f>
        <v>S&amp;W</v>
      </c>
      <c r="K134" s="671"/>
      <c r="L134" s="492" t="s">
        <v>686</v>
      </c>
      <c r="M134" s="492"/>
      <c r="N134" s="494">
        <v>0.323</v>
      </c>
      <c r="O134" s="494"/>
      <c r="P134" s="117"/>
      <c r="Q134" s="117"/>
      <c r="R134" s="117"/>
      <c r="S134" s="697" t="str">
        <f>wcf(Report_Language,vcfTab,WCF_Standard)</f>
        <v>WCF MT(in air)/m³@20℃</v>
      </c>
      <c r="T134" s="697"/>
      <c r="U134" s="697"/>
      <c r="V134" s="82">
        <f>IF(OR($S$105="",V131=""),"",IF(OR(LEFT(vcfTab,4)="T-54",LEFT(vcfTab,4)="T-60"),Factor_toMTair(vcfTab,WCF_Standard,$N$133),Factor_toLTair(vcfTab,WCF_Standard,$N$133)))</f>
        <v>0.8185</v>
      </c>
      <c r="W134" s="117"/>
      <c r="X134" s="117"/>
      <c r="Y134" s="117"/>
    </row>
    <row r="135" ht="12.6" customHeight="1" spans="1:25">
      <c r="A135" t="str">
        <f t="shared" si="8"/>
        <v>显示</v>
      </c>
      <c r="I135" s="117"/>
      <c r="J135" s="70" t="str">
        <f>G40</f>
        <v>TOTAL QUANTITY</v>
      </c>
      <c r="K135" s="117"/>
      <c r="L135" s="117"/>
      <c r="M135" s="117"/>
      <c r="N135" s="79" t="str">
        <f>IF(Cargo_type="A",G41,"")</f>
        <v/>
      </c>
      <c r="O135" s="79"/>
      <c r="P135" s="84" t="str">
        <f>IF(Cargo_type="A",G42,"")</f>
        <v/>
      </c>
      <c r="Q135" s="84"/>
      <c r="R135" s="117"/>
      <c r="S135" s="697" t="str">
        <f>IF(OR(LEFT(vcfTab,4)="T-54",LEFT(vcfTab,4)="T-60"),G31&amp;" - "&amp;G32,G31&amp;" - "&amp;G33)</f>
        <v>Gross Standard Weight - MT (in air)</v>
      </c>
      <c r="T135" s="697"/>
      <c r="U135" s="697"/>
      <c r="V135" s="82">
        <f>IF(V131="","",ROUND(V131*V134,3))</f>
        <v>39386.818</v>
      </c>
      <c r="W135" s="117"/>
      <c r="X135" s="117"/>
      <c r="Y135" s="117"/>
    </row>
    <row r="136" ht="12.6" hidden="1" customHeight="1" spans="1:25">
      <c r="A136" t="str">
        <f t="shared" si="8"/>
        <v>隐藏</v>
      </c>
      <c r="B136" t="str">
        <f>IF(D136,"显示","隐藏")</f>
        <v>隐藏</v>
      </c>
      <c r="D136" t="b">
        <v>0</v>
      </c>
      <c r="E136" s="628"/>
      <c r="F136" s="164"/>
      <c r="G136" s="628"/>
      <c r="I136" s="47"/>
      <c r="J136" s="47" t="str">
        <f t="shared" ref="J136:J146" si="13">U54</f>
        <v>US Barrels (Obsd. Temp.)</v>
      </c>
      <c r="K136" s="47"/>
      <c r="L136" s="47"/>
      <c r="M136" s="47"/>
      <c r="N136" s="699" t="str">
        <f>IF(D136=FALSE,"",IF(T129="","",ToBblsObsd(T129,T110)))</f>
        <v/>
      </c>
      <c r="O136" s="700"/>
      <c r="P136" s="701" t="str">
        <f>IF(N136="","",ROUND(N136*(1-$N$134%),2))</f>
        <v/>
      </c>
      <c r="Q136" s="701"/>
      <c r="R136" s="47"/>
      <c r="S136" s="47"/>
      <c r="T136" s="47"/>
      <c r="U136" s="47"/>
      <c r="V136" s="47"/>
      <c r="W136" s="117"/>
      <c r="X136" s="117"/>
      <c r="Y136" s="117"/>
    </row>
    <row r="137" ht="12.6" hidden="1" customHeight="1" spans="1:25">
      <c r="A137" t="str">
        <f t="shared" si="8"/>
        <v>隐藏</v>
      </c>
      <c r="B137" t="str">
        <f t="shared" ref="B137:B146" si="14">IF(D137,"显示","隐藏")</f>
        <v>隐藏</v>
      </c>
      <c r="D137" t="b">
        <v>0</v>
      </c>
      <c r="E137" s="628"/>
      <c r="F137" s="164"/>
      <c r="G137" s="628"/>
      <c r="I137" s="47"/>
      <c r="J137" s="47" t="str">
        <f t="shared" si="13"/>
        <v>Cubic Meters (Obsd. Temp.)</v>
      </c>
      <c r="K137" s="47"/>
      <c r="L137" s="47"/>
      <c r="M137" s="47"/>
      <c r="N137" s="702" t="str">
        <f>IF(D137=FALSE,"",IF(T129="","",ToCbmObsd(T129,T110)))</f>
        <v/>
      </c>
      <c r="O137" s="703"/>
      <c r="P137" s="704" t="str">
        <f>IF(N137="","",ROUND(N137*(1-$N$134%),3))</f>
        <v/>
      </c>
      <c r="Q137" s="704"/>
      <c r="R137" s="47"/>
      <c r="S137" s="47"/>
      <c r="T137" s="47"/>
      <c r="U137" s="47"/>
      <c r="V137" s="47"/>
      <c r="W137" s="117"/>
      <c r="X137" s="117"/>
      <c r="Y137" s="117"/>
    </row>
    <row r="138" ht="12.6" customHeight="1" spans="1:25">
      <c r="A138" t="str">
        <f t="shared" si="8"/>
        <v>显示</v>
      </c>
      <c r="B138" t="str">
        <f t="shared" si="14"/>
        <v>显示</v>
      </c>
      <c r="D138" t="b">
        <v>1</v>
      </c>
      <c r="I138" s="47"/>
      <c r="J138" s="47" t="str">
        <f t="shared" si="13"/>
        <v>US Barrels (60℉)</v>
      </c>
      <c r="K138" s="47"/>
      <c r="L138" s="47"/>
      <c r="M138" s="47"/>
      <c r="N138" s="699">
        <f>IF(D138=FALSE,"",IF(OR(N133="",V131=""),"",ToBbls60F(vcfTab,WCF_Standard,Cargo_type,V131,V135,N133,U106)))</f>
        <v>301466.7</v>
      </c>
      <c r="O138" s="700"/>
      <c r="P138" s="704">
        <f>IF(N138="","",ROUND(N138*(1-$N$134%),2))</f>
        <v>300492.96</v>
      </c>
      <c r="Q138" s="704"/>
      <c r="R138" s="80" t="str">
        <f>Method_toBbls60F(Report_Language,vcfTab,WCF_Standard)</f>
        <v>bbls@60℉/MT(in air)</v>
      </c>
      <c r="S138" s="47"/>
      <c r="T138" s="47"/>
      <c r="U138" s="47"/>
      <c r="V138" s="671">
        <f>Factor_toBbls60F(vcfTab,WCF_Standard,Cargo_type,$N$133,$U$106)</f>
        <v>7.654</v>
      </c>
      <c r="W138" s="117"/>
      <c r="X138" s="117"/>
      <c r="Y138" s="117"/>
    </row>
    <row r="139" ht="12.6" hidden="1" customHeight="1" spans="1:25">
      <c r="A139" t="str">
        <f t="shared" si="8"/>
        <v>隐藏</v>
      </c>
      <c r="B139" t="str">
        <f t="shared" si="14"/>
        <v>隐藏</v>
      </c>
      <c r="D139" t="b">
        <v>0</v>
      </c>
      <c r="I139" s="47"/>
      <c r="J139" s="47" t="str">
        <f t="shared" si="13"/>
        <v>US Gallon (60℉)</v>
      </c>
      <c r="K139" s="47"/>
      <c r="L139" s="47"/>
      <c r="M139" s="47"/>
      <c r="N139" s="699" t="str">
        <f>IF(D139=FALSE,"",IF(N138="","",ROUND(N138*42,2)))</f>
        <v/>
      </c>
      <c r="O139" s="700"/>
      <c r="P139" s="701" t="str">
        <f>IF(N139="","",ROUND(N139*(1-$N$134%),2))</f>
        <v/>
      </c>
      <c r="Q139" s="701"/>
      <c r="R139" s="80" t="str">
        <f>U84</f>
        <v>Gallon/bbls [T-1]</v>
      </c>
      <c r="S139" s="47"/>
      <c r="T139" s="47"/>
      <c r="U139" s="47"/>
      <c r="V139" s="671">
        <v>42</v>
      </c>
      <c r="W139" s="117"/>
      <c r="X139" s="117"/>
      <c r="Y139" s="117"/>
    </row>
    <row r="140" ht="12.6" hidden="1" customHeight="1" spans="1:25">
      <c r="A140" t="str">
        <f t="shared" si="8"/>
        <v>隐藏</v>
      </c>
      <c r="B140" t="str">
        <f t="shared" si="14"/>
        <v>隐藏</v>
      </c>
      <c r="D140" t="b">
        <v>0</v>
      </c>
      <c r="I140" s="47"/>
      <c r="J140" s="47" t="str">
        <f t="shared" si="13"/>
        <v>Cubic Meters (15℃)</v>
      </c>
      <c r="K140" s="47"/>
      <c r="L140" s="47"/>
      <c r="M140" s="47"/>
      <c r="N140" s="702" t="str">
        <f>IF(D140=FALSE,"",IF(V131="","",ToCbm15C(vcfTab,WCF_Standard,Cargo_type,V131,N133,U106)))</f>
        <v/>
      </c>
      <c r="O140" s="703"/>
      <c r="P140" s="704" t="str">
        <f t="shared" ref="P140:P146" si="15">IF(N140="","",ROUND(N140*(1-$N$134%),3))</f>
        <v/>
      </c>
      <c r="Q140" s="704"/>
      <c r="R140" s="707" t="str">
        <f>Method_toCBM15C(Report_Language,vcfTab,WCF_Standard)</f>
        <v>m³@15℃/m³@20℃ [1/VCF(15℃)]</v>
      </c>
      <c r="S140" s="707"/>
      <c r="T140" s="707"/>
      <c r="U140" s="707"/>
      <c r="V140" s="671">
        <f>Factor_toCbm15C(vcfTab,WCF_Standard,Cargo_type,$N$133,U106)</f>
        <v>0.99561</v>
      </c>
      <c r="W140" s="117"/>
      <c r="X140" s="117"/>
      <c r="Y140" s="117"/>
    </row>
    <row r="141" ht="12.6" customHeight="1" spans="1:22">
      <c r="A141" t="str">
        <f t="shared" si="8"/>
        <v>显示</v>
      </c>
      <c r="B141" t="str">
        <f t="shared" si="14"/>
        <v>显示</v>
      </c>
      <c r="D141" t="b">
        <v>1</v>
      </c>
      <c r="I141" s="47"/>
      <c r="J141" s="47" t="str">
        <f t="shared" si="13"/>
        <v>Cubic Meters (20℃)</v>
      </c>
      <c r="K141" s="47"/>
      <c r="L141" s="47"/>
      <c r="M141" s="47"/>
      <c r="N141" s="702">
        <f>IF(D141=FALSE,"",IF(V131="","",ToCbm20C(vcfTab,WCF_Standard,Cargo_type,V131,N133,U106)))</f>
        <v>48120.731</v>
      </c>
      <c r="O141" s="703"/>
      <c r="P141" s="704">
        <f t="shared" si="15"/>
        <v>47965.301</v>
      </c>
      <c r="Q141" s="704"/>
      <c r="R141" s="707" t="str">
        <f>Method_toCBM20C(Report_Language,vcfTab,WCF_Standard)</f>
        <v>Standard Volume</v>
      </c>
      <c r="S141" s="707"/>
      <c r="T141" s="707"/>
      <c r="U141" s="707"/>
      <c r="V141" s="671" t="str">
        <f>Factor_toCbm20C(vcfTab,WCF_Standard,Cargo_type,$N$133,$U$106)</f>
        <v>--</v>
      </c>
    </row>
    <row r="142" ht="12.6" hidden="1" customHeight="1" spans="1:22">
      <c r="A142" t="str">
        <f t="shared" si="8"/>
        <v>隐藏</v>
      </c>
      <c r="B142" t="str">
        <f t="shared" si="14"/>
        <v>隐藏</v>
      </c>
      <c r="D142" t="b">
        <v>0</v>
      </c>
      <c r="I142" s="47"/>
      <c r="J142" s="47" t="str">
        <f t="shared" si="13"/>
        <v>Cubic Meters (30℃)</v>
      </c>
      <c r="K142" s="47"/>
      <c r="L142" s="47"/>
      <c r="M142" s="47"/>
      <c r="N142" s="702" t="str">
        <f>IF(D142=FALSE,"",IF(V131="","",ToCbm30C(vcfTab,WCF_Standard,Cargo_type,V131,N133,U106)))</f>
        <v/>
      </c>
      <c r="O142" s="703"/>
      <c r="P142" s="704" t="str">
        <f t="shared" si="15"/>
        <v/>
      </c>
      <c r="Q142" s="704"/>
      <c r="R142" s="707" t="str">
        <f>Method_toCBM30C(Report_Language,vcfTab,WCF_Standard)</f>
        <v>m³@30℃/m³@20℃ [1/VCF(30℃)]</v>
      </c>
      <c r="S142" s="707"/>
      <c r="T142" s="707"/>
      <c r="U142" s="707"/>
      <c r="V142" s="671">
        <f>Factor_toCbm30C(vcfTab,WCF_Standard,Cargo_type,$N$133,$U$106)</f>
        <v>1.00894</v>
      </c>
    </row>
    <row r="143" ht="12.6" hidden="1" customHeight="1" spans="1:22">
      <c r="A143" t="str">
        <f t="shared" si="8"/>
        <v>隐藏</v>
      </c>
      <c r="B143" t="str">
        <f t="shared" si="14"/>
        <v>隐藏</v>
      </c>
      <c r="D143" t="b">
        <v>0</v>
      </c>
      <c r="I143" s="47"/>
      <c r="J143" s="47" t="str">
        <f t="shared" si="13"/>
        <v>Metric Tons (in vacuo)</v>
      </c>
      <c r="K143" s="47"/>
      <c r="L143" s="47"/>
      <c r="M143" s="47"/>
      <c r="N143" s="702" t="str">
        <f>IF(D143=FALSE,"",IF(V131="","",ToMTvacuo(vcfTab,WCF_Standard,V131,N133)))</f>
        <v/>
      </c>
      <c r="O143" s="703"/>
      <c r="P143" s="704" t="str">
        <f t="shared" si="15"/>
        <v/>
      </c>
      <c r="Q143" s="704"/>
      <c r="R143" s="707" t="str">
        <f>Method_toMTvacuo(Report_Language,vcfTab,WCF_Standard)</f>
        <v>Density@20℃ MT(Vacuo)/m³</v>
      </c>
      <c r="S143" s="707"/>
      <c r="T143" s="707"/>
      <c r="U143" s="707"/>
      <c r="V143" s="671">
        <f>Factor_toMTvacuo(vcfTab,WCF_Standard,$N$133)</f>
        <v>0.8196</v>
      </c>
    </row>
    <row r="144" ht="12.6" customHeight="1" spans="1:22">
      <c r="A144" t="str">
        <f t="shared" si="8"/>
        <v>显示</v>
      </c>
      <c r="B144" t="str">
        <f t="shared" si="14"/>
        <v>显示</v>
      </c>
      <c r="D144" t="b">
        <v>1</v>
      </c>
      <c r="I144" s="47"/>
      <c r="J144" s="47" t="str">
        <f t="shared" si="13"/>
        <v>Metric Tons (in air)</v>
      </c>
      <c r="K144" s="47"/>
      <c r="L144" s="47"/>
      <c r="M144" s="47"/>
      <c r="N144" s="702">
        <f>IF(D144=FALSE,"",IF(V131="","",ToMTair(vcfTab,WCF_Standard,V131,N133)))</f>
        <v>39386.818</v>
      </c>
      <c r="O144" s="703"/>
      <c r="P144" s="704">
        <f t="shared" si="15"/>
        <v>39259.599</v>
      </c>
      <c r="Q144" s="704"/>
      <c r="R144" s="707" t="str">
        <f>Method_toMTair(Report_Language,vcfTab,WCF_Standard)</f>
        <v>WCF MT(in air)/m³@20℃</v>
      </c>
      <c r="S144" s="707"/>
      <c r="T144" s="707"/>
      <c r="U144" s="707"/>
      <c r="V144" s="671">
        <f>Factor_toMTair(vcfTab,WCF_Standard,$N$133)</f>
        <v>0.8185</v>
      </c>
    </row>
    <row r="145" ht="12.6" hidden="1" customHeight="1" spans="1:22">
      <c r="A145" t="str">
        <f t="shared" si="8"/>
        <v>隐藏</v>
      </c>
      <c r="B145" t="str">
        <f t="shared" si="14"/>
        <v>隐藏</v>
      </c>
      <c r="D145" t="b">
        <v>0</v>
      </c>
      <c r="I145" s="47"/>
      <c r="J145" s="47" t="str">
        <f t="shared" si="13"/>
        <v>Long Tons (in vacuo)</v>
      </c>
      <c r="K145" s="47"/>
      <c r="L145" s="47"/>
      <c r="M145" s="47"/>
      <c r="N145" s="702" t="str">
        <f>IF(D145=FALSE,"",IF(V131="","",ToLTvacuo(vcfTab,WCF_Standard,V131,N133)))</f>
        <v/>
      </c>
      <c r="O145" s="703"/>
      <c r="P145" s="704" t="str">
        <f t="shared" si="15"/>
        <v/>
      </c>
      <c r="Q145" s="704"/>
      <c r="R145" s="707" t="str">
        <f>Method_toLTvacuo(Report_Language,vcfTab,WCF_Standard)</f>
        <v>LT/MT [T-1] </v>
      </c>
      <c r="S145" s="707"/>
      <c r="T145" s="707"/>
      <c r="U145" s="707"/>
      <c r="V145" s="708">
        <f>Factor_toLTvacuo(vcfTab,WCF_Standard,$N$133)</f>
        <v>0.984206</v>
      </c>
    </row>
    <row r="146" ht="12.6" customHeight="1" spans="1:22">
      <c r="A146" t="str">
        <f t="shared" si="8"/>
        <v>显示</v>
      </c>
      <c r="B146" t="str">
        <f t="shared" si="14"/>
        <v>显示</v>
      </c>
      <c r="D146" t="b">
        <v>1</v>
      </c>
      <c r="I146" s="47"/>
      <c r="J146" s="47" t="str">
        <f t="shared" si="13"/>
        <v>Long Tons (in air)</v>
      </c>
      <c r="K146" s="47"/>
      <c r="L146" s="47"/>
      <c r="M146" s="47"/>
      <c r="N146" s="702">
        <f>IF(D146=FALSE,"",IF(V131="","",ToLTair(vcfTab,WCF_Standard,V131,N133)))</f>
        <v>38764.743</v>
      </c>
      <c r="O146" s="703"/>
      <c r="P146" s="704">
        <f t="shared" si="15"/>
        <v>38639.533</v>
      </c>
      <c r="Q146" s="704"/>
      <c r="R146" s="707" t="str">
        <f>Method_toLTair(Report_Language,vcfTab,WCF_Standard)</f>
        <v>LT/MT [T-1] </v>
      </c>
      <c r="S146" s="707"/>
      <c r="T146" s="707"/>
      <c r="U146" s="707"/>
      <c r="V146" s="671">
        <f>Factor_toLTair(vcfTab,WCF_Standard,N133)</f>
        <v>0.984206</v>
      </c>
    </row>
    <row r="147" spans="1:22">
      <c r="A147" t="str">
        <f t="shared" si="8"/>
        <v>显示</v>
      </c>
      <c r="I147" s="47"/>
      <c r="J147" s="47" t="str">
        <f>U26</f>
        <v>Remark:</v>
      </c>
      <c r="K147" s="47"/>
      <c r="L147" s="47"/>
      <c r="M147" s="47"/>
      <c r="N147" s="47"/>
      <c r="P147" s="47"/>
      <c r="Q147" s="47"/>
      <c r="R147" s="47"/>
      <c r="S147" s="47"/>
      <c r="T147" s="47"/>
      <c r="U147" s="47"/>
      <c r="V147" s="47"/>
    </row>
    <row r="148" spans="1:22">
      <c r="A148" t="str">
        <f t="shared" si="8"/>
        <v>显示</v>
      </c>
      <c r="I148" s="47"/>
      <c r="J148" s="47" t="str">
        <f>G43</f>
        <v>- Reference Standards: API MPMS Chapter 3, Chapter 7 (2012), Chapter 11.1 (R2012), Chapter 11.5(E2011), Chapter 12.1.1(E2015).</v>
      </c>
      <c r="K148" s="47"/>
      <c r="L148" s="47"/>
      <c r="M148" s="47"/>
      <c r="N148" s="47"/>
      <c r="P148" s="47"/>
      <c r="Q148" s="47"/>
      <c r="R148" s="47"/>
      <c r="S148" s="47"/>
      <c r="T148" s="47"/>
      <c r="U148" s="47"/>
      <c r="V148" s="47"/>
    </row>
    <row r="149" spans="1:22">
      <c r="A149" t="str">
        <f t="shared" si="8"/>
        <v>显示</v>
      </c>
      <c r="I149" s="47"/>
      <c r="J149" s="47" t="str">
        <f>U85</f>
        <v>- Free water detection and determination are in line with client's instruction, details refer to FREE WATER MEASUREMENT REPORT.</v>
      </c>
      <c r="K149" s="47"/>
      <c r="L149" s="47"/>
      <c r="M149" s="47"/>
      <c r="N149" s="47"/>
      <c r="P149" s="47"/>
      <c r="Q149" s="47"/>
      <c r="R149" s="47"/>
      <c r="S149" s="47"/>
      <c r="T149" s="47"/>
      <c r="U149" s="47"/>
      <c r="V149" s="47"/>
    </row>
    <row r="150" spans="1:22">
      <c r="A150" t="str">
        <f t="shared" si="8"/>
        <v>显示</v>
      </c>
      <c r="I150" s="47"/>
      <c r="J150" s="47"/>
      <c r="K150" s="47"/>
      <c r="L150" s="47"/>
      <c r="M150" s="47"/>
      <c r="N150" s="47"/>
      <c r="O150" s="47"/>
      <c r="P150" s="47"/>
      <c r="Q150" s="47"/>
      <c r="R150" s="47"/>
      <c r="S150" s="47"/>
      <c r="T150" s="47"/>
      <c r="U150" s="47"/>
      <c r="V150" s="47"/>
    </row>
    <row r="151" hidden="1" spans="1:22">
      <c r="A151" t="str">
        <f t="shared" si="8"/>
        <v>隐藏</v>
      </c>
      <c r="B151" t="str">
        <f>IF(Report_type="正式报告 Official Report","隐藏","显示")</f>
        <v>隐藏</v>
      </c>
      <c r="I151" s="47"/>
      <c r="M151" s="47" t="str">
        <f>J80</f>
        <v>Master/Chief Officer</v>
      </c>
      <c r="N151" s="47"/>
      <c r="O151" s="47"/>
      <c r="R151" s="47"/>
      <c r="S151" s="47" t="str">
        <f>J81</f>
        <v>CCIC Surveyor</v>
      </c>
      <c r="T151" s="47"/>
      <c r="U151" s="47"/>
      <c r="V151" s="47"/>
    </row>
    <row r="152" ht="22.8" hidden="1" customHeight="1" spans="1:22">
      <c r="A152" t="str">
        <f t="shared" si="8"/>
        <v>隐藏</v>
      </c>
      <c r="B152" t="str">
        <f>IF(Report_type="正式报告 Official Report","隐藏","显示")</f>
        <v>隐藏</v>
      </c>
      <c r="I152" s="47"/>
      <c r="M152" s="647" t="str">
        <f>J82</f>
        <v>Name</v>
      </c>
      <c r="N152" s="352"/>
      <c r="O152" s="352"/>
      <c r="P152" s="233"/>
      <c r="Q152" s="233"/>
      <c r="R152" s="247"/>
      <c r="S152" s="647" t="str">
        <f>J82</f>
        <v>Name</v>
      </c>
      <c r="T152" s="107" t="s">
        <v>10</v>
      </c>
      <c r="U152" s="107"/>
      <c r="V152" s="47"/>
    </row>
    <row r="153" ht="25.8" hidden="1" customHeight="1" spans="1:22">
      <c r="A153" t="str">
        <f t="shared" si="8"/>
        <v>隐藏</v>
      </c>
      <c r="B153" t="str">
        <f>IF(Report_type="正式报告 Official Report","隐藏","显示")</f>
        <v>隐藏</v>
      </c>
      <c r="I153" s="47"/>
      <c r="M153" s="647" t="str">
        <f>J83</f>
        <v>Signature</v>
      </c>
      <c r="N153" s="353"/>
      <c r="O153" s="353"/>
      <c r="P153" s="233"/>
      <c r="Q153" s="233"/>
      <c r="R153" s="247"/>
      <c r="S153" s="647" t="str">
        <f>J83</f>
        <v>Signature</v>
      </c>
      <c r="T153" s="105"/>
      <c r="U153" s="105"/>
      <c r="V153" s="47"/>
    </row>
    <row r="154" spans="1:22">
      <c r="A154" t="str">
        <f t="shared" si="8"/>
        <v>显示</v>
      </c>
      <c r="I154" s="47"/>
      <c r="J154" s="47"/>
      <c r="K154" s="47"/>
      <c r="L154" s="47"/>
      <c r="M154" s="47"/>
      <c r="N154" s="47"/>
      <c r="O154" s="47"/>
      <c r="P154" s="47"/>
      <c r="Q154" s="47"/>
      <c r="R154" s="47"/>
      <c r="S154" s="47"/>
      <c r="T154" s="47"/>
      <c r="U154" s="47"/>
      <c r="V154" s="47"/>
    </row>
    <row r="155" ht="34.8" customHeight="1" spans="1:22">
      <c r="A155" t="str">
        <f t="shared" si="8"/>
        <v>显示</v>
      </c>
      <c r="B155" t="str">
        <f>IF(Report_type="正式报告 Official Report","显示","隐藏")</f>
        <v>显示</v>
      </c>
      <c r="I155" s="47"/>
      <c r="J155" s="47"/>
      <c r="K155" s="47"/>
      <c r="L155" s="47"/>
      <c r="M155" s="47"/>
      <c r="N155" s="47"/>
      <c r="Q155" s="47"/>
      <c r="R155" s="47"/>
      <c r="S155" s="47"/>
      <c r="T155" s="47"/>
      <c r="U155" s="47"/>
      <c r="V155" s="47"/>
    </row>
    <row r="156" spans="1:22">
      <c r="A156" t="str">
        <f t="shared" si="8"/>
        <v>显示</v>
      </c>
      <c r="B156" t="str">
        <f>IF(Report_type="正式报告 Official Report","显示","隐藏")</f>
        <v>显示</v>
      </c>
      <c r="I156" s="47"/>
      <c r="J156" s="47"/>
      <c r="K156" s="47"/>
      <c r="L156" s="47"/>
      <c r="M156" s="47"/>
      <c r="N156" s="47"/>
      <c r="Q156" s="47"/>
      <c r="R156" s="47"/>
      <c r="S156" s="108" t="str">
        <f>J84</f>
        <v>Authorized Signature (S)</v>
      </c>
      <c r="T156" s="108"/>
      <c r="U156" s="47"/>
      <c r="V156" s="47"/>
    </row>
    <row r="157" ht="6" customHeight="1" spans="1:22">
      <c r="A157" t="str">
        <f>IF(OR(B157="隐藏",C157="隐藏"),"隐藏","显示")</f>
        <v>显示</v>
      </c>
      <c r="I157" s="47"/>
      <c r="J157" s="47"/>
      <c r="K157" s="47"/>
      <c r="L157" s="47"/>
      <c r="M157" s="47"/>
      <c r="N157" s="47"/>
      <c r="O157" s="47"/>
      <c r="P157" s="47"/>
      <c r="Q157" s="47"/>
      <c r="R157" s="47"/>
      <c r="S157" s="47"/>
      <c r="T157" s="47"/>
      <c r="U157" s="47"/>
      <c r="V157" s="47"/>
    </row>
    <row r="158" ht="18" customHeight="1" spans="1:22">
      <c r="A158" t="str">
        <f>IF(OR(B158="隐藏",C158="隐藏"),"隐藏","显示")</f>
        <v>显示</v>
      </c>
      <c r="I158" s="705" t="str">
        <f>J85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58" s="705"/>
      <c r="K158" s="705"/>
      <c r="L158" s="705"/>
      <c r="M158" s="705"/>
      <c r="N158" s="705"/>
      <c r="O158" s="705"/>
      <c r="P158" s="705"/>
      <c r="Q158" s="705"/>
      <c r="R158" s="705"/>
      <c r="S158" s="705"/>
      <c r="T158" s="705"/>
      <c r="U158" s="705"/>
      <c r="V158" s="705"/>
    </row>
  </sheetData>
  <mergeCells count="94">
    <mergeCell ref="P93:R93"/>
    <mergeCell ref="S93:V93"/>
    <mergeCell ref="P94:R94"/>
    <mergeCell ref="S94:V94"/>
    <mergeCell ref="P95:R95"/>
    <mergeCell ref="S95:V95"/>
    <mergeCell ref="P96:R96"/>
    <mergeCell ref="S96:V96"/>
    <mergeCell ref="P97:R97"/>
    <mergeCell ref="S97:V97"/>
    <mergeCell ref="P98:R98"/>
    <mergeCell ref="S98:V98"/>
    <mergeCell ref="P99:R99"/>
    <mergeCell ref="S99:V99"/>
    <mergeCell ref="I102:K102"/>
    <mergeCell ref="P102:Q102"/>
    <mergeCell ref="I103:J103"/>
    <mergeCell ref="K103:L103"/>
    <mergeCell ref="P103:Q103"/>
    <mergeCell ref="I104:J104"/>
    <mergeCell ref="K104:L104"/>
    <mergeCell ref="P104:R104"/>
    <mergeCell ref="I105:J105"/>
    <mergeCell ref="K105:L105"/>
    <mergeCell ref="P105:R105"/>
    <mergeCell ref="U105:V105"/>
    <mergeCell ref="I106:J106"/>
    <mergeCell ref="K106:L106"/>
    <mergeCell ref="U106:V106"/>
    <mergeCell ref="L108:N108"/>
    <mergeCell ref="Q108:S108"/>
    <mergeCell ref="S131:U131"/>
    <mergeCell ref="S132:U132"/>
    <mergeCell ref="J133:M133"/>
    <mergeCell ref="N133:O133"/>
    <mergeCell ref="S133:U133"/>
    <mergeCell ref="J134:K134"/>
    <mergeCell ref="L134:M134"/>
    <mergeCell ref="N134:O134"/>
    <mergeCell ref="S134:U134"/>
    <mergeCell ref="N135:O135"/>
    <mergeCell ref="P135:Q135"/>
    <mergeCell ref="S135:U135"/>
    <mergeCell ref="N136:O136"/>
    <mergeCell ref="P136:Q136"/>
    <mergeCell ref="N137:O137"/>
    <mergeCell ref="P137:Q137"/>
    <mergeCell ref="N138:O138"/>
    <mergeCell ref="P138:Q138"/>
    <mergeCell ref="N139:O139"/>
    <mergeCell ref="P139:Q139"/>
    <mergeCell ref="N140:O140"/>
    <mergeCell ref="P140:Q140"/>
    <mergeCell ref="R140:U140"/>
    <mergeCell ref="N141:O141"/>
    <mergeCell ref="P141:Q141"/>
    <mergeCell ref="R141:U141"/>
    <mergeCell ref="N142:O142"/>
    <mergeCell ref="P142:Q142"/>
    <mergeCell ref="R142:U142"/>
    <mergeCell ref="N143:O143"/>
    <mergeCell ref="P143:Q143"/>
    <mergeCell ref="R143:U143"/>
    <mergeCell ref="N144:O144"/>
    <mergeCell ref="P144:Q144"/>
    <mergeCell ref="R144:U144"/>
    <mergeCell ref="N145:O145"/>
    <mergeCell ref="P145:Q145"/>
    <mergeCell ref="R145:U145"/>
    <mergeCell ref="N146:O146"/>
    <mergeCell ref="P146:Q146"/>
    <mergeCell ref="R146:U146"/>
    <mergeCell ref="T152:U152"/>
    <mergeCell ref="I158:V158"/>
    <mergeCell ref="D1:D17"/>
    <mergeCell ref="J108:J110"/>
    <mergeCell ref="K108:K110"/>
    <mergeCell ref="L109:L110"/>
    <mergeCell ref="O108:O109"/>
    <mergeCell ref="P108:P109"/>
    <mergeCell ref="Q109:Q110"/>
    <mergeCell ref="R1:R9"/>
    <mergeCell ref="R10:R16"/>
    <mergeCell ref="R19:R23"/>
    <mergeCell ref="R24:R28"/>
    <mergeCell ref="R29:R30"/>
    <mergeCell ref="R31:R40"/>
    <mergeCell ref="R41:R45"/>
    <mergeCell ref="R46:R64"/>
    <mergeCell ref="R65:R76"/>
    <mergeCell ref="T108:T109"/>
    <mergeCell ref="V108:V109"/>
    <mergeCell ref="I93:O98"/>
    <mergeCell ref="I99:O100"/>
  </mergeCells>
  <conditionalFormatting sqref="U106:V106">
    <cfRule type="expression" dxfId="3" priority="6">
      <formula>AND(Cargo_type&lt;&gt;"C")</formula>
    </cfRule>
    <cfRule type="expression" dxfId="5" priority="18">
      <formula>AND(Cargo_type="C")</formula>
    </cfRule>
  </conditionalFormatting>
  <conditionalFormatting sqref="N133:O133">
    <cfRule type="expression" dxfId="2" priority="4">
      <formula>AND(LEFT(vcfTab,4)="T-24")</formula>
    </cfRule>
    <cfRule type="expression" dxfId="1" priority="5">
      <formula>OR(LEFT(vcfTab,4)="T-54",LEFT(vcfTab,4)="T-60")</formula>
    </cfRule>
  </conditionalFormatting>
  <conditionalFormatting sqref="J134:K134">
    <cfRule type="expression" dxfId="6" priority="14">
      <formula>AND(Cargo_type="A")</formula>
    </cfRule>
  </conditionalFormatting>
  <conditionalFormatting sqref="J134:O134">
    <cfRule type="expression" dxfId="3" priority="11">
      <formula>AND(Cargo_type&lt;&gt;"A")</formula>
    </cfRule>
  </conditionalFormatting>
  <conditionalFormatting sqref="L134:M134">
    <cfRule type="expression" dxfId="7" priority="13">
      <formula>AND(Cargo_type="A")</formula>
    </cfRule>
  </conditionalFormatting>
  <conditionalFormatting sqref="N134:O134">
    <cfRule type="expression" dxfId="8" priority="12">
      <formula>AND(Cargo_type="A")</formula>
    </cfRule>
  </conditionalFormatting>
  <conditionalFormatting sqref="U111:U128">
    <cfRule type="expression" dxfId="9" priority="1">
      <formula>AND(vcfVersion=2004)</formula>
    </cfRule>
    <cfRule type="expression" dxfId="2" priority="2">
      <formula>OR(vcfVersion=1952,vcfVersion=1980)</formula>
    </cfRule>
  </conditionalFormatting>
  <conditionalFormatting sqref="V111:V129">
    <cfRule type="expression" dxfId="0" priority="3">
      <formula>OR(LEFT(vcfTab,4)="T-54",LEFT(vcfTab,4)="T-60")</formula>
    </cfRule>
  </conditionalFormatting>
  <conditionalFormatting sqref="P111:P129 S111:T129">
    <cfRule type="expression" dxfId="0" priority="183">
      <formula>AND($P$110=$U$47)</formula>
    </cfRule>
  </conditionalFormatting>
  <conditionalFormatting sqref="S111:T129 P111:P129">
    <cfRule type="expression" dxfId="1" priority="186">
      <formula>AND($P$110=$U$48)</formula>
    </cfRule>
  </conditionalFormatting>
  <conditionalFormatting sqref="P136:Q146">
    <cfRule type="expression" dxfId="3" priority="9">
      <formula>AND(Cargo_type&lt;&gt;"A")</formula>
    </cfRule>
    <cfRule type="expression" dxfId="10" priority="10">
      <formula>AND(Cargo_type="A")</formula>
    </cfRule>
  </conditionalFormatting>
  <dataValidations count="4">
    <dataValidation type="list" allowBlank="1" showInputMessage="1" showErrorMessage="1" sqref="L111:L128 Q111:Q128">
      <formula1>"U,I"</formula1>
    </dataValidation>
    <dataValidation type="list" allowBlank="1" showInputMessage="1" showErrorMessage="1" sqref="O110">
      <formula1>$U$49:$U$50</formula1>
    </dataValidation>
    <dataValidation type="list" allowBlank="1" showInputMessage="1" showErrorMessage="1" sqref="L134">
      <formula1>$G$38:$G$39</formula1>
    </dataValidation>
    <dataValidation type="list" allowBlank="1" showInputMessage="1" showErrorMessage="1" sqref="K111:K128">
      <formula1>"F,C,A"</formula1>
    </dataValidation>
  </dataValidations>
  <pageMargins left="0.511811023622047" right="0.31496062992126" top="0.31496062992126" bottom="0.511811023622047" header="0.31496062992126" footer="0.31496062992126"/>
  <pageSetup paperSize="9" orientation="portrait"/>
  <headerFooter>
    <oddHeader>&amp;L&amp;G</oddHeader>
  </headerFooter>
  <drawing r:id="rId1"/>
  <legacyDrawing r:id="rId2"/>
  <legacyDrawingHF r:id="rId9"/>
  <mc:AlternateContent xmlns:mc="http://schemas.openxmlformats.org/markup-compatibility/2006">
    <mc:Choice Requires="x14">
      <controls>
        <mc:AlternateContent xmlns:mc="http://schemas.openxmlformats.org/markup-compatibility/2006">
          <mc:Choice Requires="x14">
            <control shapeId="5176" name="Button 56" r:id="rId3">
              <controlPr print="0" defaultSize="0">
                <anchor moveWithCells="1">
                  <from>
                    <xdr:col>24</xdr:col>
                    <xdr:colOff>266700</xdr:colOff>
                    <xdr:row>107</xdr:row>
                    <xdr:rowOff>0</xdr:rowOff>
                  </from>
                  <to>
                    <xdr:col>28</xdr:col>
                    <xdr:colOff>167640</xdr:colOff>
                    <xdr:row>107</xdr:row>
                    <xdr:rowOff>251460</xdr:rowOff>
                  </to>
                </anchor>
              </controlPr>
            </control>
          </mc:Choice>
        </mc:AlternateContent>
        <mc:AlternateContent xmlns:mc="http://schemas.openxmlformats.org/markup-compatibility/2006">
          <mc:Choice Requires="x14">
            <control shapeId="5179" name="Button 59" r:id="rId4">
              <controlPr print="0" defaultSize="0">
                <anchor moveWithCells="1">
                  <from>
                    <xdr:col>24</xdr:col>
                    <xdr:colOff>266700</xdr:colOff>
                    <xdr:row>102</xdr:row>
                    <xdr:rowOff>53340</xdr:rowOff>
                  </from>
                  <to>
                    <xdr:col>28</xdr:col>
                    <xdr:colOff>167640</xdr:colOff>
                    <xdr:row>103</xdr:row>
                    <xdr:rowOff>144780</xdr:rowOff>
                  </to>
                </anchor>
              </controlPr>
            </control>
          </mc:Choice>
        </mc:AlternateContent>
        <mc:AlternateContent xmlns:mc="http://schemas.openxmlformats.org/markup-compatibility/2006">
          <mc:Choice Requires="x14">
            <control shapeId="5200" name="Option Button 80" r:id="rId5">
              <controlPr defaultSize="0">
                <anchor moveWithCells="1">
                  <from>
                    <xdr:col>24</xdr:col>
                    <xdr:colOff>266700</xdr:colOff>
                    <xdr:row>108</xdr:row>
                    <xdr:rowOff>7620</xdr:rowOff>
                  </from>
                  <to>
                    <xdr:col>26</xdr:col>
                    <xdr:colOff>22860</xdr:colOff>
                    <xdr:row>108</xdr:row>
                    <xdr:rowOff>190500</xdr:rowOff>
                  </to>
                </anchor>
              </controlPr>
            </control>
          </mc:Choice>
        </mc:AlternateContent>
        <mc:AlternateContent xmlns:mc="http://schemas.openxmlformats.org/markup-compatibility/2006">
          <mc:Choice Requires="x14">
            <control shapeId="5201" name="Option Button 81" r:id="rId6">
              <controlPr defaultSize="0">
                <anchor moveWithCells="1">
                  <from>
                    <xdr:col>24</xdr:col>
                    <xdr:colOff>266700</xdr:colOff>
                    <xdr:row>108</xdr:row>
                    <xdr:rowOff>198120</xdr:rowOff>
                  </from>
                  <to>
                    <xdr:col>26</xdr:col>
                    <xdr:colOff>22860</xdr:colOff>
                    <xdr:row>109</xdr:row>
                    <xdr:rowOff>83820</xdr:rowOff>
                  </to>
                </anchor>
              </controlPr>
            </control>
          </mc:Choice>
        </mc:AlternateContent>
        <mc:AlternateContent xmlns:mc="http://schemas.openxmlformats.org/markup-compatibility/2006">
          <mc:Choice Requires="x14">
            <control shapeId="5203" name="Button 83" r:id="rId7">
              <controlPr print="0" defaultSize="0">
                <anchor moveWithCells="1">
                  <from>
                    <xdr:col>24</xdr:col>
                    <xdr:colOff>266700</xdr:colOff>
                    <xdr:row>104</xdr:row>
                    <xdr:rowOff>53340</xdr:rowOff>
                  </from>
                  <to>
                    <xdr:col>28</xdr:col>
                    <xdr:colOff>167640</xdr:colOff>
                    <xdr:row>105</xdr:row>
                    <xdr:rowOff>144780</xdr:rowOff>
                  </to>
                </anchor>
              </controlPr>
            </control>
          </mc:Choice>
        </mc:AlternateContent>
        <mc:AlternateContent xmlns:mc="http://schemas.openxmlformats.org/markup-compatibility/2006">
          <mc:Choice Requires="x14">
            <control shapeId="5204" name="Button 84" r:id="rId8">
              <controlPr print="0" defaultSize="0">
                <anchor moveWithCells="1">
                  <from>
                    <xdr:col>24</xdr:col>
                    <xdr:colOff>266700</xdr:colOff>
                    <xdr:row>100</xdr:row>
                    <xdr:rowOff>45720</xdr:rowOff>
                  </from>
                  <to>
                    <xdr:col>28</xdr:col>
                    <xdr:colOff>167640</xdr:colOff>
                    <xdr:row>101</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AL181"/>
  <sheetViews>
    <sheetView showGridLines="0" topLeftCell="I89" workbookViewId="0">
      <selection activeCell="Z107" sqref="Z107"/>
    </sheetView>
  </sheetViews>
  <sheetFormatPr defaultColWidth="9" defaultRowHeight="14.25"/>
  <cols>
    <col min="1" max="7" width="8.88333333333333" hidden="1" customWidth="1"/>
    <col min="8" max="8" width="5.21666666666667" hidden="1" customWidth="1"/>
    <col min="9" max="9" width="5.21666666666667" customWidth="1"/>
    <col min="10" max="14" width="5.88333333333333" customWidth="1"/>
    <col min="15" max="15" width="7.88333333333333" customWidth="1"/>
    <col min="16" max="16" width="9.33333333333333" customWidth="1"/>
    <col min="17" max="17" width="6.33333333333333" customWidth="1"/>
    <col min="18" max="18" width="8.55833333333333" customWidth="1"/>
    <col min="19" max="19" width="8.21666666666667" customWidth="1"/>
    <col min="20" max="20" width="7.55833333333333" customWidth="1"/>
    <col min="21" max="21" width="9.10833333333333" customWidth="1"/>
    <col min="22" max="22" width="7.44166666666667" customWidth="1"/>
    <col min="23" max="23" width="4.33333333333333" style="357" customWidth="1"/>
    <col min="24" max="24" width="5.10833333333333" style="357" customWidth="1"/>
    <col min="25" max="29" width="6" style="357" customWidth="1"/>
    <col min="30" max="30" width="7.88333333333333" style="357" customWidth="1"/>
    <col min="31" max="31" width="9.33333333333333" style="357" customWidth="1"/>
    <col min="32" max="32" width="6.775" style="357" customWidth="1"/>
    <col min="33" max="33" width="8.55833333333333" style="357" customWidth="1"/>
    <col min="34" max="34" width="7.775" style="357" customWidth="1"/>
    <col min="35" max="35" width="7.55833333333333" style="357" customWidth="1"/>
    <col min="36" max="36" width="9.10833333333333" style="357" customWidth="1"/>
    <col min="37" max="37" width="1.10833333333333" style="357" customWidth="1"/>
    <col min="38" max="38" width="8.88333333333333" style="357"/>
    <col min="39" max="16384" width="8.88333333333333"/>
  </cols>
  <sheetData>
    <row r="1" ht="15" hidden="1" customHeight="1" spans="1:22">
      <c r="A1" s="1" t="s">
        <v>13</v>
      </c>
      <c r="B1" s="1" t="s">
        <v>14</v>
      </c>
      <c r="C1" s="2"/>
      <c r="D1" t="s">
        <v>2</v>
      </c>
      <c r="E1">
        <v>1</v>
      </c>
      <c r="F1" t="str">
        <f>INDEX(D1:D2,E1,0)</f>
        <v>英文 English</v>
      </c>
      <c r="I1" s="357" t="s">
        <v>729</v>
      </c>
      <c r="J1" s="357" t="s">
        <v>730</v>
      </c>
      <c r="K1" s="357">
        <f>X99</f>
        <v>0</v>
      </c>
      <c r="U1" s="25"/>
      <c r="V1" s="26"/>
    </row>
    <row r="2" hidden="1" spans="1:22">
      <c r="A2" s="3" t="s">
        <v>15</v>
      </c>
      <c r="B2" s="3" t="s">
        <v>16</v>
      </c>
      <c r="C2" s="2" t="str">
        <f t="shared" ref="C2:C33" si="0">IF(Report_Language=$A$1,A2,B2)</f>
        <v>JOB NO.</v>
      </c>
      <c r="D2" t="s">
        <v>1</v>
      </c>
      <c r="E2">
        <v>2</v>
      </c>
      <c r="F2" t="str">
        <f>INDEX(D26:D27,E2,0)</f>
        <v>正式报告 Official Report</v>
      </c>
      <c r="I2" s="357" t="s">
        <v>15</v>
      </c>
      <c r="J2" s="357" t="s">
        <v>432</v>
      </c>
      <c r="K2" s="357" t="str">
        <f t="shared" ref="K2:K33" si="1">IF(Report_Language=$A$1,I2,J2)</f>
        <v>JOB NO.</v>
      </c>
      <c r="U2" s="25"/>
      <c r="V2" s="28"/>
    </row>
    <row r="3" hidden="1" spans="1:22">
      <c r="A3" s="4" t="s">
        <v>17</v>
      </c>
      <c r="B3" s="4" t="s">
        <v>18</v>
      </c>
      <c r="C3" s="2" t="str">
        <f t="shared" si="0"/>
        <v>DATE OF REPORT</v>
      </c>
      <c r="D3" s="5" t="s">
        <v>88</v>
      </c>
      <c r="E3">
        <v>2</v>
      </c>
      <c r="F3" t="str">
        <f>INDEX(D28:D31,E3,0)</f>
        <v>B--成品油 Refined Products</v>
      </c>
      <c r="G3" t="str">
        <f>LEFT(F3,1)</f>
        <v>B</v>
      </c>
      <c r="I3" s="357" t="s">
        <v>17</v>
      </c>
      <c r="J3" s="357" t="s">
        <v>434</v>
      </c>
      <c r="K3" s="357" t="str">
        <f t="shared" si="1"/>
        <v>DATE OF REPORT</v>
      </c>
      <c r="U3" s="25"/>
      <c r="V3" s="28"/>
    </row>
    <row r="4" hidden="1" spans="1:22">
      <c r="A4" s="3" t="s">
        <v>20</v>
      </c>
      <c r="B4" s="3" t="s">
        <v>21</v>
      </c>
      <c r="C4" s="2" t="str">
        <f t="shared" si="0"/>
        <v>APPLICANT</v>
      </c>
      <c r="D4" s="5" t="s">
        <v>91</v>
      </c>
      <c r="E4">
        <v>5</v>
      </c>
      <c r="F4" t="str">
        <f>INDEX(D3:D20,E4,0)</f>
        <v>T-24A</v>
      </c>
      <c r="I4" s="357" t="s">
        <v>20</v>
      </c>
      <c r="J4" s="357" t="s">
        <v>436</v>
      </c>
      <c r="K4" s="357" t="str">
        <f t="shared" si="1"/>
        <v>APPLICANT</v>
      </c>
      <c r="U4" s="25"/>
      <c r="V4" s="28"/>
    </row>
    <row r="5" hidden="1" spans="1:22">
      <c r="A5" s="4" t="s">
        <v>23</v>
      </c>
      <c r="B5" s="4" t="s">
        <v>24</v>
      </c>
      <c r="C5" s="2" t="str">
        <f t="shared" si="0"/>
        <v>CLIENT'S REF. NO.</v>
      </c>
      <c r="D5" s="5" t="s">
        <v>92</v>
      </c>
      <c r="E5">
        <v>2</v>
      </c>
      <c r="F5">
        <f>INDEX(D23:D25,E5,0)</f>
        <v>1980</v>
      </c>
      <c r="I5" s="357" t="s">
        <v>23</v>
      </c>
      <c r="J5" s="357" t="s">
        <v>438</v>
      </c>
      <c r="K5" s="357" t="str">
        <f t="shared" si="1"/>
        <v>CLIENT'S REF. NO.</v>
      </c>
      <c r="U5" s="25"/>
      <c r="V5" s="28"/>
    </row>
    <row r="6" hidden="1" spans="1:22">
      <c r="A6" s="3" t="s">
        <v>25</v>
      </c>
      <c r="B6" s="3" t="s">
        <v>26</v>
      </c>
      <c r="C6" s="2" t="str">
        <f t="shared" si="0"/>
        <v>COMMODITY</v>
      </c>
      <c r="D6" s="5" t="s">
        <v>95</v>
      </c>
      <c r="E6">
        <v>2</v>
      </c>
      <c r="F6" t="str">
        <f>INDEX(D21:D22,E6,0)</f>
        <v>API MPMS 11.5 (2013)</v>
      </c>
      <c r="I6" s="357" t="s">
        <v>25</v>
      </c>
      <c r="J6" s="357" t="s">
        <v>439</v>
      </c>
      <c r="K6" s="357" t="str">
        <f t="shared" si="1"/>
        <v>COMMODITY</v>
      </c>
      <c r="U6" s="25"/>
      <c r="V6" s="28"/>
    </row>
    <row r="7" hidden="1" spans="1:22">
      <c r="A7" s="4" t="s">
        <v>28</v>
      </c>
      <c r="B7" s="4" t="s">
        <v>29</v>
      </c>
      <c r="C7" s="2" t="str">
        <f t="shared" si="0"/>
        <v>VESSEL</v>
      </c>
      <c r="D7" s="5" t="s">
        <v>98</v>
      </c>
      <c r="E7">
        <v>4</v>
      </c>
      <c r="F7" t="str">
        <f>IF(E7=1,"Den15",IF(E7=2,"Den20",IF(E7=3,"API","SG")))</f>
        <v>SG</v>
      </c>
      <c r="I7" s="357" t="s">
        <v>28</v>
      </c>
      <c r="J7" s="357" t="s">
        <v>440</v>
      </c>
      <c r="K7" s="357" t="str">
        <f t="shared" si="1"/>
        <v>VESSEL</v>
      </c>
      <c r="U7" s="25"/>
      <c r="V7" s="28"/>
    </row>
    <row r="8" hidden="1" spans="1:22">
      <c r="A8" s="3" t="s">
        <v>31</v>
      </c>
      <c r="B8" s="3" t="s">
        <v>32</v>
      </c>
      <c r="C8" s="2" t="str">
        <f t="shared" si="0"/>
        <v>PORT</v>
      </c>
      <c r="D8" s="5" t="s">
        <v>101</v>
      </c>
      <c r="I8" s="357" t="s">
        <v>31</v>
      </c>
      <c r="J8" s="357" t="s">
        <v>441</v>
      </c>
      <c r="K8" s="357" t="str">
        <f t="shared" si="1"/>
        <v>PORT</v>
      </c>
      <c r="U8" s="25"/>
      <c r="V8" s="28"/>
    </row>
    <row r="9" hidden="1" spans="1:22">
      <c r="A9" s="6" t="s">
        <v>34</v>
      </c>
      <c r="B9" s="4" t="s">
        <v>35</v>
      </c>
      <c r="C9" s="2" t="str">
        <f t="shared" si="0"/>
        <v>TERMINAL</v>
      </c>
      <c r="D9" s="5" t="s">
        <v>104</v>
      </c>
      <c r="I9" s="357" t="s">
        <v>36</v>
      </c>
      <c r="J9" s="357" t="s">
        <v>442</v>
      </c>
      <c r="K9" s="357" t="str">
        <f t="shared" si="1"/>
        <v>DATE OF INSPECTION</v>
      </c>
      <c r="U9" s="25"/>
      <c r="V9" s="28"/>
    </row>
    <row r="10" ht="15" hidden="1" customHeight="1" spans="1:22">
      <c r="A10" s="4" t="s">
        <v>36</v>
      </c>
      <c r="B10" s="4" t="s">
        <v>37</v>
      </c>
      <c r="C10" s="2" t="str">
        <f t="shared" si="0"/>
        <v>DATE OF INSPECTION</v>
      </c>
      <c r="D10" s="5" t="s">
        <v>107</v>
      </c>
      <c r="I10" s="357" t="s">
        <v>454</v>
      </c>
      <c r="J10" s="357" t="s">
        <v>455</v>
      </c>
      <c r="K10" s="357" t="str">
        <f t="shared" si="1"/>
        <v>Date :</v>
      </c>
      <c r="U10" s="25"/>
      <c r="V10" s="28"/>
    </row>
    <row r="11" hidden="1" spans="1:22">
      <c r="A11" s="7" t="s">
        <v>44</v>
      </c>
      <c r="B11" s="2" t="str">
        <f>A11</f>
        <v>SG0020031202-I</v>
      </c>
      <c r="C11" s="2" t="s">
        <v>45</v>
      </c>
      <c r="D11" s="5" t="s">
        <v>110</v>
      </c>
      <c r="I11" s="357" t="s">
        <v>457</v>
      </c>
      <c r="J11" s="357" t="s">
        <v>458</v>
      </c>
      <c r="K11" s="357" t="str">
        <f t="shared" si="1"/>
        <v>Time :</v>
      </c>
      <c r="U11" s="25"/>
      <c r="V11" s="28"/>
    </row>
    <row r="12" hidden="1" spans="1:22">
      <c r="A12" s="8" t="s">
        <v>46</v>
      </c>
      <c r="B12" s="2" t="str">
        <f>A12</f>
        <v>YYYY-MM-DD</v>
      </c>
      <c r="C12" s="2" t="s">
        <v>46</v>
      </c>
      <c r="D12" s="5" t="s">
        <v>113</v>
      </c>
      <c r="I12" s="357" t="s">
        <v>460</v>
      </c>
      <c r="J12" s="357" t="s">
        <v>461</v>
      </c>
      <c r="K12" s="357" t="str">
        <f t="shared" si="1"/>
        <v>Draft Fwd :</v>
      </c>
      <c r="U12" s="25"/>
      <c r="V12" s="28"/>
    </row>
    <row r="13" hidden="1" spans="1:22">
      <c r="A13" s="7" t="s">
        <v>48</v>
      </c>
      <c r="B13" s="9" t="s">
        <v>49</v>
      </c>
      <c r="C13" s="2" t="str">
        <f t="shared" si="0"/>
        <v>PETROCHINA </v>
      </c>
      <c r="D13" s="5" t="s">
        <v>116</v>
      </c>
      <c r="I13" s="357" t="s">
        <v>462</v>
      </c>
      <c r="J13" s="357" t="s">
        <v>463</v>
      </c>
      <c r="K13" s="357" t="str">
        <f t="shared" si="1"/>
        <v>Draft Aft :</v>
      </c>
      <c r="U13" s="25"/>
      <c r="V13" s="28"/>
    </row>
    <row r="14" hidden="1" spans="1:22">
      <c r="A14" s="7" t="s">
        <v>50</v>
      </c>
      <c r="B14" s="7" t="s">
        <v>117</v>
      </c>
      <c r="C14" s="2" t="s">
        <v>51</v>
      </c>
      <c r="D14" s="5" t="s">
        <v>120</v>
      </c>
      <c r="I14" s="357" t="s">
        <v>464</v>
      </c>
      <c r="J14" s="357" t="s">
        <v>465</v>
      </c>
      <c r="K14" s="357" t="str">
        <f t="shared" si="1"/>
        <v>List :</v>
      </c>
      <c r="U14" s="25"/>
      <c r="V14" s="28"/>
    </row>
    <row r="15" hidden="1" spans="1:22">
      <c r="A15" s="7" t="s">
        <v>52</v>
      </c>
      <c r="B15" s="9" t="s">
        <v>53</v>
      </c>
      <c r="C15" s="2" t="str">
        <f t="shared" si="0"/>
        <v>Crude Oil6658</v>
      </c>
      <c r="D15" s="5" t="s">
        <v>123</v>
      </c>
      <c r="I15" s="357" t="s">
        <v>466</v>
      </c>
      <c r="J15" s="357" t="s">
        <v>467</v>
      </c>
      <c r="K15" s="357" t="str">
        <f t="shared" si="1"/>
        <v>Trim :</v>
      </c>
      <c r="U15" s="25"/>
      <c r="V15" s="28"/>
    </row>
    <row r="16" hidden="1" spans="1:22">
      <c r="A16" s="7" t="s">
        <v>54</v>
      </c>
      <c r="B16" s="2" t="s">
        <v>55</v>
      </c>
      <c r="C16" s="2" t="str">
        <f t="shared" si="0"/>
        <v>MT ZhenYuanefdasdf</v>
      </c>
      <c r="D16" s="5" t="s">
        <v>126</v>
      </c>
      <c r="I16" s="357" t="s">
        <v>468</v>
      </c>
      <c r="J16" s="357" t="s">
        <v>469</v>
      </c>
      <c r="K16" s="357" t="str">
        <f t="shared" si="1"/>
        <v>m By Head</v>
      </c>
      <c r="U16" s="25"/>
      <c r="V16" s="28"/>
    </row>
    <row r="17" ht="15.6" hidden="1" customHeight="1" spans="1:22">
      <c r="A17" s="7" t="s">
        <v>56</v>
      </c>
      <c r="B17" s="9" t="s">
        <v>57</v>
      </c>
      <c r="C17" s="2" t="str">
        <f t="shared" si="0"/>
        <v>Dalian, Chinafsadfa</v>
      </c>
      <c r="D17" s="5" t="s">
        <v>129</v>
      </c>
      <c r="I17" s="357" t="s">
        <v>470</v>
      </c>
      <c r="J17" s="357" t="s">
        <v>471</v>
      </c>
      <c r="K17" s="357" t="str">
        <f t="shared" si="1"/>
        <v>m By Stern</v>
      </c>
      <c r="U17" s="25"/>
      <c r="V17" s="28"/>
    </row>
    <row r="18" hidden="1" spans="1:22">
      <c r="A18" s="7" t="s">
        <v>58</v>
      </c>
      <c r="B18" s="9" t="s">
        <v>59</v>
      </c>
      <c r="C18" s="2" t="str">
        <f t="shared" si="0"/>
        <v>Dalian Chinaoil, China1325415</v>
      </c>
      <c r="D18" s="5" t="s">
        <v>132</v>
      </c>
      <c r="I18" s="357" t="s">
        <v>474</v>
      </c>
      <c r="J18" s="357" t="s">
        <v>475</v>
      </c>
      <c r="K18" s="357" t="str">
        <f t="shared" si="1"/>
        <v>Degrees P</v>
      </c>
      <c r="U18" s="25"/>
      <c r="V18" s="28"/>
    </row>
    <row r="19" hidden="1" spans="1:22">
      <c r="A19" s="10" t="s">
        <v>133</v>
      </c>
      <c r="B19" s="11" t="str">
        <f>A19</f>
        <v>YYYY-MM-DD -- YYYY-MM-DD</v>
      </c>
      <c r="C19" s="2" t="s">
        <v>60</v>
      </c>
      <c r="D19" s="12" t="s">
        <v>136</v>
      </c>
      <c r="I19" s="357" t="s">
        <v>476</v>
      </c>
      <c r="J19" s="357" t="s">
        <v>477</v>
      </c>
      <c r="K19" s="357" t="str">
        <f t="shared" si="1"/>
        <v>Degrees S</v>
      </c>
      <c r="U19" s="25"/>
      <c r="V19" s="28"/>
    </row>
    <row r="20" hidden="1" spans="1:22">
      <c r="A20" s="13" t="s">
        <v>137</v>
      </c>
      <c r="B20" s="13" t="s">
        <v>138</v>
      </c>
      <c r="C20" s="2" t="str">
        <f t="shared" si="0"/>
        <v>Density@15℃ (g/cm³)</v>
      </c>
      <c r="D20" s="5" t="s">
        <v>141</v>
      </c>
      <c r="I20" s="357"/>
      <c r="J20" s="357"/>
      <c r="K20" s="357">
        <f t="shared" si="1"/>
        <v>0</v>
      </c>
      <c r="U20" s="25"/>
      <c r="V20" s="28"/>
    </row>
    <row r="21" hidden="1" spans="1:22">
      <c r="A21" s="14" t="s">
        <v>142</v>
      </c>
      <c r="B21" s="14" t="s">
        <v>143</v>
      </c>
      <c r="C21" s="2" t="str">
        <f t="shared" si="0"/>
        <v>Density@20℃ (g/cm³)</v>
      </c>
      <c r="D21" s="5" t="s">
        <v>5</v>
      </c>
      <c r="I21" s="357" t="s">
        <v>479</v>
      </c>
      <c r="J21" s="357" t="s">
        <v>478</v>
      </c>
      <c r="K21" s="357" t="str">
        <f t="shared" si="1"/>
        <v>Sea Condition</v>
      </c>
      <c r="U21" s="25"/>
      <c r="V21" s="28"/>
    </row>
    <row r="22" ht="15" hidden="1" customHeight="1" spans="1:22">
      <c r="A22" s="13" t="s">
        <v>146</v>
      </c>
      <c r="B22" s="13" t="s">
        <v>146</v>
      </c>
      <c r="C22" s="2" t="str">
        <f t="shared" si="0"/>
        <v>API@60℉</v>
      </c>
      <c r="D22" s="5" t="s">
        <v>6</v>
      </c>
      <c r="I22" s="357" t="s">
        <v>480</v>
      </c>
      <c r="J22" s="357" t="s">
        <v>481</v>
      </c>
      <c r="K22" s="357" t="str">
        <f t="shared" si="1"/>
        <v>Calm</v>
      </c>
      <c r="U22" s="25"/>
      <c r="V22" s="28"/>
    </row>
    <row r="23" hidden="1" spans="1:22">
      <c r="A23" s="14" t="s">
        <v>149</v>
      </c>
      <c r="B23" s="14" t="s">
        <v>150</v>
      </c>
      <c r="C23" s="2" t="str">
        <f t="shared" si="0"/>
        <v>S.G.@60℉/60℉</v>
      </c>
      <c r="D23" s="12">
        <v>1952</v>
      </c>
      <c r="I23" s="357" t="s">
        <v>482</v>
      </c>
      <c r="J23" s="357" t="s">
        <v>483</v>
      </c>
      <c r="K23" s="357" t="str">
        <f t="shared" si="1"/>
        <v>Slight</v>
      </c>
      <c r="U23" s="25"/>
      <c r="V23" s="28"/>
    </row>
    <row r="24" hidden="1" spans="1:22">
      <c r="A24" s="15" t="s">
        <v>153</v>
      </c>
      <c r="B24" s="15" t="s">
        <v>154</v>
      </c>
      <c r="C24" s="2" t="str">
        <f t="shared" si="0"/>
        <v>α60℉ (1/℉)</v>
      </c>
      <c r="D24" s="12">
        <v>1980</v>
      </c>
      <c r="I24" s="357" t="s">
        <v>484</v>
      </c>
      <c r="J24" s="357" t="s">
        <v>485</v>
      </c>
      <c r="K24" s="357" t="str">
        <f t="shared" si="1"/>
        <v>Moderate</v>
      </c>
      <c r="U24" s="25"/>
      <c r="V24" s="28"/>
    </row>
    <row r="25" hidden="1" spans="1:22">
      <c r="A25" s="15" t="s">
        <v>157</v>
      </c>
      <c r="B25" s="15" t="s">
        <v>158</v>
      </c>
      <c r="C25" s="2" t="str">
        <f t="shared" si="0"/>
        <v>α60℉ (1/℃)</v>
      </c>
      <c r="D25" s="12">
        <v>2004</v>
      </c>
      <c r="I25" s="357" t="s">
        <v>486</v>
      </c>
      <c r="J25" s="357" t="s">
        <v>487</v>
      </c>
      <c r="K25" s="357" t="str">
        <f t="shared" si="1"/>
        <v>Rough</v>
      </c>
      <c r="U25" s="25"/>
      <c r="V25" s="28"/>
    </row>
    <row r="26" hidden="1" spans="1:22">
      <c r="A26" s="14" t="s">
        <v>161</v>
      </c>
      <c r="B26" s="14" t="s">
        <v>162</v>
      </c>
      <c r="C26" s="2" t="str">
        <f t="shared" si="0"/>
        <v>Density@15℃ (kg/m³)</v>
      </c>
      <c r="D26" s="16" t="s">
        <v>165</v>
      </c>
      <c r="I26" s="357" t="s">
        <v>524</v>
      </c>
      <c r="J26" s="357" t="s">
        <v>525</v>
      </c>
      <c r="K26" s="357" t="str">
        <f t="shared" si="1"/>
        <v>Tank No.</v>
      </c>
      <c r="U26" s="25"/>
      <c r="V26" s="28"/>
    </row>
    <row r="27" hidden="1" spans="1:22">
      <c r="A27" s="13" t="s">
        <v>167</v>
      </c>
      <c r="B27" s="13" t="s">
        <v>168</v>
      </c>
      <c r="C27" s="2" t="str">
        <f t="shared" si="0"/>
        <v>Density@20℃ (kg/m³)</v>
      </c>
      <c r="D27" s="16" t="s">
        <v>171</v>
      </c>
      <c r="I27" s="357" t="s">
        <v>528</v>
      </c>
      <c r="J27" s="357" t="s">
        <v>531</v>
      </c>
      <c r="K27" s="357" t="str">
        <f t="shared" si="1"/>
        <v>Gauge</v>
      </c>
      <c r="U27" s="30"/>
      <c r="V27" s="28"/>
    </row>
    <row r="28" hidden="1" spans="1:22">
      <c r="A28" s="14" t="s">
        <v>146</v>
      </c>
      <c r="B28" s="14" t="s">
        <v>173</v>
      </c>
      <c r="C28" s="2" t="str">
        <f t="shared" si="0"/>
        <v>API@60℉</v>
      </c>
      <c r="D28" s="5" t="s">
        <v>7</v>
      </c>
      <c r="I28" s="357" t="s">
        <v>543</v>
      </c>
      <c r="J28" s="357" t="s">
        <v>544</v>
      </c>
      <c r="K28" s="357" t="str">
        <f t="shared" si="1"/>
        <v>Volume</v>
      </c>
      <c r="U28" s="30"/>
      <c r="V28" s="28"/>
    </row>
    <row r="29" ht="15" hidden="1" customHeight="1" spans="1:22">
      <c r="A29" s="13" t="s">
        <v>149</v>
      </c>
      <c r="B29" s="13" t="s">
        <v>177</v>
      </c>
      <c r="C29" s="2" t="str">
        <f t="shared" si="0"/>
        <v>S.G.@60℉/60℉</v>
      </c>
      <c r="D29" s="5" t="s">
        <v>8</v>
      </c>
      <c r="I29" s="357" t="s">
        <v>489</v>
      </c>
      <c r="J29" s="373" t="s">
        <v>490</v>
      </c>
      <c r="K29" s="357" t="str">
        <f t="shared" si="1"/>
        <v>m</v>
      </c>
      <c r="U29" s="25"/>
      <c r="V29" s="28"/>
    </row>
    <row r="30" hidden="1" spans="1:22">
      <c r="A30" s="17" t="s">
        <v>181</v>
      </c>
      <c r="B30" s="18" t="s">
        <v>182</v>
      </c>
      <c r="C30" s="2" t="str">
        <f t="shared" si="0"/>
        <v>WCF MT(in air)/m³@15℃ [T-56]</v>
      </c>
      <c r="D30" s="5" t="s">
        <v>11</v>
      </c>
      <c r="I30" s="357" t="s">
        <v>491</v>
      </c>
      <c r="J30" s="357" t="s">
        <v>492</v>
      </c>
      <c r="K30" s="357" t="str">
        <f t="shared" si="1"/>
        <v>m³</v>
      </c>
      <c r="U30" s="25"/>
      <c r="V30" s="28"/>
    </row>
    <row r="31" hidden="1" spans="1:22">
      <c r="A31" s="17" t="s">
        <v>186</v>
      </c>
      <c r="B31" s="18" t="s">
        <v>187</v>
      </c>
      <c r="C31" s="2" t="str">
        <f t="shared" si="0"/>
        <v>WCF MT(in air)/m³@15℃</v>
      </c>
      <c r="D31" s="5" t="s">
        <v>12</v>
      </c>
      <c r="I31" s="357" t="s">
        <v>493</v>
      </c>
      <c r="J31" s="357" t="s">
        <v>494</v>
      </c>
      <c r="K31" s="357" t="str">
        <f t="shared" si="1"/>
        <v>bbls</v>
      </c>
      <c r="U31" s="25"/>
      <c r="V31" s="28"/>
    </row>
    <row r="32" hidden="1" spans="1:22">
      <c r="A32" s="17" t="s">
        <v>191</v>
      </c>
      <c r="B32" s="18" t="s">
        <v>192</v>
      </c>
      <c r="C32" s="2" t="str">
        <f t="shared" si="0"/>
        <v>WCF MT(in air)/m³@20℃</v>
      </c>
      <c r="I32" s="357" t="s">
        <v>553</v>
      </c>
      <c r="J32" s="357" t="s">
        <v>554</v>
      </c>
      <c r="K32" s="357" t="str">
        <f t="shared" si="1"/>
        <v>TOTAL</v>
      </c>
      <c r="U32" s="25"/>
      <c r="V32" s="28"/>
    </row>
    <row r="33" hidden="1" spans="1:22">
      <c r="A33" s="19" t="s">
        <v>196</v>
      </c>
      <c r="B33" s="20" t="s">
        <v>197</v>
      </c>
      <c r="C33" s="2" t="str">
        <f t="shared" si="0"/>
        <v>MT/LT [T-1] </v>
      </c>
      <c r="I33" s="357" t="s">
        <v>445</v>
      </c>
      <c r="J33" s="357" t="s">
        <v>446</v>
      </c>
      <c r="K33" s="357" t="str">
        <f t="shared" si="1"/>
        <v>Note:</v>
      </c>
      <c r="U33" s="25"/>
      <c r="V33" s="28"/>
    </row>
    <row r="34" hidden="1" spans="1:22">
      <c r="A34" s="19" t="s">
        <v>201</v>
      </c>
      <c r="B34" s="21" t="s">
        <v>202</v>
      </c>
      <c r="C34" s="2" t="str">
        <f t="shared" ref="C34:C65" si="2">IF(Report_Language=$A$1,A34,B34)</f>
        <v>MT/LT</v>
      </c>
      <c r="I34" s="357" t="s">
        <v>447</v>
      </c>
      <c r="J34" s="357" t="s">
        <v>448</v>
      </c>
      <c r="K34" s="357" t="str">
        <f t="shared" ref="K34:K65" si="3">IF(Report_Language=$A$1,I34,J34)</f>
        <v>Remark:</v>
      </c>
      <c r="U34" s="25"/>
      <c r="V34" s="28"/>
    </row>
    <row r="35" hidden="1" spans="1:22">
      <c r="A35" s="17" t="s">
        <v>206</v>
      </c>
      <c r="B35" s="18" t="s">
        <v>207</v>
      </c>
      <c r="C35" s="2" t="str">
        <f t="shared" si="2"/>
        <v>WCF MT(in air)/bbls@60℉ [T-13]</v>
      </c>
      <c r="I35" s="357" t="s">
        <v>449</v>
      </c>
      <c r="J35" s="357" t="s">
        <v>450</v>
      </c>
      <c r="K35" s="357" t="str">
        <f t="shared" si="3"/>
        <v>Yes</v>
      </c>
      <c r="U35" s="25"/>
      <c r="V35" s="28"/>
    </row>
    <row r="36" hidden="1" spans="1:22">
      <c r="A36" s="17" t="s">
        <v>210</v>
      </c>
      <c r="B36" s="18" t="s">
        <v>211</v>
      </c>
      <c r="C36" s="2" t="str">
        <f t="shared" si="2"/>
        <v>WCF MT(in air)/bbls@60℉</v>
      </c>
      <c r="I36" s="357" t="s">
        <v>451</v>
      </c>
      <c r="J36" s="357" t="s">
        <v>452</v>
      </c>
      <c r="K36" s="357" t="str">
        <f t="shared" si="3"/>
        <v>No</v>
      </c>
      <c r="U36" s="25"/>
      <c r="V36" s="28"/>
    </row>
    <row r="37" hidden="1" spans="1:22">
      <c r="A37" s="14" t="s">
        <v>214</v>
      </c>
      <c r="B37" s="14" t="s">
        <v>215</v>
      </c>
      <c r="C37" s="2" t="str">
        <f t="shared" si="2"/>
        <v>Density@15℃ MT(Vacuo)/m³</v>
      </c>
      <c r="I37" s="357" t="s">
        <v>504</v>
      </c>
      <c r="J37" s="357" t="s">
        <v>503</v>
      </c>
      <c r="K37" s="357" t="str">
        <f t="shared" si="3"/>
        <v>Detected by</v>
      </c>
      <c r="U37" s="25"/>
      <c r="V37" s="28"/>
    </row>
    <row r="38" hidden="1" spans="1:22">
      <c r="A38" s="14" t="s">
        <v>218</v>
      </c>
      <c r="B38" s="14" t="s">
        <v>219</v>
      </c>
      <c r="C38" s="2" t="str">
        <f t="shared" si="2"/>
        <v>Density@20℃ MT(Vacuo)/m³</v>
      </c>
      <c r="I38" s="357" t="s">
        <v>505</v>
      </c>
      <c r="J38" s="357" t="s">
        <v>505</v>
      </c>
      <c r="K38" s="357" t="str">
        <f t="shared" si="3"/>
        <v>UTI</v>
      </c>
      <c r="U38" s="25"/>
      <c r="V38" s="28"/>
    </row>
    <row r="39" ht="15" hidden="1" customHeight="1" spans="1:22">
      <c r="A39" s="17" t="s">
        <v>222</v>
      </c>
      <c r="B39" s="18" t="s">
        <v>223</v>
      </c>
      <c r="C39" s="2" t="str">
        <f t="shared" si="2"/>
        <v>WCF MT(in vacuo)/bbls@60℉ [T-13]</v>
      </c>
      <c r="I39" s="357" t="s">
        <v>506</v>
      </c>
      <c r="J39" s="357" t="s">
        <v>506</v>
      </c>
      <c r="K39" s="357" t="str">
        <f t="shared" si="3"/>
        <v>MMC</v>
      </c>
      <c r="U39" s="25"/>
      <c r="V39" s="28"/>
    </row>
    <row r="40" hidden="1" spans="1:22">
      <c r="A40" s="17" t="s">
        <v>226</v>
      </c>
      <c r="B40" s="18" t="s">
        <v>227</v>
      </c>
      <c r="C40" s="2" t="str">
        <f t="shared" si="2"/>
        <v>WCF MT(in vacuo)/bbls@60℉</v>
      </c>
      <c r="I40" s="357" t="s">
        <v>513</v>
      </c>
      <c r="J40" s="357" t="s">
        <v>514</v>
      </c>
      <c r="K40" s="357" t="str">
        <f t="shared" si="3"/>
        <v>Water Finding Paste</v>
      </c>
      <c r="U40" s="25"/>
      <c r="V40" s="28"/>
    </row>
    <row r="41" hidden="1" spans="1:22">
      <c r="A41" s="19" t="s">
        <v>196</v>
      </c>
      <c r="B41" s="20" t="s">
        <v>197</v>
      </c>
      <c r="C41" s="2" t="str">
        <f t="shared" si="2"/>
        <v>MT/LT [T-1] </v>
      </c>
      <c r="I41" s="357" t="s">
        <v>519</v>
      </c>
      <c r="J41" s="357" t="s">
        <v>520</v>
      </c>
      <c r="K41" s="357" t="str">
        <f t="shared" si="3"/>
        <v>UTI Ser. No.</v>
      </c>
      <c r="U41" s="25"/>
      <c r="V41" s="28"/>
    </row>
    <row r="42" hidden="1" spans="1:22">
      <c r="A42" s="19" t="s">
        <v>201</v>
      </c>
      <c r="B42" s="21" t="s">
        <v>202</v>
      </c>
      <c r="C42" s="2" t="str">
        <f t="shared" si="2"/>
        <v>MT/LT</v>
      </c>
      <c r="I42" s="357" t="s">
        <v>521</v>
      </c>
      <c r="J42" s="357" t="s">
        <v>522</v>
      </c>
      <c r="K42" s="357" t="str">
        <f t="shared" si="3"/>
        <v>Brand of Water Finding Paste</v>
      </c>
      <c r="U42" s="25"/>
      <c r="V42" s="28"/>
    </row>
    <row r="43" hidden="1" spans="1:22">
      <c r="A43" s="17" t="s">
        <v>233</v>
      </c>
      <c r="B43" s="18" t="s">
        <v>234</v>
      </c>
      <c r="C43" s="2" t="str">
        <f t="shared" si="2"/>
        <v>WCF LT(in air)/m³@15℃ [T-57]</v>
      </c>
      <c r="I43" s="357" t="s">
        <v>355</v>
      </c>
      <c r="J43" s="357" t="s">
        <v>356</v>
      </c>
      <c r="K43" s="357" t="str">
        <f t="shared" si="3"/>
        <v>Master/Chief Officer</v>
      </c>
      <c r="U43" s="25"/>
      <c r="V43" s="28"/>
    </row>
    <row r="44" ht="15" hidden="1" customHeight="1" spans="1:22">
      <c r="A44" s="17" t="s">
        <v>236</v>
      </c>
      <c r="B44" s="18" t="s">
        <v>237</v>
      </c>
      <c r="C44" s="2" t="str">
        <f t="shared" si="2"/>
        <v>WCF LT(in air)/m³@15℃</v>
      </c>
      <c r="I44" s="357" t="s">
        <v>357</v>
      </c>
      <c r="J44" s="357" t="s">
        <v>358</v>
      </c>
      <c r="K44" s="357" t="str">
        <f t="shared" si="3"/>
        <v>CCIC Surveyor</v>
      </c>
      <c r="U44" s="25"/>
      <c r="V44" s="28"/>
    </row>
    <row r="45" hidden="1" spans="1:22">
      <c r="A45" s="19" t="s">
        <v>240</v>
      </c>
      <c r="B45" s="20" t="s">
        <v>241</v>
      </c>
      <c r="C45" s="2" t="str">
        <f t="shared" si="2"/>
        <v>LT/MT [T-1] </v>
      </c>
      <c r="I45" s="357" t="s">
        <v>359</v>
      </c>
      <c r="J45" s="357" t="s">
        <v>360</v>
      </c>
      <c r="K45" s="357" t="str">
        <f t="shared" si="3"/>
        <v>Name</v>
      </c>
      <c r="U45" s="25"/>
      <c r="V45" s="28"/>
    </row>
    <row r="46" hidden="1" spans="1:22">
      <c r="A46" s="19" t="s">
        <v>244</v>
      </c>
      <c r="B46" s="20" t="s">
        <v>245</v>
      </c>
      <c r="C46" s="2" t="str">
        <f t="shared" si="2"/>
        <v>LT/MT</v>
      </c>
      <c r="I46" s="357" t="s">
        <v>361</v>
      </c>
      <c r="J46" s="357" t="s">
        <v>362</v>
      </c>
      <c r="K46" s="357" t="str">
        <f t="shared" si="3"/>
        <v>Signature</v>
      </c>
      <c r="U46" s="25"/>
      <c r="V46" s="28"/>
    </row>
    <row r="47" hidden="1" spans="1:22">
      <c r="A47" s="17" t="s">
        <v>248</v>
      </c>
      <c r="B47" s="18" t="s">
        <v>249</v>
      </c>
      <c r="C47" s="2" t="str">
        <f t="shared" si="2"/>
        <v>WCF LT(in air)/bbls@60℉ [T-29] </v>
      </c>
      <c r="I47" s="357" t="s">
        <v>363</v>
      </c>
      <c r="J47" s="357" t="s">
        <v>364</v>
      </c>
      <c r="K47" s="357" t="str">
        <f t="shared" si="3"/>
        <v>Authorized Signature (S)</v>
      </c>
      <c r="U47" s="25"/>
      <c r="V47" s="28"/>
    </row>
    <row r="48" hidden="1" spans="1:22">
      <c r="A48" s="17" t="s">
        <v>253</v>
      </c>
      <c r="B48" s="18" t="s">
        <v>254</v>
      </c>
      <c r="C48" s="2" t="str">
        <f t="shared" si="2"/>
        <v>WCF LT(in air)/bbls@60℉</v>
      </c>
      <c r="I48" s="357" t="s">
        <v>74</v>
      </c>
      <c r="J48" s="357" t="s">
        <v>75</v>
      </c>
      <c r="K48" s="357" t="str">
        <f t="shared" si="3"/>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U48" s="25"/>
      <c r="V48" s="28"/>
    </row>
    <row r="49" hidden="1" spans="1:22">
      <c r="A49" s="17" t="s">
        <v>259</v>
      </c>
      <c r="B49" s="18" t="s">
        <v>260</v>
      </c>
      <c r="C49" s="2" t="str">
        <f t="shared" si="2"/>
        <v>WCF LT(in air)/bbls@60℉ [T-11] </v>
      </c>
      <c r="I49" s="357" t="s">
        <v>731</v>
      </c>
      <c r="J49" s="373" t="s">
        <v>732</v>
      </c>
      <c r="K49" s="357" t="str">
        <f t="shared" si="3"/>
        <v>LBP :</v>
      </c>
      <c r="U49" s="25"/>
      <c r="V49" s="28"/>
    </row>
    <row r="50" hidden="1" spans="1:22">
      <c r="A50" s="17" t="s">
        <v>253</v>
      </c>
      <c r="B50" s="18" t="s">
        <v>254</v>
      </c>
      <c r="C50" s="2" t="str">
        <f t="shared" si="2"/>
        <v>WCF LT(in air)/bbls@60℉</v>
      </c>
      <c r="I50" s="357" t="s">
        <v>733</v>
      </c>
      <c r="J50" s="357" t="s">
        <v>734</v>
      </c>
      <c r="K50" s="357" t="str">
        <f t="shared" si="3"/>
        <v>F (Trim /LBP) :</v>
      </c>
      <c r="U50" s="25"/>
      <c r="V50" s="28"/>
    </row>
    <row r="51" hidden="1" spans="1:22">
      <c r="A51" s="17" t="s">
        <v>265</v>
      </c>
      <c r="B51" s="18" t="s">
        <v>266</v>
      </c>
      <c r="C51" s="2" t="str">
        <f t="shared" si="2"/>
        <v>WCF LT(in vacuo)/m³@15℃ [T-57]</v>
      </c>
      <c r="I51" s="357" t="s">
        <v>735</v>
      </c>
      <c r="J51" s="357" t="s">
        <v>736</v>
      </c>
      <c r="K51" s="357" t="str">
        <f t="shared" si="3"/>
        <v>Length of Wedge
A/F</v>
      </c>
      <c r="U51" s="25"/>
      <c r="V51" s="28"/>
    </row>
    <row r="52" hidden="1" spans="1:22">
      <c r="A52" s="17" t="s">
        <v>268</v>
      </c>
      <c r="B52" s="18" t="s">
        <v>269</v>
      </c>
      <c r="C52" s="2" t="str">
        <f t="shared" si="2"/>
        <v>WCF LT(in vacuo)/m³@15℃</v>
      </c>
      <c r="I52" s="357" t="s">
        <v>737</v>
      </c>
      <c r="J52" s="357" t="s">
        <v>738</v>
      </c>
      <c r="K52" s="357" t="str">
        <f t="shared" si="3"/>
        <v>Wedge Condition Exist
A/F  &lt; L</v>
      </c>
      <c r="U52" s="25"/>
      <c r="V52" s="28"/>
    </row>
    <row r="53" hidden="1" spans="1:22">
      <c r="A53" s="19" t="s">
        <v>240</v>
      </c>
      <c r="B53" s="20" t="s">
        <v>241</v>
      </c>
      <c r="C53" s="2" t="str">
        <f t="shared" si="2"/>
        <v>LT/MT [T-1] </v>
      </c>
      <c r="I53" s="357" t="s">
        <v>739</v>
      </c>
      <c r="J53" s="357" t="s">
        <v>740</v>
      </c>
      <c r="K53" s="357" t="str">
        <f t="shared" si="3"/>
        <v>*Table Volume</v>
      </c>
      <c r="U53" s="25"/>
      <c r="V53" s="28"/>
    </row>
    <row r="54" hidden="1" spans="1:22">
      <c r="A54" s="19" t="s">
        <v>244</v>
      </c>
      <c r="B54" s="20" t="s">
        <v>245</v>
      </c>
      <c r="C54" s="2" t="str">
        <f t="shared" si="2"/>
        <v>LT/MT</v>
      </c>
      <c r="I54" s="357" t="s">
        <v>741</v>
      </c>
      <c r="J54" s="357" t="s">
        <v>742</v>
      </c>
      <c r="K54" s="357" t="str">
        <f t="shared" si="3"/>
        <v>Extreme Shape Hull Curvature </v>
      </c>
      <c r="U54" s="25"/>
      <c r="V54" s="28"/>
    </row>
    <row r="55" hidden="1" spans="1:22">
      <c r="A55" s="17" t="s">
        <v>273</v>
      </c>
      <c r="B55" s="18" t="s">
        <v>274</v>
      </c>
      <c r="C55" s="2" t="str">
        <f t="shared" si="2"/>
        <v>WCF LT(in vacuo)/bbls@60℉ [T-29]</v>
      </c>
      <c r="I55" s="357" t="s">
        <v>743</v>
      </c>
      <c r="J55" s="357" t="s">
        <v>744</v>
      </c>
      <c r="K55" s="357" t="str">
        <f t="shared" si="3"/>
        <v>**Wedge Volume</v>
      </c>
      <c r="U55" s="25"/>
      <c r="V55" s="31"/>
    </row>
    <row r="56" hidden="1" spans="1:22">
      <c r="A56" s="17" t="s">
        <v>276</v>
      </c>
      <c r="B56" s="18" t="s">
        <v>277</v>
      </c>
      <c r="C56" s="2" t="str">
        <f t="shared" si="2"/>
        <v>WCF LT(in vacuo)/bbls@60℉</v>
      </c>
      <c r="I56" s="357" t="s">
        <v>745</v>
      </c>
      <c r="J56" s="357" t="s">
        <v>746</v>
      </c>
      <c r="K56" s="357" t="str">
        <f t="shared" si="3"/>
        <v>F -- Trim Factor, trim divided by LBP.</v>
      </c>
      <c r="U56" s="25"/>
      <c r="V56" s="28"/>
    </row>
    <row r="57" hidden="1" spans="1:22">
      <c r="A57" s="17" t="s">
        <v>279</v>
      </c>
      <c r="B57" s="18" t="s">
        <v>280</v>
      </c>
      <c r="C57" s="2" t="str">
        <f t="shared" si="2"/>
        <v>WCF LT(in vacuo)/bbls@60℉ [T-11]</v>
      </c>
      <c r="I57" s="357" t="s">
        <v>747</v>
      </c>
      <c r="J57" s="357" t="s">
        <v>748</v>
      </c>
      <c r="K57" s="357" t="str">
        <f t="shared" si="3"/>
        <v>U -- Distance from aft bulkhead to ullage position.</v>
      </c>
      <c r="U57" s="25"/>
      <c r="V57" s="28"/>
    </row>
    <row r="58" hidden="1" spans="1:22">
      <c r="A58" s="17" t="s">
        <v>276</v>
      </c>
      <c r="B58" s="18" t="s">
        <v>277</v>
      </c>
      <c r="C58" s="2" t="str">
        <f t="shared" si="2"/>
        <v>WCF LT(in vacuo)/bbls@60℉</v>
      </c>
      <c r="I58" s="357" t="s">
        <v>749</v>
      </c>
      <c r="J58" s="357" t="s">
        <v>750</v>
      </c>
      <c r="K58" s="357" t="str">
        <f t="shared" si="3"/>
        <v>D -- Reference gauge height.</v>
      </c>
      <c r="U58" s="25"/>
      <c r="V58" s="28"/>
    </row>
    <row r="59" hidden="1" spans="1:22">
      <c r="A59" s="22" t="s">
        <v>283</v>
      </c>
      <c r="B59" s="21" t="s">
        <v>284</v>
      </c>
      <c r="C59" s="2" t="str">
        <f t="shared" si="2"/>
        <v>bbls@60℉/m³@15℃ [T-52]</v>
      </c>
      <c r="I59" s="357" t="s">
        <v>751</v>
      </c>
      <c r="J59" s="357" t="s">
        <v>752</v>
      </c>
      <c r="K59" s="357" t="str">
        <f t="shared" si="3"/>
        <v>S -- Observed innage.</v>
      </c>
      <c r="U59" s="25"/>
      <c r="V59" s="28"/>
    </row>
    <row r="60" hidden="1" spans="1:22">
      <c r="A60" s="22" t="s">
        <v>286</v>
      </c>
      <c r="B60" s="21" t="s">
        <v>287</v>
      </c>
      <c r="C60" s="2" t="str">
        <f t="shared" si="2"/>
        <v>bbls@60℉/m³@15℃</v>
      </c>
      <c r="I60" s="357" t="s">
        <v>753</v>
      </c>
      <c r="J60" s="357" t="s">
        <v>754</v>
      </c>
      <c r="K60" s="357" t="str">
        <f t="shared" si="3"/>
        <v>A -- Adjusted innage at aft bulkhead.  A = { [ U - ( D  x F ) ] x F } + S </v>
      </c>
      <c r="U60" s="25"/>
      <c r="V60" s="28"/>
    </row>
    <row r="61" hidden="1" spans="1:22">
      <c r="A61" s="23" t="s">
        <v>290</v>
      </c>
      <c r="B61" s="24" t="s">
        <v>291</v>
      </c>
      <c r="C61" s="2" t="str">
        <f t="shared" si="2"/>
        <v>bbls@60℉/MT(in air)</v>
      </c>
      <c r="I61" s="357" t="s">
        <v>755</v>
      </c>
      <c r="J61" s="357" t="s">
        <v>756</v>
      </c>
      <c r="K61" s="357" t="str">
        <f t="shared" si="3"/>
        <v>L -- Length of Tank.</v>
      </c>
      <c r="U61" s="25"/>
      <c r="V61" s="28"/>
    </row>
    <row r="62" hidden="1" spans="1:22">
      <c r="A62" s="2" t="s">
        <v>294</v>
      </c>
      <c r="B62" s="9" t="s">
        <v>295</v>
      </c>
      <c r="C62" s="2" t="str">
        <f t="shared" si="2"/>
        <v>Standard Volume</v>
      </c>
      <c r="I62" s="357" t="s">
        <v>757</v>
      </c>
      <c r="J62" s="357" t="s">
        <v>758</v>
      </c>
      <c r="K62" s="357" t="str">
        <f t="shared" si="3"/>
        <v>W -- Width at the tank bottom (usually aft end).</v>
      </c>
      <c r="U62" s="25"/>
      <c r="V62" s="28"/>
    </row>
    <row r="63" ht="16.5" hidden="1" spans="1:22">
      <c r="A63" s="2" t="s">
        <v>298</v>
      </c>
      <c r="B63" s="2" t="s">
        <v>299</v>
      </c>
      <c r="C63" s="2" t="str">
        <f t="shared" si="2"/>
        <v>m³@15℃/m³@20℃ [1/VCF(15℃)]</v>
      </c>
      <c r="I63" s="357" t="s">
        <v>759</v>
      </c>
      <c r="J63" s="357" t="s">
        <v>760</v>
      </c>
      <c r="K63" s="357" t="str">
        <f t="shared" si="3"/>
        <v>*Table Volume -- Extract from the tank table the volume corresponding to a sounding of A/2, with the vessel on an even keel and upright.</v>
      </c>
      <c r="U63" s="25"/>
      <c r="V63" s="28"/>
    </row>
    <row r="64" hidden="1" spans="1:22">
      <c r="A64" s="22" t="s">
        <v>302</v>
      </c>
      <c r="B64" s="21" t="s">
        <v>303</v>
      </c>
      <c r="C64" s="2" t="str">
        <f t="shared" si="2"/>
        <v>m³@15℃/bbls@60℉ [T-22]</v>
      </c>
      <c r="I64" s="357" t="s">
        <v>761</v>
      </c>
      <c r="J64" s="357" t="s">
        <v>762</v>
      </c>
      <c r="K64" s="357" t="str">
        <f t="shared" si="3"/>
        <v>**Wedge Volume -- If length of wedge (A/F) is less than the actual compartment length, a wedge condition exist.</v>
      </c>
      <c r="U64" s="25"/>
      <c r="V64" s="28"/>
    </row>
    <row r="65" ht="15" hidden="1" customHeight="1" spans="1:22">
      <c r="A65" s="22" t="s">
        <v>306</v>
      </c>
      <c r="B65" s="19" t="s">
        <v>307</v>
      </c>
      <c r="C65" s="2" t="str">
        <f t="shared" si="2"/>
        <v>m³@15℃/bbls@60℉</v>
      </c>
      <c r="I65" s="357" t="s">
        <v>763</v>
      </c>
      <c r="J65" s="357" t="s">
        <v>764</v>
      </c>
      <c r="K65" s="357" t="str">
        <f t="shared" si="3"/>
        <v>Wedge Volume</v>
      </c>
      <c r="U65" s="25"/>
      <c r="V65" s="28"/>
    </row>
    <row r="66" hidden="1" spans="1:22">
      <c r="A66" s="22" t="s">
        <v>310</v>
      </c>
      <c r="B66" s="21" t="s">
        <v>311</v>
      </c>
      <c r="C66" s="2" t="str">
        <f t="shared" ref="C66:C85" si="4">IF(Report_Language=$A$1,A66,B66)</f>
        <v>m³@15℃/bbls@60℉ [T-4] </v>
      </c>
      <c r="I66" s="357" t="s">
        <v>717</v>
      </c>
      <c r="J66" s="357" t="s">
        <v>765</v>
      </c>
      <c r="K66" s="357" t="str">
        <f t="shared" ref="K66:K76" si="5">IF(Report_Language=$A$1,I66,J66)</f>
        <v>Table Volume</v>
      </c>
      <c r="U66" s="25"/>
      <c r="V66" s="28"/>
    </row>
    <row r="67" hidden="1" spans="1:22">
      <c r="A67" s="22" t="s">
        <v>306</v>
      </c>
      <c r="B67" s="21" t="s">
        <v>314</v>
      </c>
      <c r="C67" s="2" t="str">
        <f t="shared" si="4"/>
        <v>m³@15℃/bbls@60℉</v>
      </c>
      <c r="I67" s="357" t="s">
        <v>766</v>
      </c>
      <c r="J67" s="357" t="s">
        <v>767</v>
      </c>
      <c r="K67" s="357" t="str">
        <f t="shared" si="5"/>
        <v>(in table units)</v>
      </c>
      <c r="U67" s="25"/>
      <c r="V67" s="28"/>
    </row>
    <row r="68" hidden="1" spans="1:22">
      <c r="A68" s="19" t="s">
        <v>317</v>
      </c>
      <c r="B68" s="19" t="s">
        <v>318</v>
      </c>
      <c r="C68" s="2" t="str">
        <f t="shared" si="4"/>
        <v>m³@20℃/m³@15℃ [1/VCF(20℃)]</v>
      </c>
      <c r="I68" s="357" t="s">
        <v>768</v>
      </c>
      <c r="J68" s="357" t="s">
        <v>769</v>
      </c>
      <c r="K68" s="357" t="str">
        <f t="shared" si="5"/>
        <v>Where the vessels hull curvature is extreme, such as on the forward- and after-most wing tanks where significant variation in longitudinal width and/or depth is evident.</v>
      </c>
      <c r="U68" s="25"/>
      <c r="V68" s="28"/>
    </row>
    <row r="69" hidden="1" spans="1:22">
      <c r="A69" s="17" t="s">
        <v>321</v>
      </c>
      <c r="B69" s="17" t="s">
        <v>322</v>
      </c>
      <c r="C69" s="2" t="str">
        <f t="shared" si="4"/>
        <v>m³@20℃/bbls@60℉ [T-4] x VCF(59℉)/VCF(68℉)</v>
      </c>
      <c r="I69" s="357" t="s">
        <v>770</v>
      </c>
      <c r="J69" s="357" t="s">
        <v>771</v>
      </c>
      <c r="K69" s="357" t="str">
        <f t="shared" si="5"/>
        <v>(in measured units)</v>
      </c>
      <c r="U69" s="25"/>
      <c r="V69" s="28"/>
    </row>
    <row r="70" hidden="1" spans="1:22">
      <c r="A70" s="17" t="s">
        <v>325</v>
      </c>
      <c r="B70" s="17" t="s">
        <v>326</v>
      </c>
      <c r="C70" s="2" t="str">
        <f t="shared" si="4"/>
        <v>m³@20℃/bbls@60℉</v>
      </c>
      <c r="I70" s="357" t="s">
        <v>447</v>
      </c>
      <c r="J70" s="357" t="s">
        <v>448</v>
      </c>
      <c r="K70" s="357" t="str">
        <f t="shared" si="5"/>
        <v>Remark:</v>
      </c>
      <c r="U70" s="25"/>
      <c r="V70" s="28"/>
    </row>
    <row r="71" hidden="1" spans="1:22">
      <c r="A71" s="17" t="s">
        <v>329</v>
      </c>
      <c r="B71" s="17" t="s">
        <v>330</v>
      </c>
      <c r="C71" s="2" t="str">
        <f t="shared" si="4"/>
        <v>m³@20℃/bbls@60℉ [T-22] x VCF(59℉)/VCF(68℉)</v>
      </c>
      <c r="I71" s="357" t="s">
        <v>772</v>
      </c>
      <c r="J71" s="357" t="s">
        <v>773</v>
      </c>
      <c r="K71" s="357" t="str">
        <f t="shared" si="5"/>
        <v>- Reference Standards: API MPMS Chapter 3.1A (2013), API MPMS Chapter 17.4 (2016)</v>
      </c>
      <c r="U71" s="25"/>
      <c r="V71" s="28"/>
    </row>
    <row r="72" hidden="1" spans="1:22">
      <c r="A72" s="17" t="s">
        <v>325</v>
      </c>
      <c r="B72" s="17" t="s">
        <v>333</v>
      </c>
      <c r="C72" s="2" t="str">
        <f t="shared" si="4"/>
        <v>m³@20℃/bbls@60℉</v>
      </c>
      <c r="I72" s="357" t="s">
        <v>774</v>
      </c>
      <c r="J72" s="790" t="s">
        <v>775</v>
      </c>
      <c r="K72" s="357" t="str">
        <f t="shared" si="5"/>
        <v>- Wedge calculation is applicable to a vessel on upright only.</v>
      </c>
      <c r="U72" s="25"/>
      <c r="V72" s="28"/>
    </row>
    <row r="73" hidden="1" spans="1:22">
      <c r="A73" s="19" t="s">
        <v>336</v>
      </c>
      <c r="B73" s="21" t="s">
        <v>337</v>
      </c>
      <c r="C73" s="2" t="str">
        <f t="shared" si="4"/>
        <v>m³@30℃/m³@15℃ [1/VCF(30℃)]</v>
      </c>
      <c r="I73" s="357" t="s">
        <v>776</v>
      </c>
      <c r="J73" s="357" t="s">
        <v>777</v>
      </c>
      <c r="K73" s="357" t="str">
        <f t="shared" si="5"/>
        <v>- All dimensions are provided by ship's officer.</v>
      </c>
      <c r="U73" s="25"/>
      <c r="V73" s="28"/>
    </row>
    <row r="74" hidden="1" spans="1:22">
      <c r="A74" s="19" t="s">
        <v>340</v>
      </c>
      <c r="B74" s="21" t="s">
        <v>341</v>
      </c>
      <c r="C74" s="2" t="str">
        <f t="shared" si="4"/>
        <v>m³@30℃/m³@20℃ [1/VCF(30℃)]</v>
      </c>
      <c r="I74" s="357" t="s">
        <v>778</v>
      </c>
      <c r="J74" s="357" t="s">
        <v>779</v>
      </c>
      <c r="K74" s="357" t="str">
        <f t="shared" si="5"/>
        <v>- All units of measurement shall be of the same denomination—that is, decimal feet or meters.</v>
      </c>
      <c r="U74" s="25"/>
      <c r="V74" s="28"/>
    </row>
    <row r="75" hidden="1" spans="1:22">
      <c r="A75" s="17" t="s">
        <v>344</v>
      </c>
      <c r="B75" s="17" t="s">
        <v>345</v>
      </c>
      <c r="C75" s="2" t="str">
        <f t="shared" si="4"/>
        <v>m³@30℃/bbls@60℉ [T-4] x VCF(59℉)/VCF(86℉)</v>
      </c>
      <c r="I75" s="357" t="s">
        <v>472</v>
      </c>
      <c r="J75" s="357" t="s">
        <v>473</v>
      </c>
      <c r="K75" s="357" t="str">
        <f t="shared" si="5"/>
        <v>Upright</v>
      </c>
      <c r="U75" s="25"/>
      <c r="V75" s="28"/>
    </row>
    <row r="76" hidden="1" spans="1:22">
      <c r="A76" s="17" t="s">
        <v>348</v>
      </c>
      <c r="B76" s="17" t="s">
        <v>349</v>
      </c>
      <c r="C76" s="2" t="str">
        <f t="shared" si="4"/>
        <v>m³@30℃/bbls@60℉</v>
      </c>
      <c r="I76" s="357" t="s">
        <v>780</v>
      </c>
      <c r="J76" s="373" t="s">
        <v>781</v>
      </c>
      <c r="K76" s="357" t="str">
        <f t="shared" si="5"/>
        <v>WEDGE CALCULATION REPORT</v>
      </c>
      <c r="U76" s="25"/>
      <c r="V76" s="28"/>
    </row>
    <row r="77" ht="15" hidden="1" customHeight="1" spans="1:3">
      <c r="A77" s="17" t="s">
        <v>350</v>
      </c>
      <c r="B77" s="17" t="s">
        <v>351</v>
      </c>
      <c r="C77" s="2" t="str">
        <f t="shared" si="4"/>
        <v>m³@30℃/bbls@60℉ [T-22] x VCF(59℉)/VCF(86℉)</v>
      </c>
    </row>
    <row r="78" hidden="1" spans="1:3">
      <c r="A78" s="17" t="s">
        <v>348</v>
      </c>
      <c r="B78" s="17" t="s">
        <v>352</v>
      </c>
      <c r="C78" s="2" t="str">
        <f t="shared" si="4"/>
        <v>m³@30℃/bbls@60℉</v>
      </c>
    </row>
    <row r="79" hidden="1" spans="1:3">
      <c r="A79" s="5" t="s">
        <v>353</v>
      </c>
      <c r="B79" s="32" t="s">
        <v>354</v>
      </c>
      <c r="C79" s="2" t="str">
        <f t="shared" si="4"/>
        <v>US Gallon/US Barrels [T-1]</v>
      </c>
    </row>
    <row r="80" hidden="1" spans="1:3">
      <c r="A80" s="33" t="s">
        <v>355</v>
      </c>
      <c r="B80" s="33" t="s">
        <v>356</v>
      </c>
      <c r="C80" s="2" t="str">
        <f t="shared" si="4"/>
        <v>Master/Chief Officer</v>
      </c>
    </row>
    <row r="81" hidden="1" spans="1:3">
      <c r="A81" s="34" t="s">
        <v>357</v>
      </c>
      <c r="B81" s="34" t="s">
        <v>358</v>
      </c>
      <c r="C81" s="2" t="str">
        <f t="shared" si="4"/>
        <v>CCIC Surveyor</v>
      </c>
    </row>
    <row r="82" hidden="1" spans="1:3">
      <c r="A82" s="33" t="s">
        <v>359</v>
      </c>
      <c r="B82" s="33" t="s">
        <v>360</v>
      </c>
      <c r="C82" s="2" t="str">
        <f t="shared" si="4"/>
        <v>Name</v>
      </c>
    </row>
    <row r="83" hidden="1" spans="1:3">
      <c r="A83" s="34" t="s">
        <v>361</v>
      </c>
      <c r="B83" s="34" t="s">
        <v>362</v>
      </c>
      <c r="C83" s="2" t="str">
        <f t="shared" si="4"/>
        <v>Signature</v>
      </c>
    </row>
    <row r="84" hidden="1" spans="1:3">
      <c r="A84" s="33" t="s">
        <v>363</v>
      </c>
      <c r="B84" s="33" t="s">
        <v>364</v>
      </c>
      <c r="C84" s="2" t="str">
        <f t="shared" si="4"/>
        <v>Authorized Signature (S)</v>
      </c>
    </row>
    <row r="85" hidden="1" spans="1:3">
      <c r="A85" s="34" t="s">
        <v>74</v>
      </c>
      <c r="B85" s="34" t="s">
        <v>75</v>
      </c>
      <c r="C85" s="2" t="str">
        <f t="shared" si="4"/>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hidden="1" spans="3:10">
      <c r="C86" s="27"/>
      <c r="D86" s="27"/>
      <c r="E86" s="27"/>
      <c r="F86" s="27"/>
      <c r="G86" s="27"/>
      <c r="H86" s="28"/>
      <c r="I86" s="28"/>
      <c r="J86" s="29"/>
    </row>
    <row r="87" hidden="1" spans="3:10">
      <c r="C87" s="27"/>
      <c r="D87" s="27"/>
      <c r="E87" s="27"/>
      <c r="F87" s="27"/>
      <c r="G87" s="27"/>
      <c r="H87" s="28"/>
      <c r="I87" s="28"/>
      <c r="J87" s="29"/>
    </row>
    <row r="88" hidden="1"/>
    <row r="89" spans="9:21">
      <c r="I89" s="39"/>
      <c r="O89" s="117"/>
      <c r="P89" s="117"/>
      <c r="Q89" s="117"/>
      <c r="R89" s="117"/>
      <c r="S89" s="46" t="str">
        <f>C2</f>
        <v>JOB NO.</v>
      </c>
      <c r="T89" s="80" t="str">
        <f>单号</f>
        <v>这就是爱</v>
      </c>
      <c r="U89" s="117"/>
    </row>
    <row r="90" spans="9:21">
      <c r="I90" s="39"/>
      <c r="O90" s="117"/>
      <c r="P90" s="117"/>
      <c r="Q90" s="117"/>
      <c r="R90" s="117"/>
      <c r="S90" s="46" t="str">
        <f>C3</f>
        <v>DATE OF REPORT</v>
      </c>
      <c r="T90" s="80" t="str">
        <f>报告日期</f>
        <v>YYYY-MM-DD</v>
      </c>
      <c r="U90" s="117"/>
    </row>
    <row r="91" spans="9:21">
      <c r="I91" s="39"/>
      <c r="O91" s="117"/>
      <c r="P91" s="117"/>
      <c r="Q91" s="117"/>
      <c r="R91" s="117"/>
      <c r="S91" s="47"/>
      <c r="T91" s="47"/>
      <c r="U91" s="117"/>
    </row>
    <row r="92" spans="1:36">
      <c r="A92" t="str">
        <f>IF(OR(B92="隐藏",C92="隐藏"),"隐藏","显示")</f>
        <v>显示</v>
      </c>
      <c r="I92" s="39"/>
      <c r="O92" s="117"/>
      <c r="P92" s="117"/>
      <c r="Q92" s="117"/>
      <c r="R92" s="117"/>
      <c r="S92" s="47"/>
      <c r="T92" s="47"/>
      <c r="U92" s="117"/>
      <c r="AE92" s="377"/>
      <c r="AF92" s="377"/>
      <c r="AG92" s="377"/>
      <c r="AH92" s="377"/>
      <c r="AI92" s="377"/>
      <c r="AJ92" s="377"/>
    </row>
    <row r="93" ht="10.95" customHeight="1" spans="1:36">
      <c r="A93" t="str">
        <f t="shared" ref="A93:A154" si="6">IF(OR(B93="隐藏",C93="隐藏"),"隐藏","显示")</f>
        <v>显示</v>
      </c>
      <c r="B93" t="str">
        <f>IF(隐藏客户名称,"隐藏","显示")</f>
        <v>显示</v>
      </c>
      <c r="C93" t="b">
        <v>0</v>
      </c>
      <c r="I93" s="592" t="str">
        <f>K76</f>
        <v>WEDGE CALCULATION REPORT</v>
      </c>
      <c r="J93" s="592"/>
      <c r="K93" s="592"/>
      <c r="L93" s="592"/>
      <c r="M93" s="592"/>
      <c r="N93" s="592"/>
      <c r="O93" s="120" t="str">
        <f t="shared" ref="O93:O99" si="7">C4</f>
        <v>APPLICANT</v>
      </c>
      <c r="P93" s="253"/>
      <c r="Q93" s="88" t="str">
        <f>客户名</f>
        <v>PETROCHINA </v>
      </c>
      <c r="R93" s="89"/>
      <c r="S93" s="89"/>
      <c r="T93" s="89"/>
      <c r="U93" s="90"/>
      <c r="AE93" s="377"/>
      <c r="AF93" s="308"/>
      <c r="AG93" s="308"/>
      <c r="AH93" s="308"/>
      <c r="AI93" s="377"/>
      <c r="AJ93" s="377"/>
    </row>
    <row r="94" ht="10.95" customHeight="1" spans="1:36">
      <c r="A94" t="str">
        <f t="shared" si="6"/>
        <v>显示</v>
      </c>
      <c r="B94" t="str">
        <f>IF(隐藏客户编号,"隐藏","显示")</f>
        <v>显示</v>
      </c>
      <c r="C94" t="b">
        <v>0</v>
      </c>
      <c r="D94" s="25"/>
      <c r="E94" s="28"/>
      <c r="F94" s="28"/>
      <c r="G94" s="29"/>
      <c r="I94" s="592"/>
      <c r="J94" s="592"/>
      <c r="K94" s="592"/>
      <c r="L94" s="592"/>
      <c r="M94" s="592"/>
      <c r="N94" s="592"/>
      <c r="O94" s="120" t="str">
        <f t="shared" si="7"/>
        <v>CLIENT'S REF. NO.</v>
      </c>
      <c r="P94" s="253"/>
      <c r="Q94" s="91" t="str">
        <f>客户编号</f>
        <v>说也说不清楚</v>
      </c>
      <c r="R94" s="92"/>
      <c r="S94" s="92"/>
      <c r="T94" s="92"/>
      <c r="U94" s="93"/>
      <c r="AE94" s="377"/>
      <c r="AF94" s="308"/>
      <c r="AG94" s="308"/>
      <c r="AH94" s="308"/>
      <c r="AI94" s="377"/>
      <c r="AJ94" s="377"/>
    </row>
    <row r="95" ht="10.95" customHeight="1" spans="1:36">
      <c r="A95" t="str">
        <f t="shared" si="6"/>
        <v>显示</v>
      </c>
      <c r="D95" s="25"/>
      <c r="E95" s="35"/>
      <c r="F95" s="28"/>
      <c r="G95" s="29"/>
      <c r="I95" s="592"/>
      <c r="J95" s="592"/>
      <c r="K95" s="592"/>
      <c r="L95" s="592"/>
      <c r="M95" s="592"/>
      <c r="N95" s="592"/>
      <c r="O95" s="120" t="str">
        <f t="shared" si="7"/>
        <v>COMMODITY</v>
      </c>
      <c r="P95" s="253"/>
      <c r="Q95" s="91" t="str">
        <f>品名</f>
        <v>Crude Oil6658</v>
      </c>
      <c r="R95" s="92"/>
      <c r="S95" s="92"/>
      <c r="T95" s="92"/>
      <c r="U95" s="93"/>
      <c r="AE95" s="377"/>
      <c r="AF95" s="308"/>
      <c r="AG95" s="308"/>
      <c r="AH95" s="308"/>
      <c r="AI95" s="377"/>
      <c r="AJ95" s="377"/>
    </row>
    <row r="96" ht="10.95" customHeight="1" spans="1:36">
      <c r="A96" t="str">
        <f t="shared" si="6"/>
        <v>显示</v>
      </c>
      <c r="B96" t="str">
        <f>IF(隐藏船名,"隐藏","显示")</f>
        <v>显示</v>
      </c>
      <c r="C96" t="b">
        <v>0</v>
      </c>
      <c r="D96" s="25"/>
      <c r="E96" s="28"/>
      <c r="F96" s="28"/>
      <c r="G96" s="29"/>
      <c r="I96" s="592"/>
      <c r="J96" s="592"/>
      <c r="K96" s="592"/>
      <c r="L96" s="592"/>
      <c r="M96" s="592"/>
      <c r="N96" s="592"/>
      <c r="O96" s="120" t="str">
        <f t="shared" si="7"/>
        <v>VESSEL</v>
      </c>
      <c r="P96" s="253"/>
      <c r="Q96" s="91" t="str">
        <f>船名</f>
        <v>MT ZhenYuanefdasdf</v>
      </c>
      <c r="R96" s="92"/>
      <c r="S96" s="92"/>
      <c r="T96" s="92"/>
      <c r="U96" s="93"/>
      <c r="AE96" s="377"/>
      <c r="AF96" s="308"/>
      <c r="AG96" s="308"/>
      <c r="AH96" s="308"/>
      <c r="AI96" s="377"/>
      <c r="AJ96" s="377"/>
    </row>
    <row r="97" ht="10.95" customHeight="1" spans="1:36">
      <c r="A97" t="str">
        <f t="shared" si="6"/>
        <v>显示</v>
      </c>
      <c r="B97" t="str">
        <f>IF(隐藏港口名称,"隐藏","显示")</f>
        <v>显示</v>
      </c>
      <c r="C97" t="b">
        <v>0</v>
      </c>
      <c r="D97" s="25"/>
      <c r="E97" s="28"/>
      <c r="F97" s="28"/>
      <c r="G97" s="29"/>
      <c r="I97" s="592"/>
      <c r="J97" s="592"/>
      <c r="K97" s="592"/>
      <c r="L97" s="592"/>
      <c r="M97" s="592"/>
      <c r="N97" s="592"/>
      <c r="O97" s="120" t="str">
        <f t="shared" si="7"/>
        <v>PORT</v>
      </c>
      <c r="P97" s="253"/>
      <c r="Q97" s="91" t="str">
        <f>港口名</f>
        <v>Dalian, Chinafsadfa</v>
      </c>
      <c r="R97" s="92"/>
      <c r="S97" s="92"/>
      <c r="T97" s="92"/>
      <c r="U97" s="93"/>
      <c r="AE97" s="377"/>
      <c r="AF97" s="308"/>
      <c r="AG97" s="308"/>
      <c r="AH97" s="308"/>
      <c r="AI97" s="377"/>
      <c r="AJ97" s="377"/>
    </row>
    <row r="98" ht="10.95" customHeight="1" spans="1:38">
      <c r="A98" t="str">
        <f t="shared" si="6"/>
        <v>显示</v>
      </c>
      <c r="B98" t="str">
        <f>IF(隐藏油库名称,"隐藏","显示")</f>
        <v>显示</v>
      </c>
      <c r="C98" t="b">
        <v>0</v>
      </c>
      <c r="D98" s="25"/>
      <c r="E98" s="28"/>
      <c r="F98" s="28"/>
      <c r="G98" s="29"/>
      <c r="I98" s="592"/>
      <c r="J98" s="592"/>
      <c r="K98" s="592"/>
      <c r="L98" s="592"/>
      <c r="M98" s="592"/>
      <c r="N98" s="592"/>
      <c r="O98" s="120" t="str">
        <f t="shared" si="7"/>
        <v>TERMINAL</v>
      </c>
      <c r="P98" s="253"/>
      <c r="Q98" s="91" t="str">
        <f>油库名</f>
        <v>Dalian Chinaoil, China1325415</v>
      </c>
      <c r="R98" s="92"/>
      <c r="S98" s="92"/>
      <c r="T98" s="92"/>
      <c r="U98" s="93"/>
      <c r="W98" s="610"/>
      <c r="X98" s="559"/>
      <c r="Y98" s="559"/>
      <c r="Z98" s="559"/>
      <c r="AA98" s="559"/>
      <c r="AB98" s="559"/>
      <c r="AE98" s="377"/>
      <c r="AF98" s="377"/>
      <c r="AG98" s="377"/>
      <c r="AH98" s="377"/>
      <c r="AI98" s="560"/>
      <c r="AJ98" s="560"/>
      <c r="AK98" s="560"/>
      <c r="AL98" s="560"/>
    </row>
    <row r="99" ht="10.95" customHeight="1" spans="1:38">
      <c r="A99" t="str">
        <f t="shared" si="6"/>
        <v>显示</v>
      </c>
      <c r="D99" s="25"/>
      <c r="E99" s="28"/>
      <c r="F99" s="28"/>
      <c r="G99" s="29"/>
      <c r="I99" s="592"/>
      <c r="J99" s="592"/>
      <c r="K99" s="592"/>
      <c r="L99" s="592"/>
      <c r="M99" s="592"/>
      <c r="N99" s="592"/>
      <c r="O99" s="120" t="str">
        <f t="shared" si="7"/>
        <v>DATE OF INSPECTION</v>
      </c>
      <c r="P99" s="253"/>
      <c r="Q99" s="91" t="str">
        <f>检验日期</f>
        <v>YYYY-MM-DD To YYYY-MM-DD</v>
      </c>
      <c r="R99" s="92"/>
      <c r="S99" s="92"/>
      <c r="T99" s="92"/>
      <c r="U99" s="93"/>
      <c r="W99" s="610"/>
      <c r="X99" s="380"/>
      <c r="Y99" s="380"/>
      <c r="Z99" s="380"/>
      <c r="AA99" s="380"/>
      <c r="AB99" s="380"/>
      <c r="AE99" s="377"/>
      <c r="AF99" s="308"/>
      <c r="AG99" s="308"/>
      <c r="AH99" s="308"/>
      <c r="AI99" s="560"/>
      <c r="AJ99" s="560"/>
      <c r="AK99" s="560"/>
      <c r="AL99" s="560"/>
    </row>
    <row r="100" ht="10.95" customHeight="1" spans="1:36">
      <c r="A100" t="str">
        <f t="shared" si="6"/>
        <v>显示</v>
      </c>
      <c r="D100" s="25"/>
      <c r="E100" s="28"/>
      <c r="F100" s="28"/>
      <c r="G100" s="29"/>
      <c r="I100" s="39"/>
      <c r="J100" s="593"/>
      <c r="K100" s="593"/>
      <c r="L100" s="593"/>
      <c r="M100" s="593"/>
      <c r="N100" s="593"/>
      <c r="O100" s="593"/>
      <c r="P100" s="593"/>
      <c r="Q100" s="593"/>
      <c r="R100" s="593"/>
      <c r="S100" s="593"/>
      <c r="T100" s="593"/>
      <c r="U100" s="233"/>
      <c r="AE100" s="377"/>
      <c r="AF100" s="377"/>
      <c r="AG100" s="619"/>
      <c r="AH100" s="377"/>
      <c r="AI100" s="620"/>
      <c r="AJ100" s="620"/>
    </row>
    <row r="101" s="313" customFormat="1" ht="12" customHeight="1" spans="1:38">
      <c r="A101" t="str">
        <f t="shared" si="6"/>
        <v>显示</v>
      </c>
      <c r="B101"/>
      <c r="C101"/>
      <c r="D101" s="25"/>
      <c r="E101" s="28"/>
      <c r="F101" s="28"/>
      <c r="G101" s="29"/>
      <c r="I101" s="594"/>
      <c r="J101" s="462"/>
      <c r="K101" s="462"/>
      <c r="L101" s="462"/>
      <c r="M101" s="462"/>
      <c r="N101" s="595"/>
      <c r="O101" s="596" t="str">
        <f>K12</f>
        <v>Draft Fwd :</v>
      </c>
      <c r="P101" s="597">
        <v>3.2</v>
      </c>
      <c r="Q101" s="462" t="str">
        <f>U102</f>
        <v>m</v>
      </c>
      <c r="R101" s="462"/>
      <c r="S101" s="596" t="str">
        <f>K14</f>
        <v>List :</v>
      </c>
      <c r="T101" s="451" t="str">
        <f>K75</f>
        <v>Upright</v>
      </c>
      <c r="U101" s="451"/>
      <c r="W101" s="594"/>
      <c r="X101" s="594"/>
      <c r="Y101" s="594"/>
      <c r="Z101" s="594"/>
      <c r="AA101" s="594"/>
      <c r="AB101" s="594"/>
      <c r="AC101" s="594"/>
      <c r="AD101" s="594"/>
      <c r="AE101" s="618"/>
      <c r="AF101" s="618"/>
      <c r="AG101" s="621"/>
      <c r="AH101" s="618"/>
      <c r="AI101" s="622"/>
      <c r="AJ101" s="622"/>
      <c r="AK101" s="594"/>
      <c r="AL101" s="594"/>
    </row>
    <row r="102" s="313" customFormat="1" ht="12" customHeight="1" spans="1:38">
      <c r="A102" t="str">
        <f t="shared" si="6"/>
        <v>显示</v>
      </c>
      <c r="B102"/>
      <c r="C102"/>
      <c r="D102" s="25"/>
      <c r="E102" s="28"/>
      <c r="F102" s="28"/>
      <c r="G102" s="29"/>
      <c r="I102" s="594"/>
      <c r="J102" s="596" t="str">
        <f>K10</f>
        <v>Date :</v>
      </c>
      <c r="K102" s="598">
        <v>43871</v>
      </c>
      <c r="L102" s="598"/>
      <c r="M102" s="462"/>
      <c r="N102" s="595"/>
      <c r="O102" s="596" t="str">
        <f>K13</f>
        <v>Draft Aft :</v>
      </c>
      <c r="P102" s="599">
        <v>8.5</v>
      </c>
      <c r="Q102" s="462" t="str">
        <f>U102</f>
        <v>m</v>
      </c>
      <c r="R102" s="462"/>
      <c r="S102" s="596" t="str">
        <f>K49</f>
        <v>LBP :</v>
      </c>
      <c r="T102" s="597">
        <v>220</v>
      </c>
      <c r="U102" s="462" t="str">
        <f>K29</f>
        <v>m</v>
      </c>
      <c r="W102" s="594"/>
      <c r="X102" s="594"/>
      <c r="Y102" s="594"/>
      <c r="Z102" s="594"/>
      <c r="AA102" s="594"/>
      <c r="AB102" s="594"/>
      <c r="AC102" s="594"/>
      <c r="AD102" s="594"/>
      <c r="AE102" s="618"/>
      <c r="AF102" s="618"/>
      <c r="AG102" s="618"/>
      <c r="AH102" s="618"/>
      <c r="AI102" s="618"/>
      <c r="AJ102" s="618"/>
      <c r="AK102" s="594"/>
      <c r="AL102" s="594"/>
    </row>
    <row r="103" s="313" customFormat="1" ht="12" customHeight="1" spans="1:38">
      <c r="A103" t="str">
        <f t="shared" si="6"/>
        <v>显示</v>
      </c>
      <c r="B103"/>
      <c r="C103"/>
      <c r="D103" s="25"/>
      <c r="E103" s="28"/>
      <c r="F103" s="28"/>
      <c r="G103" s="29"/>
      <c r="I103" s="594"/>
      <c r="J103" s="596" t="str">
        <f>K11</f>
        <v>Time :</v>
      </c>
      <c r="K103" s="600">
        <v>0.989583333333333</v>
      </c>
      <c r="L103" s="601"/>
      <c r="M103" s="462"/>
      <c r="N103" s="595"/>
      <c r="O103" s="596" t="str">
        <f>K15</f>
        <v>Trim :</v>
      </c>
      <c r="P103" s="602">
        <f>ABS(P102-P101)</f>
        <v>5.3</v>
      </c>
      <c r="Q103" s="451" t="str">
        <f>IF(OR(P101="",P102=""),"m",IF(P101&gt;P102,K16,IF(P101&lt;P102,K17,IF(Report_Language=$A$1,"Even Keel","平吃水"))))</f>
        <v>m By Stern</v>
      </c>
      <c r="R103" s="462"/>
      <c r="S103" s="611" t="str">
        <f>K50</f>
        <v>F (Trim /LBP) :</v>
      </c>
      <c r="T103" s="611"/>
      <c r="U103" s="612">
        <f>IF(OR(P103="",T102=""),"",P103/T102)</f>
        <v>0.0240909090909091</v>
      </c>
      <c r="W103" s="594"/>
      <c r="X103" s="594"/>
      <c r="Y103" s="594"/>
      <c r="Z103" s="594"/>
      <c r="AA103" s="594"/>
      <c r="AB103" s="594"/>
      <c r="AC103" s="594"/>
      <c r="AD103" s="594"/>
      <c r="AE103" s="618"/>
      <c r="AF103" s="618"/>
      <c r="AG103" s="618"/>
      <c r="AH103" s="618"/>
      <c r="AI103" s="618"/>
      <c r="AJ103" s="618"/>
      <c r="AK103" s="594"/>
      <c r="AL103" s="594"/>
    </row>
    <row r="104" ht="10.95" customHeight="1" spans="1:36">
      <c r="A104" t="str">
        <f t="shared" si="6"/>
        <v>显示</v>
      </c>
      <c r="D104" s="25"/>
      <c r="E104" s="28"/>
      <c r="F104" s="28"/>
      <c r="G104" s="29"/>
      <c r="I104" s="39"/>
      <c r="J104" s="39"/>
      <c r="K104" s="39"/>
      <c r="L104" s="39"/>
      <c r="M104" s="39"/>
      <c r="N104" s="39"/>
      <c r="O104" s="39"/>
      <c r="P104" s="39"/>
      <c r="Q104" s="39"/>
      <c r="R104" s="39"/>
      <c r="S104" s="39"/>
      <c r="T104" s="39"/>
      <c r="AE104" s="377"/>
      <c r="AF104" s="377"/>
      <c r="AG104" s="377"/>
      <c r="AH104" s="377"/>
      <c r="AI104" s="377"/>
      <c r="AJ104" s="377"/>
    </row>
    <row r="105" ht="36" customHeight="1" spans="1:21">
      <c r="A105" t="str">
        <f t="shared" si="6"/>
        <v>显示</v>
      </c>
      <c r="D105" s="25"/>
      <c r="E105" s="28"/>
      <c r="F105" s="28"/>
      <c r="G105" s="29"/>
      <c r="I105" s="385" t="str">
        <f>K26</f>
        <v>Tank No.</v>
      </c>
      <c r="J105" s="421" t="s">
        <v>617</v>
      </c>
      <c r="K105" s="421" t="s">
        <v>782</v>
      </c>
      <c r="L105" s="421" t="s">
        <v>783</v>
      </c>
      <c r="M105" s="421" t="s">
        <v>784</v>
      </c>
      <c r="N105" s="421" t="s">
        <v>624</v>
      </c>
      <c r="O105" s="386" t="str">
        <f>K51</f>
        <v>Length of Wedge
A/F</v>
      </c>
      <c r="P105" s="386" t="str">
        <f>K52</f>
        <v>Wedge Condition Exist
A/F  &lt; L</v>
      </c>
      <c r="Q105" s="421" t="s">
        <v>785</v>
      </c>
      <c r="R105" s="386" t="str">
        <f>K53</f>
        <v>*Table Volume</v>
      </c>
      <c r="S105" s="386" t="str">
        <f>K54</f>
        <v>Extreme Shape Hull Curvature </v>
      </c>
      <c r="T105" s="421" t="s">
        <v>786</v>
      </c>
      <c r="U105" s="422" t="str">
        <f>K55</f>
        <v>**Wedge Volume</v>
      </c>
    </row>
    <row r="106" ht="13.8" customHeight="1" spans="1:21">
      <c r="A106" t="str">
        <f t="shared" si="6"/>
        <v>显示</v>
      </c>
      <c r="D106" s="25"/>
      <c r="E106" s="28"/>
      <c r="F106" s="28"/>
      <c r="G106" s="29"/>
      <c r="I106" s="389"/>
      <c r="J106" s="406" t="str">
        <f>K29</f>
        <v>m</v>
      </c>
      <c r="K106" s="406" t="str">
        <f>K29</f>
        <v>m</v>
      </c>
      <c r="L106" s="406" t="str">
        <f>K29</f>
        <v>m</v>
      </c>
      <c r="M106" s="406" t="str">
        <f>K29</f>
        <v>m</v>
      </c>
      <c r="N106" s="406" t="str">
        <f>K29</f>
        <v>m</v>
      </c>
      <c r="O106" s="390" t="str">
        <f>K29</f>
        <v>m</v>
      </c>
      <c r="P106" s="390"/>
      <c r="Q106" s="406"/>
      <c r="R106" s="427" t="s">
        <v>492</v>
      </c>
      <c r="S106" s="390"/>
      <c r="T106" s="406" t="str">
        <f>K29</f>
        <v>m</v>
      </c>
      <c r="U106" s="613" t="str">
        <f>R106</f>
        <v>立方米</v>
      </c>
    </row>
    <row r="107" ht="10.95" customHeight="1" spans="1:21">
      <c r="A107" t="str">
        <f t="shared" si="6"/>
        <v>显示</v>
      </c>
      <c r="D107" s="25"/>
      <c r="E107" s="28"/>
      <c r="F107" s="28"/>
      <c r="G107" s="29"/>
      <c r="I107" s="603" t="s">
        <v>615</v>
      </c>
      <c r="J107" s="604">
        <v>3.235</v>
      </c>
      <c r="K107" s="604">
        <v>20.18</v>
      </c>
      <c r="L107" s="604">
        <v>0.19</v>
      </c>
      <c r="M107" s="604">
        <v>35.35</v>
      </c>
      <c r="N107" s="456">
        <f t="shared" ref="N107:N123" si="8">IF(OR(J107="",K107="",L107=""),"",IF($P$101&lt;$P$102,ROUND(((J107-K107*$U$103)*$U$103)+L107,3),ROUND((((M107-J107)-K107*$U$103)*$U$103+L107),3)))</f>
        <v>0.256</v>
      </c>
      <c r="O107" s="456">
        <f t="shared" ref="O107:O123" si="9">IF(OR(N107="",$U$103=""),"",ROUND(N107/$U$103,3))</f>
        <v>10.626</v>
      </c>
      <c r="P107" s="456" t="str">
        <f t="shared" ref="P107:P123" si="10">IF(OR(M107="",N107=""),"",IF(O107&lt;M107,$K$35,$K$36))</f>
        <v>Yes</v>
      </c>
      <c r="Q107" s="456">
        <f t="shared" ref="Q107:Q123" si="11">IF(N107="","",IF(P107=K36,"N/A",ROUND(N107/2,3)))</f>
        <v>0.128</v>
      </c>
      <c r="R107" s="614">
        <f>M107*16.2*Q107</f>
        <v>73.30176</v>
      </c>
      <c r="S107" s="604" t="s">
        <v>452</v>
      </c>
      <c r="T107" s="604">
        <v>12.4</v>
      </c>
      <c r="U107" s="615">
        <f>IF(OR(J107="",K107="",L107="",M107=""),"",IF(OR(P107="No",P107="否"),"N/A",IF($U$106=$K$30,IF(OR(S107="Yes",S107="是"),ROUND((POWER(N107,2)*T107)/(2*$U$103),3),ROUND((N107*R107)/(M107*$U$103),3)),IF(OR(S107="Yes",S107="是"),ROUND((POWER(N107,2)*T107)*6.289812/(2*$U$103),2),ROUND((N107*R107)/(M107*$U$103),2)))))</f>
        <v>22.03</v>
      </c>
    </row>
    <row r="108" ht="10.95" customHeight="1" spans="1:21">
      <c r="A108" t="str">
        <f t="shared" si="6"/>
        <v>显示</v>
      </c>
      <c r="D108" s="25"/>
      <c r="E108" s="28"/>
      <c r="F108" s="28"/>
      <c r="G108" s="29"/>
      <c r="I108" s="603" t="s">
        <v>620</v>
      </c>
      <c r="J108" s="604">
        <v>4.908</v>
      </c>
      <c r="K108" s="604">
        <v>20.182</v>
      </c>
      <c r="L108" s="604">
        <v>0.23</v>
      </c>
      <c r="M108" s="604">
        <v>35.35</v>
      </c>
      <c r="N108" s="456">
        <f t="shared" si="8"/>
        <v>0.337</v>
      </c>
      <c r="O108" s="456">
        <f t="shared" si="9"/>
        <v>13.989</v>
      </c>
      <c r="P108" s="456" t="str">
        <f t="shared" si="10"/>
        <v>Yes</v>
      </c>
      <c r="Q108" s="456">
        <f t="shared" si="11"/>
        <v>0.169</v>
      </c>
      <c r="R108" s="604">
        <v>379.68</v>
      </c>
      <c r="S108" s="604" t="s">
        <v>452</v>
      </c>
      <c r="T108" s="604"/>
      <c r="U108" s="615">
        <f t="shared" ref="U108:U123" si="12">IF(OR(J108="",K108="",L108="",M108=""),"",IF(OR(P108="No",P108="否"),"N/A",IF($U$106=$K$30,IF(OR(S108="Yes",S108="是"),ROUND((POWER(N108,2)*T108)/(2*$U$103),3),ROUND((N108*R108)/(M108*$U$103),3)),IF(OR(S108="Yes",S108="是"),ROUND((POWER(N108,2)*T108)*6.289812/(2*$U$103),2),ROUND((N108*R108)/(M108*$U$103),2)))))</f>
        <v>150.25</v>
      </c>
    </row>
    <row r="109" ht="10.95" customHeight="1" spans="1:32">
      <c r="A109" t="str">
        <f t="shared" si="6"/>
        <v>显示</v>
      </c>
      <c r="D109" s="25"/>
      <c r="E109" s="28"/>
      <c r="F109" s="28"/>
      <c r="G109" s="29"/>
      <c r="I109" s="603" t="s">
        <v>621</v>
      </c>
      <c r="J109" s="604">
        <v>4.908</v>
      </c>
      <c r="K109" s="604">
        <v>20.182</v>
      </c>
      <c r="L109" s="604">
        <v>0.2</v>
      </c>
      <c r="M109" s="604">
        <v>35.35</v>
      </c>
      <c r="N109" s="456">
        <f t="shared" si="8"/>
        <v>0.307</v>
      </c>
      <c r="O109" s="456">
        <f t="shared" si="9"/>
        <v>12.743</v>
      </c>
      <c r="P109" s="456" t="str">
        <f t="shared" si="10"/>
        <v>Yes</v>
      </c>
      <c r="Q109" s="456">
        <f t="shared" si="11"/>
        <v>0.154</v>
      </c>
      <c r="R109" s="604">
        <v>379.68</v>
      </c>
      <c r="S109" s="604" t="s">
        <v>451</v>
      </c>
      <c r="T109" s="604"/>
      <c r="U109" s="615">
        <f t="shared" si="12"/>
        <v>136.87</v>
      </c>
      <c r="Z109" s="382"/>
      <c r="AF109" s="397"/>
    </row>
    <row r="110" ht="10.95" customHeight="1" spans="1:21">
      <c r="A110" t="str">
        <f t="shared" si="6"/>
        <v>显示</v>
      </c>
      <c r="D110" s="25"/>
      <c r="E110" s="28"/>
      <c r="F110" s="28"/>
      <c r="G110" s="29"/>
      <c r="I110" s="603" t="s">
        <v>623</v>
      </c>
      <c r="J110" s="604">
        <v>4.908</v>
      </c>
      <c r="K110" s="604">
        <v>20.182</v>
      </c>
      <c r="L110" s="604">
        <v>0.195</v>
      </c>
      <c r="M110" s="604">
        <v>35.35</v>
      </c>
      <c r="N110" s="456">
        <f t="shared" si="8"/>
        <v>0.302</v>
      </c>
      <c r="O110" s="456">
        <f t="shared" si="9"/>
        <v>12.536</v>
      </c>
      <c r="P110" s="456" t="str">
        <f t="shared" si="10"/>
        <v>Yes</v>
      </c>
      <c r="Q110" s="456">
        <f t="shared" si="11"/>
        <v>0.151</v>
      </c>
      <c r="R110" s="604">
        <v>379.68</v>
      </c>
      <c r="S110" s="604" t="s">
        <v>451</v>
      </c>
      <c r="T110" s="604"/>
      <c r="U110" s="615">
        <f t="shared" si="12"/>
        <v>134.64</v>
      </c>
    </row>
    <row r="111" ht="10.95" customHeight="1" spans="1:21">
      <c r="A111" t="str">
        <f t="shared" si="6"/>
        <v>显示</v>
      </c>
      <c r="D111" s="36"/>
      <c r="E111" s="28"/>
      <c r="F111" s="28"/>
      <c r="G111" s="29"/>
      <c r="I111" s="603" t="s">
        <v>625</v>
      </c>
      <c r="J111" s="604">
        <v>4.908</v>
      </c>
      <c r="K111" s="604">
        <v>20.182</v>
      </c>
      <c r="L111" s="604">
        <v>0.199</v>
      </c>
      <c r="M111" s="604">
        <v>35.35</v>
      </c>
      <c r="N111" s="456">
        <f t="shared" si="8"/>
        <v>0.306</v>
      </c>
      <c r="O111" s="456">
        <f t="shared" si="9"/>
        <v>12.702</v>
      </c>
      <c r="P111" s="456" t="str">
        <f t="shared" si="10"/>
        <v>Yes</v>
      </c>
      <c r="Q111" s="456">
        <f t="shared" si="11"/>
        <v>0.153</v>
      </c>
      <c r="R111" s="604">
        <v>379.68</v>
      </c>
      <c r="S111" s="604" t="s">
        <v>451</v>
      </c>
      <c r="T111" s="604"/>
      <c r="U111" s="615">
        <f t="shared" si="12"/>
        <v>136.43</v>
      </c>
    </row>
    <row r="112" ht="10.95" customHeight="1" spans="1:21">
      <c r="A112" t="str">
        <f t="shared" si="6"/>
        <v>显示</v>
      </c>
      <c r="D112" s="36"/>
      <c r="E112" s="28"/>
      <c r="F112" s="28"/>
      <c r="G112" s="29"/>
      <c r="I112" s="603" t="s">
        <v>627</v>
      </c>
      <c r="J112" s="604">
        <v>4.908</v>
      </c>
      <c r="K112" s="604">
        <v>20.182</v>
      </c>
      <c r="L112" s="604"/>
      <c r="M112" s="604">
        <v>35.35</v>
      </c>
      <c r="N112" s="456" t="str">
        <f t="shared" si="8"/>
        <v/>
      </c>
      <c r="O112" s="456" t="str">
        <f t="shared" si="9"/>
        <v/>
      </c>
      <c r="P112" s="456" t="str">
        <f t="shared" si="10"/>
        <v/>
      </c>
      <c r="Q112" s="456" t="str">
        <f t="shared" si="11"/>
        <v/>
      </c>
      <c r="R112" s="604">
        <v>379.68</v>
      </c>
      <c r="S112" s="604" t="s">
        <v>451</v>
      </c>
      <c r="T112" s="604"/>
      <c r="U112" s="615" t="str">
        <f t="shared" si="12"/>
        <v/>
      </c>
    </row>
    <row r="113" ht="10.95" customHeight="1" spans="1:21">
      <c r="A113" t="str">
        <f t="shared" si="6"/>
        <v>显示</v>
      </c>
      <c r="D113" s="36"/>
      <c r="E113" s="28"/>
      <c r="F113" s="28"/>
      <c r="G113" s="29"/>
      <c r="I113" s="603" t="s">
        <v>628</v>
      </c>
      <c r="J113" s="604">
        <v>4.908</v>
      </c>
      <c r="K113" s="604">
        <v>20.182</v>
      </c>
      <c r="L113" s="604"/>
      <c r="M113" s="604">
        <v>35.35</v>
      </c>
      <c r="N113" s="456" t="str">
        <f t="shared" si="8"/>
        <v/>
      </c>
      <c r="O113" s="456" t="str">
        <f t="shared" si="9"/>
        <v/>
      </c>
      <c r="P113" s="456" t="str">
        <f t="shared" si="10"/>
        <v/>
      </c>
      <c r="Q113" s="456" t="str">
        <f t="shared" si="11"/>
        <v/>
      </c>
      <c r="R113" s="604">
        <v>379.68</v>
      </c>
      <c r="S113" s="604" t="s">
        <v>451</v>
      </c>
      <c r="T113" s="604"/>
      <c r="U113" s="615" t="str">
        <f t="shared" si="12"/>
        <v/>
      </c>
    </row>
    <row r="114" ht="10.95" customHeight="1" spans="1:21">
      <c r="A114" t="str">
        <f t="shared" si="6"/>
        <v>显示</v>
      </c>
      <c r="D114" s="36"/>
      <c r="E114" s="28"/>
      <c r="F114" s="28"/>
      <c r="G114" s="29"/>
      <c r="I114" s="603" t="s">
        <v>629</v>
      </c>
      <c r="J114" s="604">
        <v>4.908</v>
      </c>
      <c r="K114" s="604">
        <v>20.182</v>
      </c>
      <c r="L114" s="604"/>
      <c r="M114" s="604">
        <v>35.35</v>
      </c>
      <c r="N114" s="456" t="str">
        <f t="shared" si="8"/>
        <v/>
      </c>
      <c r="O114" s="456" t="str">
        <f t="shared" si="9"/>
        <v/>
      </c>
      <c r="P114" s="456" t="str">
        <f t="shared" si="10"/>
        <v/>
      </c>
      <c r="Q114" s="456" t="str">
        <f t="shared" si="11"/>
        <v/>
      </c>
      <c r="R114" s="604">
        <v>379.68</v>
      </c>
      <c r="S114" s="604" t="s">
        <v>451</v>
      </c>
      <c r="T114" s="604"/>
      <c r="U114" s="615" t="str">
        <f t="shared" si="12"/>
        <v/>
      </c>
    </row>
    <row r="115" ht="10.95" customHeight="1" spans="1:21">
      <c r="A115" t="str">
        <f t="shared" si="6"/>
        <v>显示</v>
      </c>
      <c r="D115" s="36"/>
      <c r="E115" s="28"/>
      <c r="F115" s="28"/>
      <c r="G115" s="29"/>
      <c r="I115" s="603" t="s">
        <v>630</v>
      </c>
      <c r="J115" s="604">
        <v>4.908</v>
      </c>
      <c r="K115" s="604">
        <v>20.182</v>
      </c>
      <c r="L115" s="604"/>
      <c r="M115" s="604">
        <v>35.35</v>
      </c>
      <c r="N115" s="456" t="str">
        <f t="shared" si="8"/>
        <v/>
      </c>
      <c r="O115" s="456" t="str">
        <f t="shared" si="9"/>
        <v/>
      </c>
      <c r="P115" s="456" t="str">
        <f t="shared" si="10"/>
        <v/>
      </c>
      <c r="Q115" s="456" t="str">
        <f t="shared" si="11"/>
        <v/>
      </c>
      <c r="R115" s="604">
        <v>379.68</v>
      </c>
      <c r="S115" s="604" t="s">
        <v>451</v>
      </c>
      <c r="T115" s="604"/>
      <c r="U115" s="615" t="str">
        <f t="shared" si="12"/>
        <v/>
      </c>
    </row>
    <row r="116" ht="10.95" customHeight="1" spans="1:21">
      <c r="A116" t="str">
        <f t="shared" si="6"/>
        <v>显示</v>
      </c>
      <c r="D116" s="37"/>
      <c r="E116" s="28"/>
      <c r="F116" s="28"/>
      <c r="G116" s="29"/>
      <c r="I116" s="603" t="s">
        <v>631</v>
      </c>
      <c r="J116" s="604">
        <v>4.908</v>
      </c>
      <c r="K116" s="604">
        <v>20.182</v>
      </c>
      <c r="L116" s="604"/>
      <c r="M116" s="604">
        <v>35.35</v>
      </c>
      <c r="N116" s="456" t="str">
        <f t="shared" si="8"/>
        <v/>
      </c>
      <c r="O116" s="456" t="str">
        <f t="shared" si="9"/>
        <v/>
      </c>
      <c r="P116" s="456" t="str">
        <f t="shared" si="10"/>
        <v/>
      </c>
      <c r="Q116" s="456" t="str">
        <f t="shared" si="11"/>
        <v/>
      </c>
      <c r="R116" s="604">
        <v>379.68</v>
      </c>
      <c r="S116" s="604" t="s">
        <v>451</v>
      </c>
      <c r="T116" s="604"/>
      <c r="U116" s="615" t="str">
        <f t="shared" si="12"/>
        <v/>
      </c>
    </row>
    <row r="117" ht="10.95" customHeight="1" spans="1:21">
      <c r="A117" t="str">
        <f t="shared" si="6"/>
        <v>显示</v>
      </c>
      <c r="D117" s="37"/>
      <c r="E117" s="28"/>
      <c r="F117" s="28"/>
      <c r="G117" s="29"/>
      <c r="I117" s="603" t="s">
        <v>632</v>
      </c>
      <c r="J117" s="604">
        <v>4.908</v>
      </c>
      <c r="K117" s="604">
        <v>20.182</v>
      </c>
      <c r="L117" s="604"/>
      <c r="M117" s="604">
        <v>35.35</v>
      </c>
      <c r="N117" s="456" t="str">
        <f t="shared" si="8"/>
        <v/>
      </c>
      <c r="O117" s="456" t="str">
        <f t="shared" si="9"/>
        <v/>
      </c>
      <c r="P117" s="456" t="str">
        <f t="shared" si="10"/>
        <v/>
      </c>
      <c r="Q117" s="456" t="str">
        <f t="shared" si="11"/>
        <v/>
      </c>
      <c r="R117" s="604">
        <v>379.68</v>
      </c>
      <c r="S117" s="604" t="s">
        <v>451</v>
      </c>
      <c r="T117" s="604"/>
      <c r="U117" s="615" t="str">
        <f t="shared" si="12"/>
        <v/>
      </c>
    </row>
    <row r="118" ht="10.95" customHeight="1" spans="1:21">
      <c r="A118" t="str">
        <f t="shared" si="6"/>
        <v>显示</v>
      </c>
      <c r="D118" s="37"/>
      <c r="E118" s="28"/>
      <c r="F118" s="28"/>
      <c r="G118" s="29"/>
      <c r="I118" s="603" t="s">
        <v>633</v>
      </c>
      <c r="J118" s="604">
        <v>4.908</v>
      </c>
      <c r="K118" s="604">
        <v>20.182</v>
      </c>
      <c r="L118" s="604"/>
      <c r="M118" s="604">
        <v>35.35</v>
      </c>
      <c r="N118" s="456" t="str">
        <f t="shared" si="8"/>
        <v/>
      </c>
      <c r="O118" s="456" t="str">
        <f t="shared" si="9"/>
        <v/>
      </c>
      <c r="P118" s="456" t="str">
        <f t="shared" si="10"/>
        <v/>
      </c>
      <c r="Q118" s="456" t="str">
        <f t="shared" si="11"/>
        <v/>
      </c>
      <c r="R118" s="604">
        <v>379.68</v>
      </c>
      <c r="S118" s="604" t="s">
        <v>451</v>
      </c>
      <c r="T118" s="604"/>
      <c r="U118" s="615" t="str">
        <f t="shared" si="12"/>
        <v/>
      </c>
    </row>
    <row r="119" ht="10.95" customHeight="1" spans="1:21">
      <c r="A119" t="str">
        <f t="shared" si="6"/>
        <v>显示</v>
      </c>
      <c r="I119" s="603" t="s">
        <v>634</v>
      </c>
      <c r="J119" s="604">
        <v>4.908</v>
      </c>
      <c r="K119" s="604">
        <v>20.182</v>
      </c>
      <c r="L119" s="604"/>
      <c r="M119" s="604">
        <v>35.35</v>
      </c>
      <c r="N119" s="456" t="str">
        <f t="shared" si="8"/>
        <v/>
      </c>
      <c r="O119" s="456" t="str">
        <f t="shared" si="9"/>
        <v/>
      </c>
      <c r="P119" s="456" t="str">
        <f t="shared" si="10"/>
        <v/>
      </c>
      <c r="Q119" s="456" t="str">
        <f t="shared" si="11"/>
        <v/>
      </c>
      <c r="R119" s="604">
        <v>379.68</v>
      </c>
      <c r="S119" s="604" t="s">
        <v>451</v>
      </c>
      <c r="T119" s="604"/>
      <c r="U119" s="615" t="str">
        <f t="shared" si="12"/>
        <v/>
      </c>
    </row>
    <row r="120" ht="10.95" customHeight="1" spans="1:21">
      <c r="A120" t="str">
        <f t="shared" si="6"/>
        <v>显示</v>
      </c>
      <c r="I120" s="603" t="s">
        <v>635</v>
      </c>
      <c r="J120" s="604">
        <v>4.908</v>
      </c>
      <c r="K120" s="604">
        <v>20.182</v>
      </c>
      <c r="L120" s="604"/>
      <c r="M120" s="604">
        <v>35.35</v>
      </c>
      <c r="N120" s="456" t="str">
        <f t="shared" si="8"/>
        <v/>
      </c>
      <c r="O120" s="456" t="str">
        <f t="shared" si="9"/>
        <v/>
      </c>
      <c r="P120" s="456" t="str">
        <f t="shared" si="10"/>
        <v/>
      </c>
      <c r="Q120" s="456" t="str">
        <f t="shared" si="11"/>
        <v/>
      </c>
      <c r="R120" s="604">
        <v>379.68</v>
      </c>
      <c r="S120" s="604" t="s">
        <v>451</v>
      </c>
      <c r="T120" s="604"/>
      <c r="U120" s="615" t="str">
        <f t="shared" si="12"/>
        <v/>
      </c>
    </row>
    <row r="121" ht="10.95" customHeight="1" spans="1:21">
      <c r="A121" t="str">
        <f t="shared" si="6"/>
        <v>显示</v>
      </c>
      <c r="I121" s="603" t="s">
        <v>636</v>
      </c>
      <c r="J121" s="604">
        <v>4.908</v>
      </c>
      <c r="K121" s="604">
        <v>20.182</v>
      </c>
      <c r="L121" s="604"/>
      <c r="M121" s="604">
        <v>35.35</v>
      </c>
      <c r="N121" s="456" t="str">
        <f t="shared" si="8"/>
        <v/>
      </c>
      <c r="O121" s="456" t="str">
        <f t="shared" si="9"/>
        <v/>
      </c>
      <c r="P121" s="456" t="str">
        <f t="shared" si="10"/>
        <v/>
      </c>
      <c r="Q121" s="456" t="str">
        <f t="shared" si="11"/>
        <v/>
      </c>
      <c r="R121" s="604">
        <v>379.68</v>
      </c>
      <c r="S121" s="604" t="s">
        <v>451</v>
      </c>
      <c r="T121" s="604"/>
      <c r="U121" s="615" t="str">
        <f t="shared" si="12"/>
        <v/>
      </c>
    </row>
    <row r="122" ht="10.95" customHeight="1" spans="1:21">
      <c r="A122" t="str">
        <f t="shared" si="6"/>
        <v>显示</v>
      </c>
      <c r="I122" s="603" t="s">
        <v>637</v>
      </c>
      <c r="J122" s="604">
        <v>4.908</v>
      </c>
      <c r="K122" s="604">
        <v>20.182</v>
      </c>
      <c r="L122" s="604"/>
      <c r="M122" s="604">
        <v>35.35</v>
      </c>
      <c r="N122" s="456" t="str">
        <f t="shared" si="8"/>
        <v/>
      </c>
      <c r="O122" s="456" t="str">
        <f t="shared" si="9"/>
        <v/>
      </c>
      <c r="P122" s="456" t="str">
        <f t="shared" si="10"/>
        <v/>
      </c>
      <c r="Q122" s="456" t="str">
        <f t="shared" si="11"/>
        <v/>
      </c>
      <c r="R122" s="604">
        <v>379.68</v>
      </c>
      <c r="S122" s="604" t="s">
        <v>451</v>
      </c>
      <c r="T122" s="604"/>
      <c r="U122" s="615" t="str">
        <f t="shared" si="12"/>
        <v/>
      </c>
    </row>
    <row r="123" ht="10.95" customHeight="1" spans="1:21">
      <c r="A123" t="str">
        <f t="shared" si="6"/>
        <v>显示</v>
      </c>
      <c r="I123" s="605" t="s">
        <v>638</v>
      </c>
      <c r="J123" s="606">
        <v>4.908</v>
      </c>
      <c r="K123" s="606">
        <v>20.182</v>
      </c>
      <c r="L123" s="606"/>
      <c r="M123" s="606">
        <v>35.35</v>
      </c>
      <c r="N123" s="607" t="str">
        <f t="shared" si="8"/>
        <v/>
      </c>
      <c r="O123" s="607" t="str">
        <f t="shared" si="9"/>
        <v/>
      </c>
      <c r="P123" s="607" t="str">
        <f t="shared" si="10"/>
        <v/>
      </c>
      <c r="Q123" s="607" t="str">
        <f t="shared" si="11"/>
        <v/>
      </c>
      <c r="R123" s="606">
        <v>379.68</v>
      </c>
      <c r="S123" s="606" t="s">
        <v>449</v>
      </c>
      <c r="T123" s="606"/>
      <c r="U123" s="616" t="str">
        <f t="shared" si="12"/>
        <v/>
      </c>
    </row>
    <row r="124" ht="15" spans="1:21">
      <c r="A124" t="str">
        <f t="shared" si="6"/>
        <v>显示</v>
      </c>
      <c r="I124" s="608" t="str">
        <f>K32</f>
        <v>TOTAL</v>
      </c>
      <c r="J124" s="609"/>
      <c r="K124" s="609"/>
      <c r="L124" s="609"/>
      <c r="M124" s="609"/>
      <c r="N124" s="609"/>
      <c r="O124" s="609"/>
      <c r="P124" s="609"/>
      <c r="Q124" s="609"/>
      <c r="R124" s="609"/>
      <c r="S124" s="609"/>
      <c r="T124" s="609"/>
      <c r="U124" s="617">
        <f>IF(U107="","",SUM(U107:U123))</f>
        <v>580.22</v>
      </c>
    </row>
    <row r="125" spans="1:21">
      <c r="A125" t="str">
        <f t="shared" si="6"/>
        <v>显示</v>
      </c>
      <c r="I125" s="437" t="str">
        <f>K33</f>
        <v>Note:</v>
      </c>
      <c r="J125" s="357"/>
      <c r="K125" s="357"/>
      <c r="L125" s="357"/>
      <c r="M125" s="357"/>
      <c r="N125" s="357"/>
      <c r="O125" s="357"/>
      <c r="P125" s="357"/>
      <c r="Q125" s="357"/>
      <c r="R125" s="357"/>
      <c r="S125" s="357"/>
      <c r="T125" s="357"/>
      <c r="U125" s="357"/>
    </row>
    <row r="126" ht="10.95" customHeight="1" spans="1:21">
      <c r="A126" t="str">
        <f t="shared" si="6"/>
        <v>显示</v>
      </c>
      <c r="I126" s="417" t="str">
        <f t="shared" ref="I126:I134" si="13">K56</f>
        <v>F -- Trim Factor, trim divided by LBP.</v>
      </c>
      <c r="J126" s="357"/>
      <c r="K126" s="357"/>
      <c r="L126" s="357"/>
      <c r="M126" s="357"/>
      <c r="N126" s="357"/>
      <c r="O126" s="357"/>
      <c r="P126" s="357"/>
      <c r="Q126" s="357"/>
      <c r="R126" s="357"/>
      <c r="S126" s="357"/>
      <c r="T126" s="357"/>
      <c r="U126" s="357"/>
    </row>
    <row r="127" ht="10.95" customHeight="1" spans="1:21">
      <c r="A127" t="str">
        <f t="shared" si="6"/>
        <v>显示</v>
      </c>
      <c r="I127" s="417" t="str">
        <f t="shared" si="13"/>
        <v>U -- Distance from aft bulkhead to ullage position.</v>
      </c>
      <c r="J127" s="357"/>
      <c r="K127" s="357"/>
      <c r="L127" s="357"/>
      <c r="M127" s="357"/>
      <c r="N127" s="357"/>
      <c r="O127" s="357"/>
      <c r="P127" s="357"/>
      <c r="Q127" s="357"/>
      <c r="R127" s="357"/>
      <c r="S127" s="357"/>
      <c r="T127" s="357"/>
      <c r="U127" s="357"/>
    </row>
    <row r="128" ht="10.95" customHeight="1" spans="1:21">
      <c r="A128" t="str">
        <f t="shared" si="6"/>
        <v>显示</v>
      </c>
      <c r="I128" s="417" t="str">
        <f t="shared" si="13"/>
        <v>D -- Reference gauge height.</v>
      </c>
      <c r="J128" s="357"/>
      <c r="K128" s="357"/>
      <c r="L128" s="357"/>
      <c r="M128" s="357"/>
      <c r="N128" s="357"/>
      <c r="O128" s="357"/>
      <c r="P128" s="357"/>
      <c r="Q128" s="357"/>
      <c r="R128" s="357"/>
      <c r="S128" s="357"/>
      <c r="T128" s="357"/>
      <c r="U128" s="357"/>
    </row>
    <row r="129" ht="10.95" customHeight="1" spans="1:21">
      <c r="A129" t="str">
        <f t="shared" si="6"/>
        <v>显示</v>
      </c>
      <c r="I129" s="417" t="str">
        <f t="shared" si="13"/>
        <v>S -- Observed innage.</v>
      </c>
      <c r="J129" s="357"/>
      <c r="K129" s="357"/>
      <c r="L129" s="357"/>
      <c r="M129" s="357"/>
      <c r="N129" s="357"/>
      <c r="O129" s="357"/>
      <c r="P129" s="357"/>
      <c r="Q129" s="357"/>
      <c r="R129" s="357"/>
      <c r="S129" s="357"/>
      <c r="T129" s="357"/>
      <c r="U129" s="357"/>
    </row>
    <row r="130" ht="10.95" customHeight="1" spans="1:21">
      <c r="A130" t="str">
        <f t="shared" si="6"/>
        <v>显示</v>
      </c>
      <c r="I130" s="417" t="str">
        <f t="shared" si="13"/>
        <v>A -- Adjusted innage at aft bulkhead.  A = { [ U - ( D  x F ) ] x F } + S </v>
      </c>
      <c r="J130" s="357"/>
      <c r="K130" s="357"/>
      <c r="L130" s="357"/>
      <c r="M130" s="357"/>
      <c r="N130" s="357"/>
      <c r="O130" s="357"/>
      <c r="P130" s="357"/>
      <c r="Q130" s="357"/>
      <c r="R130" s="357"/>
      <c r="S130" s="357"/>
      <c r="T130" s="357"/>
      <c r="U130" s="357"/>
    </row>
    <row r="131" ht="10.95" customHeight="1" spans="1:21">
      <c r="A131" t="str">
        <f t="shared" si="6"/>
        <v>显示</v>
      </c>
      <c r="I131" s="417" t="str">
        <f t="shared" si="13"/>
        <v>L -- Length of Tank.</v>
      </c>
      <c r="J131" s="357"/>
      <c r="K131" s="357"/>
      <c r="L131" s="357"/>
      <c r="M131" s="357"/>
      <c r="N131" s="357"/>
      <c r="O131" s="357"/>
      <c r="P131" s="357"/>
      <c r="Q131" s="357"/>
      <c r="R131" s="357"/>
      <c r="S131" s="357"/>
      <c r="T131" s="357"/>
      <c r="U131" s="357"/>
    </row>
    <row r="132" ht="10.95" customHeight="1" spans="1:21">
      <c r="A132" t="str">
        <f t="shared" si="6"/>
        <v>显示</v>
      </c>
      <c r="I132" s="417" t="str">
        <f t="shared" si="13"/>
        <v>W -- Width at the tank bottom (usually aft end).</v>
      </c>
      <c r="J132" s="357"/>
      <c r="K132" s="357"/>
      <c r="L132" s="357"/>
      <c r="M132" s="357"/>
      <c r="N132" s="357"/>
      <c r="O132" s="357"/>
      <c r="P132" s="357"/>
      <c r="Q132" s="357"/>
      <c r="R132" s="357"/>
      <c r="S132" s="357"/>
      <c r="T132" s="357"/>
      <c r="U132" s="357"/>
    </row>
    <row r="133" ht="10.95" customHeight="1" spans="1:21">
      <c r="A133" t="str">
        <f t="shared" si="6"/>
        <v>显示</v>
      </c>
      <c r="I133" s="417" t="str">
        <f t="shared" si="13"/>
        <v>*Table Volume -- Extract from the tank table the volume corresponding to a sounding of A/2, with the vessel on an even keel and upright.</v>
      </c>
      <c r="J133" s="357"/>
      <c r="K133" s="357"/>
      <c r="L133" s="357"/>
      <c r="M133" s="357"/>
      <c r="N133" s="357"/>
      <c r="O133" s="357"/>
      <c r="P133" s="357"/>
      <c r="Q133" s="357"/>
      <c r="R133" s="357"/>
      <c r="S133" s="357"/>
      <c r="T133" s="357"/>
      <c r="U133" s="357"/>
    </row>
    <row r="134" ht="10.95" customHeight="1" spans="1:21">
      <c r="A134" t="str">
        <f t="shared" si="6"/>
        <v>显示</v>
      </c>
      <c r="I134" s="417" t="str">
        <f t="shared" si="13"/>
        <v>**Wedge Volume -- If length of wedge (A/F) is less than the actual compartment length, a wedge condition exist.</v>
      </c>
      <c r="J134" s="357"/>
      <c r="K134" s="357"/>
      <c r="L134" s="357"/>
      <c r="M134" s="357"/>
      <c r="N134" s="357"/>
      <c r="O134" s="357"/>
      <c r="P134" s="357"/>
      <c r="Q134" s="357"/>
      <c r="R134" s="357"/>
      <c r="S134" s="357"/>
      <c r="T134" s="357"/>
      <c r="U134" s="357"/>
    </row>
    <row r="135" ht="12.6" customHeight="1" spans="1:21">
      <c r="A135" t="str">
        <f t="shared" si="6"/>
        <v>显示</v>
      </c>
      <c r="I135" s="357"/>
      <c r="J135" s="357"/>
      <c r="K135" s="357"/>
      <c r="L135" s="610" t="str">
        <f>K65</f>
        <v>Wedge Volume</v>
      </c>
      <c r="M135" s="610"/>
      <c r="N135" s="610"/>
      <c r="O135" s="610" t="s">
        <v>787</v>
      </c>
      <c r="P135" s="623" t="str">
        <f>K66&amp;"  x  A"</f>
        <v>Table Volume  x  A</v>
      </c>
      <c r="Q135" s="623"/>
      <c r="R135" s="623"/>
      <c r="S135" s="610" t="str">
        <f>K67</f>
        <v>(in table units)</v>
      </c>
      <c r="T135" s="610"/>
      <c r="U135" s="357"/>
    </row>
    <row r="136" ht="10.95" customHeight="1" spans="1:21">
      <c r="A136" t="str">
        <f t="shared" si="6"/>
        <v>显示</v>
      </c>
      <c r="I136" s="357"/>
      <c r="J136" s="357"/>
      <c r="K136" s="357"/>
      <c r="L136" s="610"/>
      <c r="M136" s="610"/>
      <c r="N136" s="610"/>
      <c r="O136" s="610"/>
      <c r="P136" s="624" t="s">
        <v>788</v>
      </c>
      <c r="Q136" s="624"/>
      <c r="R136" s="624"/>
      <c r="S136" s="610"/>
      <c r="T136" s="610"/>
      <c r="U136" s="357"/>
    </row>
    <row r="137" ht="21" customHeight="1" spans="1:21">
      <c r="A137" t="str">
        <f t="shared" si="6"/>
        <v>显示</v>
      </c>
      <c r="I137" s="625" t="str">
        <f>K68</f>
        <v>Where the vessels hull curvature is extreme, such as on the forward- and after-most wing tanks where significant variation in longitudinal width and/or depth is evident.</v>
      </c>
      <c r="J137" s="625"/>
      <c r="K137" s="625"/>
      <c r="L137" s="625"/>
      <c r="M137" s="625"/>
      <c r="N137" s="625"/>
      <c r="O137" s="625"/>
      <c r="P137" s="625"/>
      <c r="Q137" s="625"/>
      <c r="R137" s="625"/>
      <c r="S137" s="625"/>
      <c r="T137" s="625"/>
      <c r="U137" s="625"/>
    </row>
    <row r="138" ht="13.2" customHeight="1" spans="1:21">
      <c r="A138" t="str">
        <f t="shared" si="6"/>
        <v>显示</v>
      </c>
      <c r="I138" s="357"/>
      <c r="J138" s="357"/>
      <c r="K138" s="357"/>
      <c r="L138" s="610" t="str">
        <f>L135</f>
        <v>Wedge Volume</v>
      </c>
      <c r="M138" s="610"/>
      <c r="N138" s="610"/>
      <c r="O138" s="610" t="s">
        <v>787</v>
      </c>
      <c r="P138" s="623" t="s">
        <v>789</v>
      </c>
      <c r="Q138" s="623"/>
      <c r="R138" s="623"/>
      <c r="S138" s="610" t="str">
        <f>K69</f>
        <v>(in measured units)</v>
      </c>
      <c r="T138" s="610"/>
      <c r="U138" s="357"/>
    </row>
    <row r="139" ht="13.2" customHeight="1" spans="1:21">
      <c r="A139" t="str">
        <f t="shared" si="6"/>
        <v>显示</v>
      </c>
      <c r="I139" s="357"/>
      <c r="J139" s="357"/>
      <c r="K139" s="357"/>
      <c r="L139" s="610"/>
      <c r="M139" s="610"/>
      <c r="N139" s="610"/>
      <c r="O139" s="610"/>
      <c r="P139" s="624" t="s">
        <v>790</v>
      </c>
      <c r="Q139" s="624"/>
      <c r="R139" s="624"/>
      <c r="S139" s="610"/>
      <c r="T139" s="610"/>
      <c r="U139" s="357"/>
    </row>
    <row r="140" ht="13.2" customHeight="1" spans="1:10">
      <c r="A140" t="str">
        <f t="shared" si="6"/>
        <v>显示</v>
      </c>
      <c r="I140" s="357" t="str">
        <f>K70</f>
        <v>Remark:</v>
      </c>
      <c r="J140" s="357"/>
    </row>
    <row r="141" ht="10.95" customHeight="1" spans="1:10">
      <c r="A141" t="str">
        <f t="shared" si="6"/>
        <v>显示</v>
      </c>
      <c r="I141" s="357" t="str">
        <f>K71</f>
        <v>- Reference Standards: API MPMS Chapter 3.1A (2013), API MPMS Chapter 17.4 (2016)</v>
      </c>
      <c r="J141" s="357"/>
    </row>
    <row r="142" ht="10.95" customHeight="1" spans="1:10">
      <c r="A142" t="str">
        <f t="shared" si="6"/>
        <v>显示</v>
      </c>
      <c r="I142" s="357" t="str">
        <f>K72</f>
        <v>- Wedge calculation is applicable to a vessel on upright only.</v>
      </c>
      <c r="J142" s="357"/>
    </row>
    <row r="143" ht="10.95" customHeight="1" spans="1:38">
      <c r="A143" t="str">
        <f t="shared" si="6"/>
        <v>显示</v>
      </c>
      <c r="I143" s="357" t="str">
        <f>K73</f>
        <v>- All dimensions are provided by ship's officer.</v>
      </c>
      <c r="J143" s="357"/>
      <c r="AL143" s="451"/>
    </row>
    <row r="144" ht="10.95" customHeight="1" spans="1:10">
      <c r="A144" t="str">
        <f t="shared" si="6"/>
        <v>显示</v>
      </c>
      <c r="I144" s="357" t="str">
        <f>K74</f>
        <v>- All units of measurement shall be of the same denomination—that is, decimal feet or meters.</v>
      </c>
      <c r="J144" s="357"/>
    </row>
    <row r="145" spans="1:21">
      <c r="A145" t="str">
        <f t="shared" si="6"/>
        <v>显示</v>
      </c>
      <c r="E145" s="28"/>
      <c r="F145" s="28"/>
      <c r="G145" s="29"/>
      <c r="I145" s="164"/>
      <c r="J145" s="164"/>
      <c r="K145" s="164"/>
      <c r="L145" s="164"/>
      <c r="M145" s="164"/>
      <c r="N145" s="164"/>
      <c r="O145" s="164"/>
      <c r="P145" s="164"/>
      <c r="Q145" s="164"/>
      <c r="R145" s="164"/>
      <c r="S145" s="164"/>
      <c r="T145" s="164"/>
      <c r="U145" s="164"/>
    </row>
    <row r="146" ht="16.5" hidden="1" spans="1:21">
      <c r="A146" t="str">
        <f t="shared" si="6"/>
        <v>隐藏</v>
      </c>
      <c r="B146" t="str">
        <f>IF(Report_type="正式报告 Official Report","隐藏","显示")</f>
        <v>隐藏</v>
      </c>
      <c r="E146" s="28"/>
      <c r="F146" s="28"/>
      <c r="G146" s="29"/>
      <c r="I146" s="164"/>
      <c r="J146" s="626"/>
      <c r="K146" s="627" t="str">
        <f>C80</f>
        <v>Master/Chief Officer</v>
      </c>
      <c r="L146" s="627"/>
      <c r="M146" s="627"/>
      <c r="N146" s="627"/>
      <c r="O146" s="627"/>
      <c r="P146" s="627"/>
      <c r="Q146" s="627" t="str">
        <f>C81</f>
        <v>CCIC Surveyor</v>
      </c>
      <c r="R146" s="164"/>
      <c r="S146" s="164"/>
      <c r="T146" s="626"/>
      <c r="U146" s="164"/>
    </row>
    <row r="147" ht="28.8" hidden="1" customHeight="1" spans="1:21">
      <c r="A147" t="str">
        <f t="shared" si="6"/>
        <v>隐藏</v>
      </c>
      <c r="B147" t="str">
        <f>IF(Report_type="正式报告 Official Report","隐藏","显示")</f>
        <v>隐藏</v>
      </c>
      <c r="E147" s="28"/>
      <c r="F147" s="28"/>
      <c r="G147" s="29"/>
      <c r="I147" s="164"/>
      <c r="J147" s="626"/>
      <c r="K147" s="628" t="str">
        <f>C82</f>
        <v>Name</v>
      </c>
      <c r="L147" s="629"/>
      <c r="M147" s="629"/>
      <c r="N147" s="629"/>
      <c r="O147" s="628"/>
      <c r="P147" s="628"/>
      <c r="Q147" s="628" t="str">
        <f>C82</f>
        <v>Name</v>
      </c>
      <c r="R147" s="632" t="s">
        <v>10</v>
      </c>
      <c r="S147" s="632"/>
      <c r="T147" s="632"/>
      <c r="U147" s="164"/>
    </row>
    <row r="148" ht="28.8" hidden="1" customHeight="1" spans="1:36">
      <c r="A148" t="str">
        <f t="shared" si="6"/>
        <v>隐藏</v>
      </c>
      <c r="B148" t="str">
        <f>IF(Report_type="正式报告 Official Report","隐藏","显示")</f>
        <v>隐藏</v>
      </c>
      <c r="E148" s="28"/>
      <c r="F148" s="28"/>
      <c r="G148" s="29"/>
      <c r="I148" s="164"/>
      <c r="J148" s="626"/>
      <c r="K148" s="628" t="str">
        <f>C83</f>
        <v>Signature</v>
      </c>
      <c r="L148" s="630"/>
      <c r="M148" s="630"/>
      <c r="N148" s="630"/>
      <c r="O148" s="628"/>
      <c r="P148" s="628"/>
      <c r="Q148" s="628" t="str">
        <f>C83</f>
        <v>Signature</v>
      </c>
      <c r="R148" s="633"/>
      <c r="S148" s="633"/>
      <c r="T148" s="633"/>
      <c r="U148" s="164"/>
      <c r="X148"/>
      <c r="Y148"/>
      <c r="Z148"/>
      <c r="AA148"/>
      <c r="AB148"/>
      <c r="AC148"/>
      <c r="AD148"/>
      <c r="AE148"/>
      <c r="AF148"/>
      <c r="AG148"/>
      <c r="AH148"/>
      <c r="AI148"/>
      <c r="AJ148"/>
    </row>
    <row r="149" ht="16.5" spans="1:36">
      <c r="A149" t="str">
        <f t="shared" si="6"/>
        <v>显示</v>
      </c>
      <c r="E149" s="28"/>
      <c r="F149" s="28"/>
      <c r="G149" s="29"/>
      <c r="I149" s="164"/>
      <c r="J149" s="164"/>
      <c r="K149" s="164"/>
      <c r="L149" s="164"/>
      <c r="M149" s="164"/>
      <c r="N149" s="164"/>
      <c r="O149" s="164"/>
      <c r="P149" s="164"/>
      <c r="Q149" s="164"/>
      <c r="R149" s="164"/>
      <c r="S149" s="164"/>
      <c r="T149" s="626"/>
      <c r="U149" s="164"/>
      <c r="X149"/>
      <c r="Y149"/>
      <c r="Z149"/>
      <c r="AA149"/>
      <c r="AB149"/>
      <c r="AC149"/>
      <c r="AD149"/>
      <c r="AE149"/>
      <c r="AF149"/>
      <c r="AG149"/>
      <c r="AH149"/>
      <c r="AI149"/>
      <c r="AJ149"/>
    </row>
    <row r="150" ht="16.5" spans="1:36">
      <c r="A150" t="str">
        <f t="shared" si="6"/>
        <v>显示</v>
      </c>
      <c r="E150" s="28"/>
      <c r="F150" s="28"/>
      <c r="G150" s="29"/>
      <c r="I150" s="164"/>
      <c r="J150" s="164"/>
      <c r="K150" s="164"/>
      <c r="L150" s="164"/>
      <c r="M150" s="164"/>
      <c r="N150" s="164"/>
      <c r="O150" s="164"/>
      <c r="P150" s="164"/>
      <c r="Q150" s="164"/>
      <c r="R150" s="164"/>
      <c r="S150" s="164"/>
      <c r="T150" s="626"/>
      <c r="U150" s="164"/>
      <c r="X150"/>
      <c r="Y150"/>
      <c r="Z150"/>
      <c r="AA150"/>
      <c r="AB150"/>
      <c r="AC150"/>
      <c r="AD150"/>
      <c r="AE150"/>
      <c r="AF150"/>
      <c r="AG150"/>
      <c r="AH150"/>
      <c r="AI150"/>
      <c r="AJ150"/>
    </row>
    <row r="151" ht="43.2" customHeight="1" spans="1:36">
      <c r="A151" t="str">
        <f t="shared" si="6"/>
        <v>显示</v>
      </c>
      <c r="B151" t="str">
        <f>IF(Report_type="正式报告 Official Report","显示","隐藏")</f>
        <v>显示</v>
      </c>
      <c r="E151" s="28"/>
      <c r="F151" s="28"/>
      <c r="G151" s="29"/>
      <c r="I151" s="164"/>
      <c r="J151" s="164"/>
      <c r="K151" s="164"/>
      <c r="L151" s="164"/>
      <c r="M151" s="164"/>
      <c r="N151" s="164"/>
      <c r="O151" s="164"/>
      <c r="P151" s="164"/>
      <c r="Q151" s="164"/>
      <c r="R151" s="164"/>
      <c r="S151" s="634"/>
      <c r="T151" s="626"/>
      <c r="U151" s="164"/>
      <c r="X151"/>
      <c r="Y151"/>
      <c r="Z151"/>
      <c r="AA151"/>
      <c r="AB151"/>
      <c r="AC151"/>
      <c r="AD151"/>
      <c r="AE151"/>
      <c r="AF151"/>
      <c r="AG151"/>
      <c r="AH151"/>
      <c r="AI151"/>
      <c r="AJ151"/>
    </row>
    <row r="152" ht="16.5" spans="1:36">
      <c r="A152" t="str">
        <f t="shared" si="6"/>
        <v>显示</v>
      </c>
      <c r="B152" t="str">
        <f>IF(Report_type="正式报告 Official Report","显示","隐藏")</f>
        <v>显示</v>
      </c>
      <c r="E152" s="28"/>
      <c r="F152" s="28"/>
      <c r="G152" s="29"/>
      <c r="I152" s="164"/>
      <c r="J152" s="164"/>
      <c r="K152" s="164"/>
      <c r="L152" s="164"/>
      <c r="M152" s="164"/>
      <c r="N152" s="164"/>
      <c r="O152" s="164"/>
      <c r="P152" s="164"/>
      <c r="Q152" s="635" t="str">
        <f>C84</f>
        <v>Authorized Signature (S)</v>
      </c>
      <c r="R152" s="635"/>
      <c r="S152" s="164"/>
      <c r="T152" s="626"/>
      <c r="U152" s="164"/>
      <c r="X152"/>
      <c r="Y152"/>
      <c r="Z152"/>
      <c r="AA152"/>
      <c r="AB152"/>
      <c r="AC152"/>
      <c r="AD152"/>
      <c r="AE152"/>
      <c r="AF152"/>
      <c r="AG152"/>
      <c r="AH152"/>
      <c r="AI152"/>
      <c r="AJ152"/>
    </row>
    <row r="153" ht="16.5" spans="1:36">
      <c r="A153" t="str">
        <f t="shared" si="6"/>
        <v>显示</v>
      </c>
      <c r="D153" s="37"/>
      <c r="E153" s="28"/>
      <c r="F153" s="38"/>
      <c r="G153" s="29"/>
      <c r="I153" s="164"/>
      <c r="J153" s="164"/>
      <c r="K153" s="164"/>
      <c r="L153" s="164"/>
      <c r="M153" s="164"/>
      <c r="N153" s="164"/>
      <c r="O153" s="164"/>
      <c r="P153" s="164"/>
      <c r="Q153" s="164"/>
      <c r="R153" s="164"/>
      <c r="S153" s="164"/>
      <c r="T153" s="164"/>
      <c r="U153" s="164"/>
      <c r="X153"/>
      <c r="Y153"/>
      <c r="Z153"/>
      <c r="AA153"/>
      <c r="AB153"/>
      <c r="AC153"/>
      <c r="AD153"/>
      <c r="AE153"/>
      <c r="AF153"/>
      <c r="AG153"/>
      <c r="AH153"/>
      <c r="AI153"/>
      <c r="AJ153"/>
    </row>
    <row r="154" ht="16.5" spans="1:36">
      <c r="A154" t="str">
        <f t="shared" si="6"/>
        <v>显示</v>
      </c>
      <c r="D154" s="37"/>
      <c r="E154" s="28"/>
      <c r="F154" s="38"/>
      <c r="G154" s="29"/>
      <c r="I154" s="631" t="str">
        <f>C85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54" s="631"/>
      <c r="K154" s="631"/>
      <c r="L154" s="631"/>
      <c r="M154" s="631"/>
      <c r="N154" s="631"/>
      <c r="O154" s="631"/>
      <c r="P154" s="631"/>
      <c r="Q154" s="631"/>
      <c r="R154" s="631"/>
      <c r="S154" s="631"/>
      <c r="T154" s="631"/>
      <c r="U154" s="631"/>
      <c r="X154"/>
      <c r="Y154"/>
      <c r="Z154"/>
      <c r="AA154"/>
      <c r="AB154"/>
      <c r="AC154"/>
      <c r="AD154"/>
      <c r="AE154"/>
      <c r="AF154"/>
      <c r="AG154"/>
      <c r="AH154"/>
      <c r="AI154"/>
      <c r="AJ154"/>
    </row>
    <row r="155" ht="16.5" spans="4:36">
      <c r="D155" s="37"/>
      <c r="E155" s="28"/>
      <c r="F155" s="38"/>
      <c r="G155" s="29"/>
      <c r="X155"/>
      <c r="Y155"/>
      <c r="Z155"/>
      <c r="AA155"/>
      <c r="AB155"/>
      <c r="AC155"/>
      <c r="AD155"/>
      <c r="AE155"/>
      <c r="AF155"/>
      <c r="AG155"/>
      <c r="AH155"/>
      <c r="AI155"/>
      <c r="AJ155"/>
    </row>
    <row r="156" ht="16.5" spans="4:36">
      <c r="D156" s="37"/>
      <c r="E156" s="38"/>
      <c r="F156" s="38"/>
      <c r="G156" s="29"/>
      <c r="X156"/>
      <c r="Y156"/>
      <c r="Z156"/>
      <c r="AA156"/>
      <c r="AB156"/>
      <c r="AC156"/>
      <c r="AD156"/>
      <c r="AE156"/>
      <c r="AF156"/>
      <c r="AG156"/>
      <c r="AH156"/>
      <c r="AI156"/>
      <c r="AJ156"/>
    </row>
    <row r="157" spans="24:36">
      <c r="X157"/>
      <c r="Y157"/>
      <c r="Z157"/>
      <c r="AA157"/>
      <c r="AB157"/>
      <c r="AC157"/>
      <c r="AD157"/>
      <c r="AE157"/>
      <c r="AF157"/>
      <c r="AG157"/>
      <c r="AH157"/>
      <c r="AI157"/>
      <c r="AJ157"/>
    </row>
    <row r="158" spans="24:36">
      <c r="X158"/>
      <c r="Y158"/>
      <c r="Z158"/>
      <c r="AA158"/>
      <c r="AB158"/>
      <c r="AC158"/>
      <c r="AD158"/>
      <c r="AE158"/>
      <c r="AF158"/>
      <c r="AG158"/>
      <c r="AH158"/>
      <c r="AI158"/>
      <c r="AJ158"/>
    </row>
    <row r="159" spans="24:38">
      <c r="X159"/>
      <c r="Y159"/>
      <c r="Z159"/>
      <c r="AA159"/>
      <c r="AB159"/>
      <c r="AC159"/>
      <c r="AD159"/>
      <c r="AE159"/>
      <c r="AF159"/>
      <c r="AG159"/>
      <c r="AH159"/>
      <c r="AI159"/>
      <c r="AJ159"/>
      <c r="AL159" s="373"/>
    </row>
    <row r="160" spans="24:36">
      <c r="X160"/>
      <c r="Y160"/>
      <c r="Z160"/>
      <c r="AA160"/>
      <c r="AB160"/>
      <c r="AC160"/>
      <c r="AD160"/>
      <c r="AE160"/>
      <c r="AF160"/>
      <c r="AG160"/>
      <c r="AH160"/>
      <c r="AI160"/>
      <c r="AJ160"/>
    </row>
    <row r="161" spans="24:36">
      <c r="X161"/>
      <c r="Y161"/>
      <c r="Z161"/>
      <c r="AA161"/>
      <c r="AB161"/>
      <c r="AC161"/>
      <c r="AD161"/>
      <c r="AE161"/>
      <c r="AF161"/>
      <c r="AG161"/>
      <c r="AH161"/>
      <c r="AI161"/>
      <c r="AJ161"/>
    </row>
    <row r="162" spans="24:25">
      <c r="X162"/>
      <c r="Y162"/>
    </row>
    <row r="163" spans="24:25">
      <c r="X163"/>
      <c r="Y163"/>
    </row>
    <row r="164" spans="24:25">
      <c r="X164"/>
      <c r="Y164"/>
    </row>
    <row r="165" spans="24:25">
      <c r="X165"/>
      <c r="Y165"/>
    </row>
    <row r="166" spans="24:25">
      <c r="X166"/>
      <c r="Y166"/>
    </row>
    <row r="169" spans="24:36">
      <c r="X169" s="636"/>
      <c r="Y169" s="377"/>
      <c r="Z169" s="377"/>
      <c r="AA169" s="377"/>
      <c r="AB169" s="377"/>
      <c r="AC169" s="377"/>
      <c r="AD169" s="377"/>
      <c r="AE169" s="639"/>
      <c r="AF169" s="377"/>
      <c r="AG169" s="377"/>
      <c r="AH169" s="377"/>
      <c r="AI169" s="377"/>
      <c r="AJ169" s="377"/>
    </row>
    <row r="170" spans="24:36">
      <c r="X170" s="637"/>
      <c r="Y170" s="377"/>
      <c r="Z170" s="377"/>
      <c r="AA170" s="377"/>
      <c r="AB170" s="377"/>
      <c r="AC170" s="377"/>
      <c r="AD170" s="377"/>
      <c r="AE170" s="619"/>
      <c r="AF170" s="377"/>
      <c r="AG170" s="377"/>
      <c r="AH170" s="377"/>
      <c r="AI170" s="377"/>
      <c r="AJ170" s="377"/>
    </row>
    <row r="171" spans="24:36">
      <c r="X171" s="637"/>
      <c r="Y171" s="377"/>
      <c r="Z171" s="377"/>
      <c r="AA171" s="377"/>
      <c r="AB171" s="377"/>
      <c r="AC171" s="377"/>
      <c r="AD171" s="377"/>
      <c r="AE171" s="619"/>
      <c r="AF171" s="377"/>
      <c r="AG171" s="377"/>
      <c r="AH171" s="377"/>
      <c r="AI171" s="377"/>
      <c r="AJ171" s="377"/>
    </row>
    <row r="172" spans="24:36">
      <c r="X172" s="377"/>
      <c r="Y172" s="377"/>
      <c r="Z172" s="377"/>
      <c r="AA172" s="377"/>
      <c r="AB172" s="377"/>
      <c r="AC172" s="377"/>
      <c r="AD172" s="377"/>
      <c r="AE172" s="377"/>
      <c r="AF172" s="377"/>
      <c r="AG172" s="377"/>
      <c r="AH172" s="377"/>
      <c r="AI172" s="377"/>
      <c r="AJ172" s="377"/>
    </row>
    <row r="173" spans="24:36">
      <c r="X173" s="377"/>
      <c r="Y173" s="377"/>
      <c r="Z173" s="377"/>
      <c r="AA173" s="377"/>
      <c r="AB173" s="377"/>
      <c r="AC173" s="377"/>
      <c r="AD173" s="377"/>
      <c r="AE173" s="377"/>
      <c r="AF173" s="640"/>
      <c r="AG173" s="377"/>
      <c r="AH173" s="377"/>
      <c r="AI173" s="377"/>
      <c r="AJ173" s="377"/>
    </row>
    <row r="174" spans="24:36">
      <c r="X174" s="377"/>
      <c r="Y174" s="377"/>
      <c r="Z174" s="377"/>
      <c r="AA174" s="377"/>
      <c r="AB174" s="377"/>
      <c r="AC174" s="377"/>
      <c r="AD174" s="377"/>
      <c r="AE174" s="377"/>
      <c r="AF174" s="641"/>
      <c r="AG174" s="377"/>
      <c r="AH174" s="377"/>
      <c r="AI174" s="377"/>
      <c r="AJ174" s="377"/>
    </row>
    <row r="175" spans="24:36">
      <c r="X175" s="377"/>
      <c r="Y175" s="377"/>
      <c r="Z175" s="377"/>
      <c r="AA175" s="377"/>
      <c r="AB175" s="377"/>
      <c r="AC175" s="377"/>
      <c r="AD175" s="377"/>
      <c r="AE175" s="377"/>
      <c r="AF175" s="377"/>
      <c r="AG175" s="377"/>
      <c r="AH175" s="377"/>
      <c r="AI175" s="377"/>
      <c r="AJ175" s="377"/>
    </row>
    <row r="176" spans="24:36">
      <c r="X176" s="377"/>
      <c r="Y176" s="377"/>
      <c r="Z176" s="377"/>
      <c r="AA176" s="377"/>
      <c r="AB176" s="377"/>
      <c r="AC176" s="377"/>
      <c r="AD176" s="377"/>
      <c r="AE176" s="377"/>
      <c r="AF176" s="377"/>
      <c r="AG176" s="377"/>
      <c r="AH176" s="377"/>
      <c r="AI176" s="377"/>
      <c r="AJ176" s="377"/>
    </row>
    <row r="177" spans="24:36">
      <c r="X177" s="377"/>
      <c r="Y177" s="377"/>
      <c r="Z177" s="377"/>
      <c r="AA177" s="377"/>
      <c r="AB177" s="377"/>
      <c r="AC177" s="377"/>
      <c r="AD177" s="377"/>
      <c r="AE177" s="377"/>
      <c r="AF177" s="377"/>
      <c r="AG177" s="377"/>
      <c r="AH177" s="377"/>
      <c r="AI177" s="377"/>
      <c r="AJ177" s="377"/>
    </row>
    <row r="178" ht="13.8" customHeight="1" spans="24:36">
      <c r="X178" s="638"/>
      <c r="Y178" s="638"/>
      <c r="Z178" s="638"/>
      <c r="AA178" s="638"/>
      <c r="AB178" s="638"/>
      <c r="AC178" s="638"/>
      <c r="AD178" s="638"/>
      <c r="AE178" s="638"/>
      <c r="AF178" s="638"/>
      <c r="AG178" s="638"/>
      <c r="AH178" s="638"/>
      <c r="AI178" s="638"/>
      <c r="AJ178" s="638"/>
    </row>
    <row r="179" spans="24:36">
      <c r="X179" s="377"/>
      <c r="Y179" s="377"/>
      <c r="Z179" s="377"/>
      <c r="AA179" s="377"/>
      <c r="AB179" s="377"/>
      <c r="AC179" s="377"/>
      <c r="AD179" s="377"/>
      <c r="AE179" s="377"/>
      <c r="AF179" s="377"/>
      <c r="AG179" s="377"/>
      <c r="AH179" s="377"/>
      <c r="AI179" s="377"/>
      <c r="AJ179" s="377"/>
    </row>
    <row r="180" spans="24:36">
      <c r="X180" s="377"/>
      <c r="Y180" s="377"/>
      <c r="Z180" s="377"/>
      <c r="AA180" s="377"/>
      <c r="AB180" s="377"/>
      <c r="AC180" s="377"/>
      <c r="AD180" s="377"/>
      <c r="AE180" s="377"/>
      <c r="AF180" s="377"/>
      <c r="AG180" s="377"/>
      <c r="AH180" s="377"/>
      <c r="AI180" s="377"/>
      <c r="AJ180" s="377"/>
    </row>
    <row r="181" spans="24:36">
      <c r="X181" s="377"/>
      <c r="Y181" s="377"/>
      <c r="Z181" s="377"/>
      <c r="AA181" s="377"/>
      <c r="AB181" s="377"/>
      <c r="AC181" s="377"/>
      <c r="AD181" s="377"/>
      <c r="AE181" s="377"/>
      <c r="AF181" s="377"/>
      <c r="AG181" s="377"/>
      <c r="AH181" s="377"/>
      <c r="AI181" s="377"/>
      <c r="AJ181" s="377"/>
    </row>
  </sheetData>
  <mergeCells count="38">
    <mergeCell ref="O93:P93"/>
    <mergeCell ref="Q93:U93"/>
    <mergeCell ref="O94:P94"/>
    <mergeCell ref="Q94:U94"/>
    <mergeCell ref="O95:P95"/>
    <mergeCell ref="Q95:U95"/>
    <mergeCell ref="O96:P96"/>
    <mergeCell ref="Q96:U96"/>
    <mergeCell ref="O97:P97"/>
    <mergeCell ref="Q97:U97"/>
    <mergeCell ref="O98:P98"/>
    <mergeCell ref="Q98:U98"/>
    <mergeCell ref="O99:P99"/>
    <mergeCell ref="Q99:U99"/>
    <mergeCell ref="AI100:AJ100"/>
    <mergeCell ref="T101:U101"/>
    <mergeCell ref="AI101:AJ101"/>
    <mergeCell ref="K102:L102"/>
    <mergeCell ref="K103:L103"/>
    <mergeCell ref="S103:T103"/>
    <mergeCell ref="P135:R135"/>
    <mergeCell ref="P136:R136"/>
    <mergeCell ref="I137:U137"/>
    <mergeCell ref="P138:R138"/>
    <mergeCell ref="P139:R139"/>
    <mergeCell ref="R147:T147"/>
    <mergeCell ref="I154:U154"/>
    <mergeCell ref="I105:I106"/>
    <mergeCell ref="O135:O136"/>
    <mergeCell ref="O138:O139"/>
    <mergeCell ref="P105:P106"/>
    <mergeCell ref="Q105:Q106"/>
    <mergeCell ref="S105:S106"/>
    <mergeCell ref="S138:T139"/>
    <mergeCell ref="L135:N136"/>
    <mergeCell ref="S135:T136"/>
    <mergeCell ref="L138:N139"/>
    <mergeCell ref="I93:N99"/>
  </mergeCells>
  <dataValidations count="8">
    <dataValidation type="list" allowBlank="1" showInputMessage="1" showErrorMessage="1" sqref="S107:S123">
      <formula1>$K$35:$K$36</formula1>
    </dataValidation>
    <dataValidation type="list" allowBlank="1" showInputMessage="1" showErrorMessage="1" sqref="R106">
      <formula1>$K$30:$K$31</formula1>
    </dataValidation>
    <dataValidation type="list" allowBlank="1" showInputMessage="1" showErrorMessage="1" sqref="X65647:AA65647 X131183:AA131183 X196719:AA196719 X262255:AA262255 X327791:AA327791 X393327:AA393327 X458863:AA458863 X524399:AA524399 X589935:AA589935 X655471:AA655471 X721007:AA721007 X786543:AA786543 X852079:AA852079 X917615:AA917615 X983151:AA983151">
      <formula1>$B$1:$C$1</formula1>
    </dataValidation>
    <dataValidation allowBlank="1" showInputMessage="1" showErrorMessage="1" prompt="Please Choose&#10;if Draft Fwd&gt;Aft, choose &quot;m By Head&quot;&#10;otherwise, choose &quot;m By Stern&quot;&#10;如果艏吃水大于艉吃水，选择”米 艏倾“&#10;否则，选择”米 艉倾“" sqref="AF109 AF65657 AF131193 AF196729 AF262265 AF327801 AF393337 AF458873 AF524409 AF589945 AF655481 AF721017 AF786553 AF852089 AF917625 AF983161"/>
    <dataValidation type="list" allowBlank="1" showInputMessage="1" showErrorMessage="1" sqref="AB65647:AD65647 AB131183:AD131183 AB196719:AD196719 AB262255:AD262255 AB327791:AD327791 AB393327:AD393327 AB458863:AD458863 AB524399:AD524399 AB589935:AD589935 AB655471:AD655471 AB721007:AD721007 AB786543:AD786543 AB852079:AD852079 AB917615:AD917615 AB983151:AD983151">
      <formula1>"现场报告 Field Report,正式报告 Official Report"</formula1>
    </dataValidation>
    <dataValidation type="list" allowBlank="1" showInputMessage="1" showErrorMessage="1" sqref="AE65647:AG65647 AE131183:AG131183 AE196719:AG196719 AE262255:AG262255 AE327791:AG327791 AE393327:AG393327 AE458863:AG458863 AE524399:AG524399 AE589935:AG589935 AE655471:AG655471 AE721007:AG721007 AE786543:AG786543 AE852079:AG852079 AE917615:AG917615 AE983151:AG983151">
      <formula1>"A--原油 Crude Oil,B--成品油 Refined Products,C--特殊应用 Special Application,D--滑油类 Lubricating Oils"</formula1>
    </dataValidation>
    <dataValidation type="list" allowBlank="1" showInputMessage="1" showErrorMessage="1" sqref="AH65664:AH65680 AH131200:AH131216 AH196736:AH196752 AH262272:AH262288 AH327808:AH327824 AH393344:AH393360 AH458880:AH458896 AH524416:AH524432 AH589952:AH589968 AH655488:AH655504 AH721024:AH721040 AH786560:AH786576 AH852096:AH852112 AH917632:AH917648 AH983168:AH983184">
      <formula1>OFFSET($D$35:$D$36,,,2)</formula1>
    </dataValidation>
    <dataValidation type="list" allowBlank="1" showInputMessage="1" showErrorMessage="1" sqref="AG65663 AG131199 AG196735 AG262271 AG327807 AG393343 AG458879 AG524415 AG589951 AG655487 AG721023 AG786559 AG852095 AG917631 AG983167">
      <formula1>OFFSET($D$30:$D$31,,,2)</formula1>
    </dataValidation>
  </dataValidations>
  <pageMargins left="0.511811023622047" right="0.354330708661417" top="0.354330708661417" bottom="0.47244094488189" header="0.31496062992126" footer="0.31496062992126"/>
  <pageSetup paperSize="9" orientation="portrait"/>
  <headerFooter>
    <oddHeader>&amp;L&amp;G</oddHeader>
  </headerFooter>
  <drawing r:id="rId1"/>
  <legacyDrawing r:id="rId2"/>
  <legacyDrawingHF r:id="rId4"/>
  <mc:AlternateContent xmlns:mc="http://schemas.openxmlformats.org/markup-compatibility/2006">
    <mc:Choice Requires="x14">
      <controls>
        <mc:AlternateContent xmlns:mc="http://schemas.openxmlformats.org/markup-compatibility/2006">
          <mc:Choice Requires="x14">
            <control shapeId="9229" name="Button 13" r:id="rId3">
              <controlPr print="0" defaultSize="0">
                <anchor moveWithCells="1">
                  <from>
                    <xdr:col>21</xdr:col>
                    <xdr:colOff>388620</xdr:colOff>
                    <xdr:row>100</xdr:row>
                    <xdr:rowOff>22860</xdr:rowOff>
                  </from>
                  <to>
                    <xdr:col>27</xdr:col>
                    <xdr:colOff>335280</xdr:colOff>
                    <xdr:row>101</xdr:row>
                    <xdr:rowOff>121920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AD139"/>
  <sheetViews>
    <sheetView showGridLines="0" topLeftCell="I113" workbookViewId="0">
      <selection activeCell="I123" sqref="I123"/>
    </sheetView>
  </sheetViews>
  <sheetFormatPr defaultColWidth="9" defaultRowHeight="14.25"/>
  <cols>
    <col min="1" max="7" width="8.88333333333333" hidden="1" customWidth="1"/>
    <col min="8" max="8" width="5.88333333333333" hidden="1" customWidth="1"/>
    <col min="9" max="9" width="7.55833333333333" customWidth="1"/>
    <col min="10" max="10" width="12.775" customWidth="1"/>
    <col min="11" max="11" width="13.4416666666667" customWidth="1"/>
    <col min="12" max="12" width="13.2166666666667" customWidth="1"/>
    <col min="13" max="13" width="13.3333333333333" customWidth="1"/>
    <col min="14" max="17" width="10.8833333333333" customWidth="1"/>
    <col min="18" max="19" width="12.775" customWidth="1"/>
    <col min="20" max="20" width="7.33333333333333" style="526" customWidth="1"/>
    <col min="21" max="24" width="12.775" style="526" customWidth="1"/>
    <col min="25" max="28" width="10.775" style="526" customWidth="1"/>
    <col min="29" max="30" width="12.775" style="526" customWidth="1"/>
    <col min="31" max="16384" width="8.88333333333333"/>
  </cols>
  <sheetData>
    <row r="1" ht="15" hidden="1" customHeight="1" spans="1:19">
      <c r="A1" s="1" t="s">
        <v>13</v>
      </c>
      <c r="B1" s="1" t="s">
        <v>14</v>
      </c>
      <c r="C1" s="2"/>
      <c r="D1" t="s">
        <v>2</v>
      </c>
      <c r="E1">
        <v>1</v>
      </c>
      <c r="F1" t="str">
        <f>INDEX(D1:D2,E1,0)</f>
        <v>英文 English</v>
      </c>
      <c r="J1" s="474" t="s">
        <v>791</v>
      </c>
      <c r="K1" s="474" t="s">
        <v>792</v>
      </c>
      <c r="L1" s="474" t="str">
        <f t="shared" ref="L1:L32" si="0">IF(Report_Language=$A$1,J1,K1)</f>
        <v>英文 English</v>
      </c>
      <c r="R1" s="25"/>
      <c r="S1" s="26"/>
    </row>
    <row r="2" hidden="1" spans="1:19">
      <c r="A2" s="3" t="s">
        <v>15</v>
      </c>
      <c r="B2" s="3" t="s">
        <v>16</v>
      </c>
      <c r="C2" s="2" t="str">
        <f t="shared" ref="C2:C33" si="1">IF(Report_Language=$A$1,A2,B2)</f>
        <v>JOB NO.</v>
      </c>
      <c r="D2" t="s">
        <v>1</v>
      </c>
      <c r="E2">
        <v>2</v>
      </c>
      <c r="F2" t="str">
        <f>INDEX(D26:D27,E2,0)</f>
        <v>正式报告 Official Report</v>
      </c>
      <c r="J2" s="474" t="s">
        <v>793</v>
      </c>
      <c r="K2" s="527" t="s">
        <v>794</v>
      </c>
      <c r="L2" s="474" t="str">
        <f t="shared" si="0"/>
        <v>FREE WATER MEASUREMENT REPORT</v>
      </c>
      <c r="R2" s="25"/>
      <c r="S2" s="28"/>
    </row>
    <row r="3" hidden="1" spans="1:19">
      <c r="A3" s="4" t="s">
        <v>17</v>
      </c>
      <c r="B3" s="4" t="s">
        <v>18</v>
      </c>
      <c r="C3" s="2" t="str">
        <f t="shared" si="1"/>
        <v>DATE OF REPORT</v>
      </c>
      <c r="D3" s="5" t="s">
        <v>88</v>
      </c>
      <c r="E3">
        <v>2</v>
      </c>
      <c r="F3" t="str">
        <f>INDEX(D28:D31,E3,0)</f>
        <v>B--成品油 Refined Products</v>
      </c>
      <c r="G3" t="str">
        <f>LEFT(F3,1)</f>
        <v>B</v>
      </c>
      <c r="J3" s="474" t="s">
        <v>15</v>
      </c>
      <c r="K3" s="527" t="s">
        <v>432</v>
      </c>
      <c r="L3" s="474" t="str">
        <f t="shared" si="0"/>
        <v>JOB NO.</v>
      </c>
      <c r="R3" s="25"/>
      <c r="S3" s="28"/>
    </row>
    <row r="4" hidden="1" spans="1:19">
      <c r="A4" s="3" t="s">
        <v>20</v>
      </c>
      <c r="B4" s="3" t="s">
        <v>21</v>
      </c>
      <c r="C4" s="2" t="str">
        <f t="shared" si="1"/>
        <v>APPLICANT</v>
      </c>
      <c r="D4" s="5" t="s">
        <v>91</v>
      </c>
      <c r="E4">
        <v>5</v>
      </c>
      <c r="F4" t="str">
        <f>INDEX(D3:D20,E4,0)</f>
        <v>T-24A</v>
      </c>
      <c r="J4" s="474" t="s">
        <v>17</v>
      </c>
      <c r="K4" s="527" t="s">
        <v>434</v>
      </c>
      <c r="L4" s="474" t="str">
        <f t="shared" si="0"/>
        <v>DATE OF REPORT</v>
      </c>
      <c r="R4" s="25"/>
      <c r="S4" s="28"/>
    </row>
    <row r="5" hidden="1" spans="1:19">
      <c r="A5" s="4" t="s">
        <v>23</v>
      </c>
      <c r="B5" s="4" t="s">
        <v>24</v>
      </c>
      <c r="C5" s="2" t="str">
        <f t="shared" si="1"/>
        <v>CLIENT'S REF. NO.</v>
      </c>
      <c r="D5" s="5" t="s">
        <v>92</v>
      </c>
      <c r="E5">
        <v>2</v>
      </c>
      <c r="F5">
        <f>INDEX(D23:D25,E5,0)</f>
        <v>1980</v>
      </c>
      <c r="J5" s="474" t="s">
        <v>20</v>
      </c>
      <c r="K5" s="527" t="s">
        <v>436</v>
      </c>
      <c r="L5" s="474" t="str">
        <f t="shared" si="0"/>
        <v>APPLICANT</v>
      </c>
      <c r="R5" s="25"/>
      <c r="S5" s="28"/>
    </row>
    <row r="6" hidden="1" spans="1:19">
      <c r="A6" s="3" t="s">
        <v>25</v>
      </c>
      <c r="B6" s="3" t="s">
        <v>26</v>
      </c>
      <c r="C6" s="2" t="str">
        <f t="shared" si="1"/>
        <v>COMMODITY</v>
      </c>
      <c r="D6" s="5" t="s">
        <v>95</v>
      </c>
      <c r="E6">
        <v>2</v>
      </c>
      <c r="F6" t="str">
        <f>INDEX(D21:D22,E6,0)</f>
        <v>API MPMS 11.5 (2013)</v>
      </c>
      <c r="J6" s="474" t="s">
        <v>23</v>
      </c>
      <c r="K6" s="527" t="s">
        <v>438</v>
      </c>
      <c r="L6" s="474" t="str">
        <f t="shared" si="0"/>
        <v>CLIENT'S REF. NO.</v>
      </c>
      <c r="R6" s="25"/>
      <c r="S6" s="28"/>
    </row>
    <row r="7" hidden="1" spans="1:19">
      <c r="A7" s="4" t="s">
        <v>28</v>
      </c>
      <c r="B7" s="4" t="s">
        <v>29</v>
      </c>
      <c r="C7" s="2" t="str">
        <f t="shared" si="1"/>
        <v>VESSEL</v>
      </c>
      <c r="D7" s="5" t="s">
        <v>98</v>
      </c>
      <c r="E7">
        <v>4</v>
      </c>
      <c r="F7" t="str">
        <f>IF(E7=1,"Den15",IF(E7=2,"Den20",IF(E7=3,"API","SG")))</f>
        <v>SG</v>
      </c>
      <c r="J7" s="474" t="s">
        <v>25</v>
      </c>
      <c r="K7" s="527" t="s">
        <v>439</v>
      </c>
      <c r="L7" s="474" t="str">
        <f t="shared" si="0"/>
        <v>COMMODITY</v>
      </c>
      <c r="R7" s="25"/>
      <c r="S7" s="28"/>
    </row>
    <row r="8" hidden="1" spans="1:19">
      <c r="A8" s="3" t="s">
        <v>31</v>
      </c>
      <c r="B8" s="3" t="s">
        <v>32</v>
      </c>
      <c r="C8" s="2" t="str">
        <f t="shared" si="1"/>
        <v>PORT</v>
      </c>
      <c r="D8" s="5" t="s">
        <v>101</v>
      </c>
      <c r="J8" s="474" t="s">
        <v>28</v>
      </c>
      <c r="K8" s="527" t="s">
        <v>440</v>
      </c>
      <c r="L8" s="474" t="str">
        <f t="shared" si="0"/>
        <v>VESSEL</v>
      </c>
      <c r="R8" s="25"/>
      <c r="S8" s="28"/>
    </row>
    <row r="9" hidden="1" spans="1:19">
      <c r="A9" s="6" t="s">
        <v>34</v>
      </c>
      <c r="B9" s="4" t="s">
        <v>35</v>
      </c>
      <c r="C9" s="2" t="str">
        <f t="shared" si="1"/>
        <v>TERMINAL</v>
      </c>
      <c r="D9" s="5" t="s">
        <v>104</v>
      </c>
      <c r="J9" s="474" t="s">
        <v>31</v>
      </c>
      <c r="K9" s="527" t="s">
        <v>441</v>
      </c>
      <c r="L9" s="474" t="str">
        <f t="shared" si="0"/>
        <v>PORT</v>
      </c>
      <c r="R9" s="25"/>
      <c r="S9" s="28"/>
    </row>
    <row r="10" ht="15" hidden="1" customHeight="1" spans="1:19">
      <c r="A10" s="4" t="s">
        <v>36</v>
      </c>
      <c r="B10" s="4" t="s">
        <v>37</v>
      </c>
      <c r="C10" s="2" t="str">
        <f t="shared" si="1"/>
        <v>DATE OF INSPECTION</v>
      </c>
      <c r="D10" s="5" t="s">
        <v>107</v>
      </c>
      <c r="J10" s="474" t="s">
        <v>36</v>
      </c>
      <c r="K10" s="527" t="s">
        <v>442</v>
      </c>
      <c r="L10" s="474" t="str">
        <f t="shared" si="0"/>
        <v>DATE OF INSPECTION</v>
      </c>
      <c r="R10" s="25"/>
      <c r="S10" s="28"/>
    </row>
    <row r="11" hidden="1" spans="1:19">
      <c r="A11" s="7" t="s">
        <v>44</v>
      </c>
      <c r="B11" s="2" t="str">
        <f>A11</f>
        <v>SG0020031202-I</v>
      </c>
      <c r="C11" s="2" t="s">
        <v>45</v>
      </c>
      <c r="D11" s="5" t="s">
        <v>110</v>
      </c>
      <c r="J11" s="474" t="s">
        <v>795</v>
      </c>
      <c r="K11" s="527" t="s">
        <v>796</v>
      </c>
      <c r="L11" s="474" t="str">
        <f t="shared" si="0"/>
        <v>Draft Fwd</v>
      </c>
      <c r="R11" s="25"/>
      <c r="S11" s="28"/>
    </row>
    <row r="12" hidden="1" spans="1:19">
      <c r="A12" s="8" t="s">
        <v>46</v>
      </c>
      <c r="B12" s="2" t="str">
        <f>A12</f>
        <v>YYYY-MM-DD</v>
      </c>
      <c r="C12" s="2" t="s">
        <v>46</v>
      </c>
      <c r="D12" s="5" t="s">
        <v>113</v>
      </c>
      <c r="J12" s="474" t="s">
        <v>797</v>
      </c>
      <c r="K12" s="527" t="s">
        <v>798</v>
      </c>
      <c r="L12" s="474" t="str">
        <f t="shared" si="0"/>
        <v>Draft Aft</v>
      </c>
      <c r="R12" s="25"/>
      <c r="S12" s="28"/>
    </row>
    <row r="13" hidden="1" spans="1:19">
      <c r="A13" s="7" t="s">
        <v>48</v>
      </c>
      <c r="B13" s="9" t="s">
        <v>49</v>
      </c>
      <c r="C13" s="2" t="str">
        <f t="shared" si="1"/>
        <v>PETROCHINA </v>
      </c>
      <c r="D13" s="5" t="s">
        <v>116</v>
      </c>
      <c r="J13" s="474" t="s">
        <v>799</v>
      </c>
      <c r="K13" s="527" t="s">
        <v>800</v>
      </c>
      <c r="L13" s="474" t="str">
        <f t="shared" si="0"/>
        <v>List</v>
      </c>
      <c r="R13" s="25"/>
      <c r="S13" s="28"/>
    </row>
    <row r="14" hidden="1" spans="1:19">
      <c r="A14" s="7" t="s">
        <v>50</v>
      </c>
      <c r="B14" s="7" t="s">
        <v>117</v>
      </c>
      <c r="C14" s="2" t="s">
        <v>51</v>
      </c>
      <c r="D14" s="5" t="s">
        <v>120</v>
      </c>
      <c r="J14" s="474" t="s">
        <v>489</v>
      </c>
      <c r="K14" s="527" t="s">
        <v>490</v>
      </c>
      <c r="L14" s="474" t="str">
        <f t="shared" si="0"/>
        <v>m</v>
      </c>
      <c r="R14" s="25"/>
      <c r="S14" s="28"/>
    </row>
    <row r="15" hidden="1" spans="1:19">
      <c r="A15" s="7" t="s">
        <v>52</v>
      </c>
      <c r="B15" s="9" t="s">
        <v>53</v>
      </c>
      <c r="C15" s="2" t="str">
        <f t="shared" si="1"/>
        <v>Crude Oil6658</v>
      </c>
      <c r="D15" s="5" t="s">
        <v>123</v>
      </c>
      <c r="J15" s="474" t="s">
        <v>474</v>
      </c>
      <c r="K15" s="527" t="s">
        <v>475</v>
      </c>
      <c r="L15" s="474" t="str">
        <f t="shared" si="0"/>
        <v>Degrees P</v>
      </c>
      <c r="R15" s="25"/>
      <c r="S15" s="28"/>
    </row>
    <row r="16" hidden="1" spans="1:19">
      <c r="A16" s="7" t="s">
        <v>54</v>
      </c>
      <c r="B16" s="2" t="s">
        <v>55</v>
      </c>
      <c r="C16" s="2" t="str">
        <f t="shared" si="1"/>
        <v>MT ZhenYuanefdasdf</v>
      </c>
      <c r="D16" s="5" t="s">
        <v>126</v>
      </c>
      <c r="J16" s="474" t="s">
        <v>476</v>
      </c>
      <c r="K16" s="527" t="s">
        <v>477</v>
      </c>
      <c r="L16" s="474" t="str">
        <f t="shared" si="0"/>
        <v>Degrees S</v>
      </c>
      <c r="R16" s="25"/>
      <c r="S16" s="28"/>
    </row>
    <row r="17" ht="15.6" hidden="1" customHeight="1" spans="1:19">
      <c r="A17" s="7" t="s">
        <v>56</v>
      </c>
      <c r="B17" s="9" t="s">
        <v>57</v>
      </c>
      <c r="C17" s="2" t="str">
        <f t="shared" si="1"/>
        <v>Dalian, Chinafsadfa</v>
      </c>
      <c r="D17" s="5" t="s">
        <v>129</v>
      </c>
      <c r="J17" s="474" t="s">
        <v>472</v>
      </c>
      <c r="K17" s="527" t="s">
        <v>473</v>
      </c>
      <c r="L17" s="474" t="str">
        <f t="shared" si="0"/>
        <v>Upright</v>
      </c>
      <c r="R17" s="25"/>
      <c r="S17" s="28"/>
    </row>
    <row r="18" hidden="1" spans="1:19">
      <c r="A18" s="7" t="s">
        <v>58</v>
      </c>
      <c r="B18" s="9" t="s">
        <v>59</v>
      </c>
      <c r="C18" s="2" t="str">
        <f t="shared" si="1"/>
        <v>Dalian Chinaoil, China1325415</v>
      </c>
      <c r="D18" s="5" t="s">
        <v>132</v>
      </c>
      <c r="J18" s="474" t="s">
        <v>479</v>
      </c>
      <c r="K18" s="527" t="s">
        <v>478</v>
      </c>
      <c r="L18" s="474" t="str">
        <f t="shared" si="0"/>
        <v>Sea Condition</v>
      </c>
      <c r="R18" s="25"/>
      <c r="S18" s="28"/>
    </row>
    <row r="19" hidden="1" spans="1:19">
      <c r="A19" s="10" t="s">
        <v>133</v>
      </c>
      <c r="B19" s="11" t="str">
        <f>A19</f>
        <v>YYYY-MM-DD -- YYYY-MM-DD</v>
      </c>
      <c r="C19" s="2" t="s">
        <v>60</v>
      </c>
      <c r="D19" s="12" t="s">
        <v>136</v>
      </c>
      <c r="J19" s="474" t="s">
        <v>208</v>
      </c>
      <c r="K19" s="527" t="s">
        <v>209</v>
      </c>
      <c r="L19" s="474" t="str">
        <f t="shared" si="0"/>
        <v>Date</v>
      </c>
      <c r="R19" s="25"/>
      <c r="S19" s="28"/>
    </row>
    <row r="20" hidden="1" spans="1:19">
      <c r="A20" s="13" t="s">
        <v>137</v>
      </c>
      <c r="B20" s="13" t="s">
        <v>138</v>
      </c>
      <c r="C20" s="2" t="str">
        <f t="shared" si="1"/>
        <v>Density@15℃ (g/cm³)</v>
      </c>
      <c r="D20" s="5" t="s">
        <v>141</v>
      </c>
      <c r="J20" s="474" t="s">
        <v>212</v>
      </c>
      <c r="K20" s="527" t="s">
        <v>213</v>
      </c>
      <c r="L20" s="474" t="str">
        <f t="shared" si="0"/>
        <v>Time</v>
      </c>
      <c r="R20" s="25"/>
      <c r="S20" s="28"/>
    </row>
    <row r="21" hidden="1" spans="1:19">
      <c r="A21" s="14" t="s">
        <v>142</v>
      </c>
      <c r="B21" s="14" t="s">
        <v>143</v>
      </c>
      <c r="C21" s="2" t="str">
        <f t="shared" si="1"/>
        <v>Density@20℃ (g/cm³)</v>
      </c>
      <c r="D21" s="5" t="s">
        <v>5</v>
      </c>
      <c r="J21" s="528" t="s">
        <v>480</v>
      </c>
      <c r="K21" s="527" t="s">
        <v>481</v>
      </c>
      <c r="L21" s="474" t="str">
        <f t="shared" si="0"/>
        <v>Calm</v>
      </c>
      <c r="R21" s="25"/>
      <c r="S21" s="28"/>
    </row>
    <row r="22" ht="15" hidden="1" customHeight="1" spans="1:19">
      <c r="A22" s="13" t="s">
        <v>146</v>
      </c>
      <c r="B22" s="13" t="s">
        <v>146</v>
      </c>
      <c r="C22" s="2" t="str">
        <f t="shared" si="1"/>
        <v>API@60℉</v>
      </c>
      <c r="D22" s="5" t="s">
        <v>6</v>
      </c>
      <c r="J22" s="528" t="s">
        <v>482</v>
      </c>
      <c r="K22" s="527" t="s">
        <v>483</v>
      </c>
      <c r="L22" s="474" t="str">
        <f t="shared" si="0"/>
        <v>Slight</v>
      </c>
      <c r="R22" s="25"/>
      <c r="S22" s="28"/>
    </row>
    <row r="23" hidden="1" spans="1:19">
      <c r="A23" s="14" t="s">
        <v>149</v>
      </c>
      <c r="B23" s="14" t="s">
        <v>150</v>
      </c>
      <c r="C23" s="2" t="str">
        <f t="shared" si="1"/>
        <v>S.G.@60℉/60℉</v>
      </c>
      <c r="D23" s="12">
        <v>1952</v>
      </c>
      <c r="J23" s="528" t="s">
        <v>484</v>
      </c>
      <c r="K23" s="527" t="s">
        <v>485</v>
      </c>
      <c r="L23" s="474" t="str">
        <f t="shared" si="0"/>
        <v>Moderate</v>
      </c>
      <c r="R23" s="25"/>
      <c r="S23" s="28"/>
    </row>
    <row r="24" hidden="1" spans="1:19">
      <c r="A24" s="15" t="s">
        <v>153</v>
      </c>
      <c r="B24" s="15" t="s">
        <v>154</v>
      </c>
      <c r="C24" s="2" t="str">
        <f t="shared" si="1"/>
        <v>α60℉ (1/℉)</v>
      </c>
      <c r="D24" s="12">
        <v>1980</v>
      </c>
      <c r="J24" s="528" t="s">
        <v>486</v>
      </c>
      <c r="K24" s="527" t="s">
        <v>487</v>
      </c>
      <c r="L24" s="474" t="str">
        <f t="shared" si="0"/>
        <v>Rough</v>
      </c>
      <c r="R24" s="25"/>
      <c r="S24" s="28"/>
    </row>
    <row r="25" hidden="1" spans="1:19">
      <c r="A25" s="15" t="s">
        <v>157</v>
      </c>
      <c r="B25" s="15" t="s">
        <v>158</v>
      </c>
      <c r="C25" s="2" t="str">
        <f t="shared" si="1"/>
        <v>α60℉ (1/℃)</v>
      </c>
      <c r="D25" s="12">
        <v>2004</v>
      </c>
      <c r="J25" s="474" t="s">
        <v>524</v>
      </c>
      <c r="K25" s="527" t="s">
        <v>525</v>
      </c>
      <c r="L25" s="474" t="str">
        <f t="shared" si="0"/>
        <v>Tank No.</v>
      </c>
      <c r="R25" s="25"/>
      <c r="S25" s="28"/>
    </row>
    <row r="26" hidden="1" spans="1:19">
      <c r="A26" s="14" t="s">
        <v>161</v>
      </c>
      <c r="B26" s="14" t="s">
        <v>162</v>
      </c>
      <c r="C26" s="2" t="str">
        <f t="shared" si="1"/>
        <v>Density@15℃ (kg/m³)</v>
      </c>
      <c r="D26" s="16" t="s">
        <v>165</v>
      </c>
      <c r="J26" s="474" t="s">
        <v>504</v>
      </c>
      <c r="K26" s="527" t="s">
        <v>503</v>
      </c>
      <c r="L26" s="474" t="str">
        <f t="shared" si="0"/>
        <v>Detected by</v>
      </c>
      <c r="R26" s="25"/>
      <c r="S26" s="28"/>
    </row>
    <row r="27" hidden="1" spans="1:19">
      <c r="A27" s="13" t="s">
        <v>167</v>
      </c>
      <c r="B27" s="13" t="s">
        <v>168</v>
      </c>
      <c r="C27" s="2" t="str">
        <f t="shared" si="1"/>
        <v>Density@20℃ (kg/m³)</v>
      </c>
      <c r="D27" s="16" t="s">
        <v>171</v>
      </c>
      <c r="J27" s="474" t="s">
        <v>505</v>
      </c>
      <c r="K27" s="474" t="s">
        <v>505</v>
      </c>
      <c r="L27" s="474" t="str">
        <f t="shared" si="0"/>
        <v>UTI</v>
      </c>
      <c r="R27" s="30"/>
      <c r="S27" s="28"/>
    </row>
    <row r="28" hidden="1" spans="1:19">
      <c r="A28" s="14" t="s">
        <v>146</v>
      </c>
      <c r="B28" s="14" t="s">
        <v>173</v>
      </c>
      <c r="C28" s="2" t="str">
        <f t="shared" si="1"/>
        <v>API@60℉</v>
      </c>
      <c r="D28" s="5" t="s">
        <v>7</v>
      </c>
      <c r="J28" s="474" t="s">
        <v>506</v>
      </c>
      <c r="K28" s="474" t="s">
        <v>506</v>
      </c>
      <c r="L28" s="474" t="str">
        <f t="shared" si="0"/>
        <v>MMC</v>
      </c>
      <c r="R28" s="30"/>
      <c r="S28" s="28"/>
    </row>
    <row r="29" ht="15" hidden="1" customHeight="1" spans="1:19">
      <c r="A29" s="13" t="s">
        <v>149</v>
      </c>
      <c r="B29" s="13" t="s">
        <v>177</v>
      </c>
      <c r="C29" s="2" t="str">
        <f t="shared" si="1"/>
        <v>S.G.@60℉/60℉</v>
      </c>
      <c r="D29" s="5" t="s">
        <v>8</v>
      </c>
      <c r="J29" s="474" t="s">
        <v>513</v>
      </c>
      <c r="K29" s="527" t="s">
        <v>514</v>
      </c>
      <c r="L29" s="474" t="str">
        <f t="shared" si="0"/>
        <v>Water Finding Paste</v>
      </c>
      <c r="R29" s="25"/>
      <c r="S29" s="28"/>
    </row>
    <row r="30" hidden="1" spans="1:19">
      <c r="A30" s="17" t="s">
        <v>181</v>
      </c>
      <c r="B30" s="18" t="s">
        <v>182</v>
      </c>
      <c r="C30" s="2" t="str">
        <f t="shared" si="1"/>
        <v>WCF MT(in air)/m³@15℃ [T-56]</v>
      </c>
      <c r="D30" s="5" t="s">
        <v>11</v>
      </c>
      <c r="J30" s="474" t="str">
        <f>"Average of "&amp;K104&amp;" and Water Finding Paste"</f>
        <v>Average of UTI and Water Finding Paste</v>
      </c>
      <c r="K30" s="474" t="str">
        <f>K104&amp;"和试水膏检测结果的平均值"</f>
        <v>UTI和试水膏检测结果的平均值</v>
      </c>
      <c r="L30" s="474" t="str">
        <f t="shared" si="0"/>
        <v>Average of UTI and Water Finding Paste</v>
      </c>
      <c r="R30" s="25"/>
      <c r="S30" s="28"/>
    </row>
    <row r="31" hidden="1" spans="1:19">
      <c r="A31" s="17" t="s">
        <v>186</v>
      </c>
      <c r="B31" s="18" t="s">
        <v>187</v>
      </c>
      <c r="C31" s="2" t="str">
        <f t="shared" si="1"/>
        <v>WCF MT(in air)/m³@15℃</v>
      </c>
      <c r="D31" s="5" t="s">
        <v>12</v>
      </c>
      <c r="J31" s="474"/>
      <c r="K31" s="474"/>
      <c r="L31" s="474">
        <f t="shared" si="0"/>
        <v>0</v>
      </c>
      <c r="R31" s="25"/>
      <c r="S31" s="28"/>
    </row>
    <row r="32" hidden="1" spans="1:19">
      <c r="A32" s="17" t="s">
        <v>191</v>
      </c>
      <c r="B32" s="18" t="s">
        <v>192</v>
      </c>
      <c r="C32" s="2" t="str">
        <f t="shared" si="1"/>
        <v>WCF MT(in air)/m³@20℃</v>
      </c>
      <c r="J32" s="474" t="str">
        <f>K104&amp;" "&amp;"Ser. No."</f>
        <v>UTI Ser. No.</v>
      </c>
      <c r="K32" s="474" t="str">
        <f>K104&amp;" "&amp;"编号"</f>
        <v>UTI 编号</v>
      </c>
      <c r="L32" s="474" t="str">
        <f t="shared" si="0"/>
        <v>UTI Ser. No.</v>
      </c>
      <c r="R32" s="25"/>
      <c r="S32" s="28"/>
    </row>
    <row r="33" hidden="1" spans="1:19">
      <c r="A33" s="19" t="s">
        <v>196</v>
      </c>
      <c r="B33" s="20" t="s">
        <v>197</v>
      </c>
      <c r="C33" s="2" t="str">
        <f t="shared" si="1"/>
        <v>MT/LT [T-1] </v>
      </c>
      <c r="J33" s="474" t="s">
        <v>521</v>
      </c>
      <c r="K33" s="527" t="s">
        <v>522</v>
      </c>
      <c r="L33" s="474" t="str">
        <f t="shared" ref="L33:L53" si="2">IF(Report_Language=$A$1,J33,K33)</f>
        <v>Brand of Water Finding Paste</v>
      </c>
      <c r="R33" s="25"/>
      <c r="S33" s="28"/>
    </row>
    <row r="34" hidden="1" spans="1:19">
      <c r="A34" s="19" t="s">
        <v>201</v>
      </c>
      <c r="B34" s="21" t="s">
        <v>202</v>
      </c>
      <c r="C34" s="2" t="str">
        <f t="shared" ref="C34:C65" si="3">IF(Report_Language=$A$1,A34,B34)</f>
        <v>MT/LT</v>
      </c>
      <c r="J34" s="474" t="s">
        <v>528</v>
      </c>
      <c r="K34" s="527" t="s">
        <v>531</v>
      </c>
      <c r="L34" s="474" t="str">
        <f t="shared" si="2"/>
        <v>Gauge</v>
      </c>
      <c r="R34" s="25"/>
      <c r="S34" s="28"/>
    </row>
    <row r="35" hidden="1" spans="1:19">
      <c r="A35" s="17" t="s">
        <v>206</v>
      </c>
      <c r="B35" s="18" t="s">
        <v>207</v>
      </c>
      <c r="C35" s="2" t="str">
        <f t="shared" si="3"/>
        <v>WCF MT(in air)/bbls@60℉ [T-13]</v>
      </c>
      <c r="J35" s="474" t="s">
        <v>543</v>
      </c>
      <c r="K35" s="527" t="s">
        <v>544</v>
      </c>
      <c r="L35" s="474" t="str">
        <f t="shared" si="2"/>
        <v>Volume</v>
      </c>
      <c r="R35" s="25"/>
      <c r="S35" s="28"/>
    </row>
    <row r="36" hidden="1" spans="1:19">
      <c r="A36" s="17" t="s">
        <v>210</v>
      </c>
      <c r="B36" s="18" t="s">
        <v>211</v>
      </c>
      <c r="C36" s="2" t="str">
        <f t="shared" si="3"/>
        <v>WCF MT(in air)/bbls@60℉</v>
      </c>
      <c r="J36" s="474" t="s">
        <v>491</v>
      </c>
      <c r="K36" s="527" t="s">
        <v>492</v>
      </c>
      <c r="L36" s="474" t="str">
        <f t="shared" si="2"/>
        <v>m³</v>
      </c>
      <c r="R36" s="25"/>
      <c r="S36" s="28"/>
    </row>
    <row r="37" hidden="1" spans="1:19">
      <c r="A37" s="14" t="s">
        <v>214</v>
      </c>
      <c r="B37" s="14" t="s">
        <v>215</v>
      </c>
      <c r="C37" s="2" t="str">
        <f t="shared" si="3"/>
        <v>Density@15℃ MT(Vacuo)/m³</v>
      </c>
      <c r="J37" s="474" t="s">
        <v>493</v>
      </c>
      <c r="K37" s="527" t="s">
        <v>494</v>
      </c>
      <c r="L37" s="474" t="str">
        <f t="shared" si="2"/>
        <v>bbls</v>
      </c>
      <c r="R37" s="25"/>
      <c r="S37" s="28"/>
    </row>
    <row r="38" hidden="1" spans="1:19">
      <c r="A38" s="14" t="s">
        <v>218</v>
      </c>
      <c r="B38" s="14" t="s">
        <v>219</v>
      </c>
      <c r="C38" s="2" t="str">
        <f t="shared" si="3"/>
        <v>Density@20℃ MT(Vacuo)/m³</v>
      </c>
      <c r="J38" s="474" t="s">
        <v>801</v>
      </c>
      <c r="K38" s="527" t="s">
        <v>802</v>
      </c>
      <c r="L38" s="474" t="str">
        <f t="shared" si="2"/>
        <v>F.W. can be observed in the bottom sample</v>
      </c>
      <c r="R38" s="25"/>
      <c r="S38" s="28"/>
    </row>
    <row r="39" ht="15" hidden="1" customHeight="1" spans="1:19">
      <c r="A39" s="17" t="s">
        <v>222</v>
      </c>
      <c r="B39" s="18" t="s">
        <v>223</v>
      </c>
      <c r="C39" s="2" t="str">
        <f t="shared" si="3"/>
        <v>WCF MT(in vacuo)/bbls@60℉ [T-13]</v>
      </c>
      <c r="J39" s="474" t="s">
        <v>449</v>
      </c>
      <c r="K39" s="527" t="s">
        <v>450</v>
      </c>
      <c r="L39" s="474" t="str">
        <f t="shared" si="2"/>
        <v>Yes</v>
      </c>
      <c r="R39" s="25"/>
      <c r="S39" s="28"/>
    </row>
    <row r="40" hidden="1" spans="1:19">
      <c r="A40" s="17" t="s">
        <v>226</v>
      </c>
      <c r="B40" s="18" t="s">
        <v>227</v>
      </c>
      <c r="C40" s="2" t="str">
        <f t="shared" si="3"/>
        <v>WCF MT(in vacuo)/bbls@60℉</v>
      </c>
      <c r="J40" s="474" t="s">
        <v>451</v>
      </c>
      <c r="K40" s="527" t="s">
        <v>452</v>
      </c>
      <c r="L40" s="474" t="str">
        <f t="shared" si="2"/>
        <v>No</v>
      </c>
      <c r="R40" s="25"/>
      <c r="S40" s="28"/>
    </row>
    <row r="41" hidden="1" spans="1:19">
      <c r="A41" s="19" t="s">
        <v>196</v>
      </c>
      <c r="B41" s="20" t="s">
        <v>197</v>
      </c>
      <c r="C41" s="2" t="str">
        <f t="shared" si="3"/>
        <v>MT/LT [T-1] </v>
      </c>
      <c r="J41" s="474" t="s">
        <v>803</v>
      </c>
      <c r="K41" s="527" t="s">
        <v>804</v>
      </c>
      <c r="L41" s="474" t="str">
        <f t="shared" si="2"/>
        <v>Free Water Determination</v>
      </c>
      <c r="R41" s="25"/>
      <c r="S41" s="28"/>
    </row>
    <row r="42" hidden="1" spans="1:19">
      <c r="A42" s="19" t="s">
        <v>201</v>
      </c>
      <c r="B42" s="21" t="s">
        <v>202</v>
      </c>
      <c r="C42" s="2" t="str">
        <f t="shared" si="3"/>
        <v>MT/LT</v>
      </c>
      <c r="J42" s="474" t="s">
        <v>805</v>
      </c>
      <c r="K42" s="527" t="s">
        <v>806</v>
      </c>
      <c r="L42" s="474" t="str">
        <f t="shared" si="2"/>
        <v>F.W. Determanation Method</v>
      </c>
      <c r="R42" s="25"/>
      <c r="S42" s="28"/>
    </row>
    <row r="43" hidden="1" spans="1:19">
      <c r="A43" s="17" t="s">
        <v>233</v>
      </c>
      <c r="B43" s="18" t="s">
        <v>234</v>
      </c>
      <c r="C43" s="2" t="str">
        <f t="shared" si="3"/>
        <v>WCF LT(in air)/m³@15℃ [T-57]</v>
      </c>
      <c r="J43" s="474" t="s">
        <v>553</v>
      </c>
      <c r="K43" s="527" t="s">
        <v>554</v>
      </c>
      <c r="L43" s="474" t="str">
        <f t="shared" si="2"/>
        <v>TOTAL</v>
      </c>
      <c r="R43" s="25"/>
      <c r="S43" s="28"/>
    </row>
    <row r="44" ht="15" hidden="1" customHeight="1" spans="1:19">
      <c r="A44" s="17" t="s">
        <v>236</v>
      </c>
      <c r="B44" s="18" t="s">
        <v>237</v>
      </c>
      <c r="C44" s="2" t="str">
        <f t="shared" si="3"/>
        <v>WCF LT(in air)/m³@15℃</v>
      </c>
      <c r="J44" s="474" t="s">
        <v>807</v>
      </c>
      <c r="K44" s="527" t="s">
        <v>808</v>
      </c>
      <c r="L44" s="474" t="str">
        <f t="shared" si="2"/>
        <v>TOTAL OBSERVED VOLUME OF FREE WATER</v>
      </c>
      <c r="R44" s="25"/>
      <c r="S44" s="28"/>
    </row>
    <row r="45" hidden="1" spans="1:19">
      <c r="A45" s="19" t="s">
        <v>240</v>
      </c>
      <c r="B45" s="20" t="s">
        <v>241</v>
      </c>
      <c r="C45" s="2" t="str">
        <f t="shared" si="3"/>
        <v>LT/MT [T-1] </v>
      </c>
      <c r="J45" s="474" t="s">
        <v>809</v>
      </c>
      <c r="K45" s="527" t="s">
        <v>810</v>
      </c>
      <c r="L45" s="474" t="str">
        <f t="shared" si="2"/>
        <v>Client's instruction of Free Water determination:</v>
      </c>
      <c r="R45" s="25"/>
      <c r="S45" s="28"/>
    </row>
    <row r="46" hidden="1" spans="1:19">
      <c r="A46" s="19" t="s">
        <v>244</v>
      </c>
      <c r="B46" s="20" t="s">
        <v>245</v>
      </c>
      <c r="C46" s="2" t="str">
        <f t="shared" si="3"/>
        <v>LT/MT</v>
      </c>
      <c r="J46" s="474" t="s">
        <v>74</v>
      </c>
      <c r="K46" s="474" t="s">
        <v>75</v>
      </c>
      <c r="L46" s="474" t="str">
        <f t="shared" si="2"/>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R46" s="25"/>
      <c r="S46" s="28"/>
    </row>
    <row r="47" hidden="1" spans="1:19">
      <c r="A47" s="17" t="s">
        <v>248</v>
      </c>
      <c r="B47" s="18" t="s">
        <v>249</v>
      </c>
      <c r="C47" s="2" t="str">
        <f t="shared" si="3"/>
        <v>WCF LT(in air)/bbls@60℉ [T-29] </v>
      </c>
      <c r="J47" s="529" t="s">
        <v>355</v>
      </c>
      <c r="K47" s="474" t="s">
        <v>811</v>
      </c>
      <c r="L47" s="474" t="str">
        <f t="shared" si="2"/>
        <v>Master/Chief Officer</v>
      </c>
      <c r="R47" s="25"/>
      <c r="S47" s="28"/>
    </row>
    <row r="48" hidden="1" spans="1:19">
      <c r="A48" s="17" t="s">
        <v>253</v>
      </c>
      <c r="B48" s="18" t="s">
        <v>254</v>
      </c>
      <c r="C48" s="2" t="str">
        <f t="shared" si="3"/>
        <v>WCF LT(in air)/bbls@60℉</v>
      </c>
      <c r="J48" s="351" t="s">
        <v>357</v>
      </c>
      <c r="K48" s="527" t="s">
        <v>358</v>
      </c>
      <c r="L48" s="474" t="str">
        <f t="shared" si="2"/>
        <v>CCIC Surveyor</v>
      </c>
      <c r="R48" s="25"/>
      <c r="S48" s="28"/>
    </row>
    <row r="49" hidden="1" spans="1:19">
      <c r="A49" s="17" t="s">
        <v>259</v>
      </c>
      <c r="B49" s="18" t="s">
        <v>260</v>
      </c>
      <c r="C49" s="2" t="str">
        <f t="shared" si="3"/>
        <v>WCF LT(in air)/bbls@60℉ [T-11] </v>
      </c>
      <c r="J49" s="530" t="s">
        <v>359</v>
      </c>
      <c r="K49" s="527" t="s">
        <v>360</v>
      </c>
      <c r="L49" s="474" t="str">
        <f t="shared" si="2"/>
        <v>Name</v>
      </c>
      <c r="R49" s="25"/>
      <c r="S49" s="28"/>
    </row>
    <row r="50" hidden="1" spans="1:19">
      <c r="A50" s="17" t="s">
        <v>253</v>
      </c>
      <c r="B50" s="18" t="s">
        <v>254</v>
      </c>
      <c r="C50" s="2" t="str">
        <f t="shared" si="3"/>
        <v>WCF LT(in air)/bbls@60℉</v>
      </c>
      <c r="J50" s="530" t="s">
        <v>361</v>
      </c>
      <c r="K50" s="527" t="s">
        <v>362</v>
      </c>
      <c r="L50" s="474" t="str">
        <f t="shared" si="2"/>
        <v>Signature</v>
      </c>
      <c r="R50" s="25"/>
      <c r="S50" s="28"/>
    </row>
    <row r="51" hidden="1" spans="1:19">
      <c r="A51" s="17" t="s">
        <v>265</v>
      </c>
      <c r="B51" s="18" t="s">
        <v>266</v>
      </c>
      <c r="C51" s="2" t="str">
        <f t="shared" si="3"/>
        <v>WCF LT(in vacuo)/m³@15℃ [T-57]</v>
      </c>
      <c r="J51" s="474" t="s">
        <v>363</v>
      </c>
      <c r="K51" s="527" t="s">
        <v>364</v>
      </c>
      <c r="L51" s="474" t="str">
        <f t="shared" si="2"/>
        <v>Authorized Signature (S)</v>
      </c>
      <c r="R51" s="25"/>
      <c r="S51" s="28"/>
    </row>
    <row r="52" hidden="1" spans="1:19">
      <c r="A52" s="17" t="s">
        <v>268</v>
      </c>
      <c r="B52" s="18" t="s">
        <v>269</v>
      </c>
      <c r="C52" s="2" t="str">
        <f t="shared" si="3"/>
        <v>WCF LT(in vacuo)/m³@15℃</v>
      </c>
      <c r="J52" s="474" t="s">
        <v>812</v>
      </c>
      <c r="K52" s="527" t="s">
        <v>813</v>
      </c>
      <c r="L52" s="474" t="str">
        <f t="shared" si="2"/>
        <v>Reference Standards: </v>
      </c>
      <c r="R52" s="25"/>
      <c r="S52" s="28"/>
    </row>
    <row r="53" hidden="1" spans="1:19">
      <c r="A53" s="19" t="s">
        <v>240</v>
      </c>
      <c r="B53" s="20" t="s">
        <v>241</v>
      </c>
      <c r="C53" s="2" t="str">
        <f t="shared" si="3"/>
        <v>LT/MT [T-1] </v>
      </c>
      <c r="J53" s="474" t="s">
        <v>814</v>
      </c>
      <c r="K53" s="474" t="s">
        <v>814</v>
      </c>
      <c r="L53" s="474" t="str">
        <f t="shared" si="2"/>
        <v>API MPMS Chapter 3.1A (2013)</v>
      </c>
      <c r="R53" s="25"/>
      <c r="S53" s="28"/>
    </row>
    <row r="54" hidden="1" spans="1:22">
      <c r="A54" s="19" t="s">
        <v>244</v>
      </c>
      <c r="B54" s="20" t="s">
        <v>245</v>
      </c>
      <c r="C54" s="2" t="str">
        <f t="shared" si="3"/>
        <v>LT/MT</v>
      </c>
      <c r="R54" s="25"/>
      <c r="S54" s="28"/>
      <c r="T54" s="474"/>
      <c r="U54" s="474"/>
      <c r="V54" s="474">
        <f>IF($C$1=$A$1,T54,U54)</f>
        <v>0</v>
      </c>
    </row>
    <row r="55" hidden="1" spans="1:19">
      <c r="A55" s="17" t="s">
        <v>273</v>
      </c>
      <c r="B55" s="18" t="s">
        <v>274</v>
      </c>
      <c r="C55" s="2" t="str">
        <f t="shared" si="3"/>
        <v>WCF LT(in vacuo)/bbls@60℉ [T-29]</v>
      </c>
      <c r="R55" s="25"/>
      <c r="S55" s="31"/>
    </row>
    <row r="56" hidden="1" spans="1:19">
      <c r="A56" s="17" t="s">
        <v>276</v>
      </c>
      <c r="B56" s="18" t="s">
        <v>277</v>
      </c>
      <c r="C56" s="2" t="str">
        <f t="shared" si="3"/>
        <v>WCF LT(in vacuo)/bbls@60℉</v>
      </c>
      <c r="R56" s="25"/>
      <c r="S56" s="28"/>
    </row>
    <row r="57" hidden="1" spans="1:19">
      <c r="A57" s="17" t="s">
        <v>279</v>
      </c>
      <c r="B57" s="18" t="s">
        <v>280</v>
      </c>
      <c r="C57" s="2" t="str">
        <f t="shared" si="3"/>
        <v>WCF LT(in vacuo)/bbls@60℉ [T-11]</v>
      </c>
      <c r="R57" s="25"/>
      <c r="S57" s="28"/>
    </row>
    <row r="58" hidden="1" spans="1:19">
      <c r="A58" s="17" t="s">
        <v>276</v>
      </c>
      <c r="B58" s="18" t="s">
        <v>277</v>
      </c>
      <c r="C58" s="2" t="str">
        <f t="shared" si="3"/>
        <v>WCF LT(in vacuo)/bbls@60℉</v>
      </c>
      <c r="R58" s="25"/>
      <c r="S58" s="28"/>
    </row>
    <row r="59" hidden="1" spans="1:19">
      <c r="A59" s="22" t="s">
        <v>283</v>
      </c>
      <c r="B59" s="21" t="s">
        <v>284</v>
      </c>
      <c r="C59" s="2" t="str">
        <f t="shared" si="3"/>
        <v>bbls@60℉/m³@15℃ [T-52]</v>
      </c>
      <c r="R59" s="25"/>
      <c r="S59" s="28"/>
    </row>
    <row r="60" hidden="1" spans="1:19">
      <c r="A60" s="22" t="s">
        <v>286</v>
      </c>
      <c r="B60" s="21" t="s">
        <v>287</v>
      </c>
      <c r="C60" s="2" t="str">
        <f t="shared" si="3"/>
        <v>bbls@60℉/m³@15℃</v>
      </c>
      <c r="R60" s="25"/>
      <c r="S60" s="28"/>
    </row>
    <row r="61" hidden="1" spans="1:19">
      <c r="A61" s="23" t="s">
        <v>290</v>
      </c>
      <c r="B61" s="24" t="s">
        <v>291</v>
      </c>
      <c r="C61" s="2" t="str">
        <f t="shared" si="3"/>
        <v>bbls@60℉/MT(in air)</v>
      </c>
      <c r="R61" s="25"/>
      <c r="S61" s="28"/>
    </row>
    <row r="62" hidden="1" spans="1:19">
      <c r="A62" s="2" t="s">
        <v>294</v>
      </c>
      <c r="B62" s="9" t="s">
        <v>295</v>
      </c>
      <c r="C62" s="2" t="str">
        <f t="shared" si="3"/>
        <v>Standard Volume</v>
      </c>
      <c r="R62" s="25"/>
      <c r="S62" s="28"/>
    </row>
    <row r="63" ht="16.5" hidden="1" spans="1:19">
      <c r="A63" s="2" t="s">
        <v>298</v>
      </c>
      <c r="B63" s="2" t="s">
        <v>299</v>
      </c>
      <c r="C63" s="2" t="str">
        <f t="shared" si="3"/>
        <v>m³@15℃/m³@20℃ [1/VCF(15℃)]</v>
      </c>
      <c r="R63" s="25"/>
      <c r="S63" s="28"/>
    </row>
    <row r="64" hidden="1" spans="1:19">
      <c r="A64" s="22" t="s">
        <v>302</v>
      </c>
      <c r="B64" s="21" t="s">
        <v>303</v>
      </c>
      <c r="C64" s="2" t="str">
        <f t="shared" si="3"/>
        <v>m³@15℃/bbls@60℉ [T-22]</v>
      </c>
      <c r="R64" s="25"/>
      <c r="S64" s="28"/>
    </row>
    <row r="65" ht="15" hidden="1" customHeight="1" spans="1:19">
      <c r="A65" s="22" t="s">
        <v>306</v>
      </c>
      <c r="B65" s="19" t="s">
        <v>307</v>
      </c>
      <c r="C65" s="2" t="str">
        <f t="shared" si="3"/>
        <v>m³@15℃/bbls@60℉</v>
      </c>
      <c r="R65" s="25"/>
      <c r="S65" s="28"/>
    </row>
    <row r="66" hidden="1" spans="1:19">
      <c r="A66" s="22" t="s">
        <v>310</v>
      </c>
      <c r="B66" s="21" t="s">
        <v>311</v>
      </c>
      <c r="C66" s="2" t="str">
        <f t="shared" ref="C66:C85" si="4">IF(Report_Language=$A$1,A66,B66)</f>
        <v>m³@15℃/bbls@60℉ [T-4] </v>
      </c>
      <c r="R66" s="25"/>
      <c r="S66" s="28"/>
    </row>
    <row r="67" hidden="1" spans="1:19">
      <c r="A67" s="22" t="s">
        <v>306</v>
      </c>
      <c r="B67" s="21" t="s">
        <v>314</v>
      </c>
      <c r="C67" s="2" t="str">
        <f t="shared" si="4"/>
        <v>m³@15℃/bbls@60℉</v>
      </c>
      <c r="R67" s="25"/>
      <c r="S67" s="28"/>
    </row>
    <row r="68" hidden="1" spans="1:19">
      <c r="A68" s="19" t="s">
        <v>317</v>
      </c>
      <c r="B68" s="19" t="s">
        <v>318</v>
      </c>
      <c r="C68" s="2" t="str">
        <f t="shared" si="4"/>
        <v>m³@20℃/m³@15℃ [1/VCF(20℃)]</v>
      </c>
      <c r="R68" s="25"/>
      <c r="S68" s="28"/>
    </row>
    <row r="69" hidden="1" spans="1:19">
      <c r="A69" s="17" t="s">
        <v>321</v>
      </c>
      <c r="B69" s="17" t="s">
        <v>322</v>
      </c>
      <c r="C69" s="2" t="str">
        <f t="shared" si="4"/>
        <v>m³@20℃/bbls@60℉ [T-4] x VCF(59℉)/VCF(68℉)</v>
      </c>
      <c r="R69" s="25"/>
      <c r="S69" s="28"/>
    </row>
    <row r="70" hidden="1" spans="1:19">
      <c r="A70" s="17" t="s">
        <v>325</v>
      </c>
      <c r="B70" s="17" t="s">
        <v>326</v>
      </c>
      <c r="C70" s="2" t="str">
        <f t="shared" si="4"/>
        <v>m³@20℃/bbls@60℉</v>
      </c>
      <c r="R70" s="25"/>
      <c r="S70" s="28"/>
    </row>
    <row r="71" hidden="1" spans="1:19">
      <c r="A71" s="17" t="s">
        <v>329</v>
      </c>
      <c r="B71" s="17" t="s">
        <v>330</v>
      </c>
      <c r="C71" s="2" t="str">
        <f t="shared" si="4"/>
        <v>m³@20℃/bbls@60℉ [T-22] x VCF(59℉)/VCF(68℉)</v>
      </c>
      <c r="R71" s="25"/>
      <c r="S71" s="28"/>
    </row>
    <row r="72" hidden="1" spans="1:19">
      <c r="A72" s="17" t="s">
        <v>325</v>
      </c>
      <c r="B72" s="17" t="s">
        <v>333</v>
      </c>
      <c r="C72" s="2" t="str">
        <f t="shared" si="4"/>
        <v>m³@20℃/bbls@60℉</v>
      </c>
      <c r="R72" s="25"/>
      <c r="S72" s="28"/>
    </row>
    <row r="73" hidden="1" spans="1:19">
      <c r="A73" s="19" t="s">
        <v>336</v>
      </c>
      <c r="B73" s="21" t="s">
        <v>337</v>
      </c>
      <c r="C73" s="2" t="str">
        <f t="shared" si="4"/>
        <v>m³@30℃/m³@15℃ [1/VCF(30℃)]</v>
      </c>
      <c r="R73" s="25"/>
      <c r="S73" s="28"/>
    </row>
    <row r="74" hidden="1" spans="1:19">
      <c r="A74" s="19" t="s">
        <v>340</v>
      </c>
      <c r="B74" s="21" t="s">
        <v>341</v>
      </c>
      <c r="C74" s="2" t="str">
        <f t="shared" si="4"/>
        <v>m³@30℃/m³@20℃ [1/VCF(30℃)]</v>
      </c>
      <c r="R74" s="25"/>
      <c r="S74" s="28"/>
    </row>
    <row r="75" hidden="1" spans="1:19">
      <c r="A75" s="17" t="s">
        <v>344</v>
      </c>
      <c r="B75" s="17" t="s">
        <v>345</v>
      </c>
      <c r="C75" s="2" t="str">
        <f t="shared" si="4"/>
        <v>m³@30℃/bbls@60℉ [T-4] x VCF(59℉)/VCF(86℉)</v>
      </c>
      <c r="R75" s="25"/>
      <c r="S75" s="28"/>
    </row>
    <row r="76" hidden="1" spans="1:19">
      <c r="A76" s="17" t="s">
        <v>348</v>
      </c>
      <c r="B76" s="17" t="s">
        <v>349</v>
      </c>
      <c r="C76" s="2" t="str">
        <f t="shared" si="4"/>
        <v>m³@30℃/bbls@60℉</v>
      </c>
      <c r="R76" s="25"/>
      <c r="S76" s="28"/>
    </row>
    <row r="77" ht="15" hidden="1" customHeight="1" spans="1:3">
      <c r="A77" s="17" t="s">
        <v>350</v>
      </c>
      <c r="B77" s="17" t="s">
        <v>351</v>
      </c>
      <c r="C77" s="2" t="str">
        <f t="shared" si="4"/>
        <v>m³@30℃/bbls@60℉ [T-22] x VCF(59℉)/VCF(86℉)</v>
      </c>
    </row>
    <row r="78" hidden="1" spans="1:3">
      <c r="A78" s="17" t="s">
        <v>348</v>
      </c>
      <c r="B78" s="17" t="s">
        <v>352</v>
      </c>
      <c r="C78" s="2" t="str">
        <f t="shared" si="4"/>
        <v>m³@30℃/bbls@60℉</v>
      </c>
    </row>
    <row r="79" hidden="1" spans="1:3">
      <c r="A79" s="5" t="s">
        <v>353</v>
      </c>
      <c r="B79" s="32" t="s">
        <v>354</v>
      </c>
      <c r="C79" s="2" t="str">
        <f t="shared" si="4"/>
        <v>US Gallon/US Barrels [T-1]</v>
      </c>
    </row>
    <row r="80" hidden="1" spans="1:3">
      <c r="A80" s="33" t="s">
        <v>355</v>
      </c>
      <c r="B80" s="33" t="s">
        <v>356</v>
      </c>
      <c r="C80" s="2" t="str">
        <f t="shared" si="4"/>
        <v>Master/Chief Officer</v>
      </c>
    </row>
    <row r="81" hidden="1" spans="1:3">
      <c r="A81" s="34" t="s">
        <v>357</v>
      </c>
      <c r="B81" s="34" t="s">
        <v>358</v>
      </c>
      <c r="C81" s="2" t="str">
        <f t="shared" si="4"/>
        <v>CCIC Surveyor</v>
      </c>
    </row>
    <row r="82" hidden="1" spans="1:3">
      <c r="A82" s="33" t="s">
        <v>359</v>
      </c>
      <c r="B82" s="33" t="s">
        <v>360</v>
      </c>
      <c r="C82" s="2" t="str">
        <f t="shared" si="4"/>
        <v>Name</v>
      </c>
    </row>
    <row r="83" hidden="1" spans="1:3">
      <c r="A83" s="34" t="s">
        <v>361</v>
      </c>
      <c r="B83" s="34" t="s">
        <v>362</v>
      </c>
      <c r="C83" s="2" t="str">
        <f t="shared" si="4"/>
        <v>Signature</v>
      </c>
    </row>
    <row r="84" hidden="1" spans="1:3">
      <c r="A84" s="33" t="s">
        <v>363</v>
      </c>
      <c r="B84" s="33" t="s">
        <v>364</v>
      </c>
      <c r="C84" s="2" t="str">
        <f t="shared" si="4"/>
        <v>Authorized Signature (S)</v>
      </c>
    </row>
    <row r="85" hidden="1" spans="1:3">
      <c r="A85" s="34" t="s">
        <v>74</v>
      </c>
      <c r="B85" s="34" t="s">
        <v>75</v>
      </c>
      <c r="C85" s="2" t="str">
        <f t="shared" si="4"/>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hidden="1" spans="3:10">
      <c r="C86" s="27"/>
      <c r="D86" s="27"/>
      <c r="E86" s="27"/>
      <c r="F86" s="27"/>
      <c r="G86" s="27"/>
      <c r="H86" s="28"/>
      <c r="I86" s="28"/>
      <c r="J86" s="29"/>
    </row>
    <row r="87" hidden="1" spans="3:30">
      <c r="C87" s="27"/>
      <c r="D87" s="27"/>
      <c r="E87" s="27"/>
      <c r="F87" s="27"/>
      <c r="G87" s="27"/>
      <c r="H87" s="28"/>
      <c r="I87" s="28"/>
      <c r="J87" s="29"/>
      <c r="W87"/>
      <c r="X87"/>
      <c r="Y87"/>
      <c r="Z87"/>
      <c r="AA87"/>
      <c r="AB87"/>
      <c r="AC87"/>
      <c r="AD87"/>
    </row>
    <row r="88" hidden="1" spans="1:30">
      <c r="A88" t="str">
        <f t="shared" ref="A88:A100" si="5">IF(OR(B88="隐藏",C88="隐藏"),"隐藏","显示")</f>
        <v>显示</v>
      </c>
      <c r="AB88"/>
      <c r="AC88"/>
      <c r="AD88"/>
    </row>
    <row r="89" ht="11.4" customHeight="1" spans="1:30">
      <c r="A89" t="str">
        <f t="shared" si="5"/>
        <v>显示</v>
      </c>
      <c r="I89" s="39"/>
      <c r="P89" s="39"/>
      <c r="Q89" s="46" t="str">
        <f>C2</f>
        <v>JOB NO.</v>
      </c>
      <c r="R89" s="39" t="str">
        <f>单号</f>
        <v>这就是爱</v>
      </c>
      <c r="AA89"/>
      <c r="AB89"/>
      <c r="AC89"/>
      <c r="AD89"/>
    </row>
    <row r="90" ht="11.4" customHeight="1" spans="1:30">
      <c r="A90" t="str">
        <f t="shared" si="5"/>
        <v>显示</v>
      </c>
      <c r="I90" s="39"/>
      <c r="P90" s="39"/>
      <c r="Q90" s="46" t="str">
        <f>C3</f>
        <v>DATE OF REPORT</v>
      </c>
      <c r="R90" s="39" t="str">
        <f>报告日期</f>
        <v>YYYY-MM-DD</v>
      </c>
      <c r="AA90"/>
      <c r="AB90"/>
      <c r="AC90"/>
      <c r="AD90"/>
    </row>
    <row r="91" ht="3.6" customHeight="1" spans="1:17">
      <c r="A91" t="str">
        <f t="shared" si="5"/>
        <v>显示</v>
      </c>
      <c r="I91" s="39"/>
      <c r="P91" s="39"/>
      <c r="Q91" s="39"/>
    </row>
    <row r="92" ht="11.4" customHeight="1" spans="1:19">
      <c r="A92" t="str">
        <f t="shared" si="5"/>
        <v>显示</v>
      </c>
      <c r="B92" t="str">
        <f>IF(隐藏客户名称,"隐藏","显示")</f>
        <v>显示</v>
      </c>
      <c r="C92" t="b">
        <v>0</v>
      </c>
      <c r="I92" s="531" t="str">
        <f>L2</f>
        <v>FREE WATER MEASUREMENT REPORT</v>
      </c>
      <c r="J92" s="531"/>
      <c r="K92" s="531"/>
      <c r="L92" s="531"/>
      <c r="M92" s="531"/>
      <c r="N92" s="532" t="str">
        <f t="shared" ref="N92:N98" si="6">C4</f>
        <v>APPLICANT</v>
      </c>
      <c r="O92" s="533"/>
      <c r="P92" s="534" t="str">
        <f>客户名</f>
        <v>PETROCHINA </v>
      </c>
      <c r="Q92" s="557"/>
      <c r="R92" s="557"/>
      <c r="S92" s="558"/>
    </row>
    <row r="93" ht="11.4" customHeight="1" spans="1:19">
      <c r="A93" t="str">
        <f t="shared" si="5"/>
        <v>显示</v>
      </c>
      <c r="B93" t="str">
        <f>IF(隐藏客户编号,"隐藏","显示")</f>
        <v>显示</v>
      </c>
      <c r="C93" t="b">
        <v>0</v>
      </c>
      <c r="I93" s="531"/>
      <c r="J93" s="531"/>
      <c r="K93" s="531"/>
      <c r="L93" s="531"/>
      <c r="M93" s="531"/>
      <c r="N93" s="532" t="str">
        <f t="shared" si="6"/>
        <v>CLIENT'S REF. NO.</v>
      </c>
      <c r="O93" s="533"/>
      <c r="P93" s="534" t="str">
        <f>客户编号</f>
        <v>说也说不清楚</v>
      </c>
      <c r="Q93" s="557"/>
      <c r="R93" s="557"/>
      <c r="S93" s="558"/>
    </row>
    <row r="94" ht="11.4" customHeight="1" spans="1:19">
      <c r="A94" t="str">
        <f t="shared" si="5"/>
        <v>显示</v>
      </c>
      <c r="D94" s="25"/>
      <c r="E94" s="28"/>
      <c r="F94" s="28"/>
      <c r="G94" s="29"/>
      <c r="I94" s="531"/>
      <c r="J94" s="531"/>
      <c r="K94" s="531"/>
      <c r="L94" s="531"/>
      <c r="M94" s="531"/>
      <c r="N94" s="532" t="str">
        <f t="shared" si="6"/>
        <v>COMMODITY</v>
      </c>
      <c r="O94" s="533"/>
      <c r="P94" s="534" t="str">
        <f>品名</f>
        <v>Crude Oil6658</v>
      </c>
      <c r="Q94" s="557"/>
      <c r="R94" s="557"/>
      <c r="S94" s="558"/>
    </row>
    <row r="95" ht="11.4" customHeight="1" spans="1:19">
      <c r="A95" t="str">
        <f t="shared" si="5"/>
        <v>显示</v>
      </c>
      <c r="B95" t="str">
        <f>IF(隐藏船名,"隐藏","显示")</f>
        <v>显示</v>
      </c>
      <c r="C95" t="b">
        <v>0</v>
      </c>
      <c r="D95" s="25"/>
      <c r="E95" s="35"/>
      <c r="F95" s="28"/>
      <c r="G95" s="29"/>
      <c r="I95" s="531"/>
      <c r="J95" s="531"/>
      <c r="K95" s="531"/>
      <c r="L95" s="531"/>
      <c r="M95" s="531"/>
      <c r="N95" s="532" t="str">
        <f t="shared" si="6"/>
        <v>VESSEL</v>
      </c>
      <c r="O95" s="533"/>
      <c r="P95" s="534" t="str">
        <f>船名</f>
        <v>MT ZhenYuanefdasdf</v>
      </c>
      <c r="Q95" s="557"/>
      <c r="R95" s="557"/>
      <c r="S95" s="558"/>
    </row>
    <row r="96" ht="11.4" customHeight="1" spans="1:19">
      <c r="A96" t="str">
        <f t="shared" si="5"/>
        <v>显示</v>
      </c>
      <c r="B96" t="str">
        <f>IF(隐藏港口名称,"隐藏","显示")</f>
        <v>显示</v>
      </c>
      <c r="C96" t="b">
        <v>0</v>
      </c>
      <c r="D96" s="25"/>
      <c r="E96" s="28"/>
      <c r="F96" s="28"/>
      <c r="G96" s="29"/>
      <c r="I96" s="531"/>
      <c r="J96" s="531"/>
      <c r="K96" s="531"/>
      <c r="L96" s="531"/>
      <c r="M96" s="531"/>
      <c r="N96" s="532" t="str">
        <f t="shared" si="6"/>
        <v>PORT</v>
      </c>
      <c r="O96" s="533"/>
      <c r="P96" s="534" t="str">
        <f>港口名</f>
        <v>Dalian, Chinafsadfa</v>
      </c>
      <c r="Q96" s="557"/>
      <c r="R96" s="557"/>
      <c r="S96" s="558"/>
    </row>
    <row r="97" ht="11.4" customHeight="1" spans="1:19">
      <c r="A97" t="str">
        <f t="shared" si="5"/>
        <v>显示</v>
      </c>
      <c r="B97" t="str">
        <f>IF(隐藏油库名称,"隐藏","显示")</f>
        <v>显示</v>
      </c>
      <c r="C97" t="b">
        <v>0</v>
      </c>
      <c r="D97" s="25"/>
      <c r="E97" s="28"/>
      <c r="F97" s="28"/>
      <c r="G97" s="29"/>
      <c r="I97" s="531"/>
      <c r="J97" s="531"/>
      <c r="K97" s="531"/>
      <c r="L97" s="531"/>
      <c r="M97" s="531"/>
      <c r="N97" s="532" t="str">
        <f t="shared" si="6"/>
        <v>TERMINAL</v>
      </c>
      <c r="O97" s="533"/>
      <c r="P97" s="534" t="str">
        <f>油库名</f>
        <v>Dalian Chinaoil, China1325415</v>
      </c>
      <c r="Q97" s="557"/>
      <c r="R97" s="557"/>
      <c r="S97" s="558"/>
    </row>
    <row r="98" ht="11.4" customHeight="1" spans="1:30">
      <c r="A98" t="str">
        <f t="shared" si="5"/>
        <v>显示</v>
      </c>
      <c r="D98" s="25"/>
      <c r="E98" s="28"/>
      <c r="F98" s="28"/>
      <c r="G98" s="29"/>
      <c r="I98" s="531"/>
      <c r="J98" s="531"/>
      <c r="K98" s="531"/>
      <c r="L98" s="531"/>
      <c r="M98" s="531"/>
      <c r="N98" s="532" t="str">
        <f t="shared" si="6"/>
        <v>DATE OF INSPECTION</v>
      </c>
      <c r="O98" s="533"/>
      <c r="P98" s="534" t="str">
        <f>检验日期</f>
        <v>YYYY-MM-DD To YYYY-MM-DD</v>
      </c>
      <c r="Q98" s="557"/>
      <c r="R98" s="557"/>
      <c r="S98" s="558"/>
      <c r="T98" s="559" t="s">
        <v>815</v>
      </c>
      <c r="U98" s="559"/>
      <c r="V98" s="559" t="s">
        <v>816</v>
      </c>
      <c r="W98" s="559"/>
      <c r="X98" s="560" t="s">
        <v>817</v>
      </c>
      <c r="Y98" s="560"/>
      <c r="Z98" s="560"/>
      <c r="AD98" s="474"/>
    </row>
    <row r="99" ht="4.05" customHeight="1" spans="1:30">
      <c r="A99" t="str">
        <f t="shared" si="5"/>
        <v>显示</v>
      </c>
      <c r="D99" s="25"/>
      <c r="E99" s="28"/>
      <c r="F99" s="28"/>
      <c r="G99" s="29"/>
      <c r="I99" s="531"/>
      <c r="J99" s="531"/>
      <c r="K99" s="531"/>
      <c r="L99" s="531"/>
      <c r="M99" s="531"/>
      <c r="T99" s="561"/>
      <c r="U99" s="561"/>
      <c r="V99" s="561"/>
      <c r="W99" s="561"/>
      <c r="X99" s="560" t="s">
        <v>818</v>
      </c>
      <c r="Y99" s="560"/>
      <c r="Z99" s="560"/>
      <c r="AD99" s="474"/>
    </row>
    <row r="100" ht="11.4" customHeight="1" spans="1:30">
      <c r="A100" t="str">
        <f t="shared" si="5"/>
        <v>显示</v>
      </c>
      <c r="D100" s="25"/>
      <c r="E100" s="28"/>
      <c r="F100" s="28"/>
      <c r="G100" s="29"/>
      <c r="I100" s="531"/>
      <c r="J100" s="531"/>
      <c r="K100" s="531"/>
      <c r="L100" s="531"/>
      <c r="M100" s="531"/>
      <c r="N100" s="535" t="str">
        <f>L11</f>
        <v>Draft Fwd</v>
      </c>
      <c r="O100" s="536">
        <v>20.3</v>
      </c>
      <c r="P100" s="537" t="str">
        <f>L14</f>
        <v>m</v>
      </c>
      <c r="Q100" s="535" t="str">
        <f>L18</f>
        <v>Sea Condition</v>
      </c>
      <c r="R100" s="562" t="s">
        <v>482</v>
      </c>
      <c r="S100" s="562"/>
      <c r="Y100" s="537"/>
      <c r="Z100" s="572"/>
      <c r="AA100" s="572"/>
      <c r="AB100" s="573"/>
      <c r="AC100" s="573"/>
      <c r="AD100" s="573"/>
    </row>
    <row r="101" ht="11.4" customHeight="1" spans="1:30">
      <c r="A101" t="str">
        <f t="shared" ref="A101:A139" si="7">IF(OR(B101="隐藏",C101="隐藏"),"隐藏","显示")</f>
        <v>显示</v>
      </c>
      <c r="D101" s="25"/>
      <c r="E101" s="28"/>
      <c r="F101" s="28"/>
      <c r="G101" s="29"/>
      <c r="I101" s="531"/>
      <c r="J101" s="531"/>
      <c r="K101" s="531"/>
      <c r="L101" s="531"/>
      <c r="M101" s="531"/>
      <c r="N101" s="535" t="str">
        <f>L12</f>
        <v>Draft Aft</v>
      </c>
      <c r="O101" s="538">
        <v>20.3</v>
      </c>
      <c r="P101" s="537" t="str">
        <f>L14</f>
        <v>m</v>
      </c>
      <c r="Q101" s="535" t="str">
        <f>L19</f>
        <v>Date</v>
      </c>
      <c r="R101" s="563">
        <v>43870</v>
      </c>
      <c r="S101" s="563"/>
      <c r="Y101" s="537"/>
      <c r="Z101" s="572"/>
      <c r="AA101" s="572"/>
      <c r="AB101" s="574"/>
      <c r="AC101" s="574"/>
      <c r="AD101" s="574"/>
    </row>
    <row r="102" ht="11.4" customHeight="1" spans="1:30">
      <c r="A102" t="str">
        <f t="shared" si="7"/>
        <v>显示</v>
      </c>
      <c r="D102" s="25"/>
      <c r="E102" s="28"/>
      <c r="F102" s="28"/>
      <c r="G102" s="29"/>
      <c r="I102" s="531"/>
      <c r="J102" s="531"/>
      <c r="K102" s="531"/>
      <c r="L102" s="531"/>
      <c r="M102" s="531"/>
      <c r="N102" s="535" t="str">
        <f>L13</f>
        <v>List</v>
      </c>
      <c r="O102" s="538">
        <v>0.1</v>
      </c>
      <c r="P102" s="539" t="s">
        <v>475</v>
      </c>
      <c r="Q102" s="535" t="str">
        <f>L20</f>
        <v>Time</v>
      </c>
      <c r="R102" s="564">
        <v>0.148611111111111</v>
      </c>
      <c r="S102" s="564"/>
      <c r="Y102" s="537"/>
      <c r="Z102" s="575"/>
      <c r="AA102" s="575"/>
      <c r="AB102" s="576"/>
      <c r="AC102" s="576"/>
      <c r="AD102" s="576"/>
    </row>
    <row r="103" ht="3.6" customHeight="1" spans="1:30">
      <c r="A103" t="str">
        <f t="shared" si="7"/>
        <v>显示</v>
      </c>
      <c r="D103" s="25"/>
      <c r="E103" s="28"/>
      <c r="F103" s="28"/>
      <c r="G103" s="29"/>
      <c r="I103" s="39"/>
      <c r="J103" s="39"/>
      <c r="K103" s="39"/>
      <c r="L103" s="39"/>
      <c r="M103" s="39"/>
      <c r="N103" s="39"/>
      <c r="O103" s="39"/>
      <c r="P103" s="39"/>
      <c r="Q103" s="39"/>
      <c r="Y103" s="537"/>
      <c r="Z103" s="572"/>
      <c r="AA103" s="572"/>
      <c r="AB103" s="573"/>
      <c r="AC103" s="573"/>
      <c r="AD103" s="573"/>
    </row>
    <row r="104" ht="22.05" customHeight="1" spans="1:30">
      <c r="A104" t="str">
        <f t="shared" si="7"/>
        <v>显示</v>
      </c>
      <c r="D104" s="25"/>
      <c r="E104" s="28"/>
      <c r="F104" s="28"/>
      <c r="G104" s="29"/>
      <c r="I104" s="540" t="str">
        <f>L25</f>
        <v>Tank No.</v>
      </c>
      <c r="J104" s="541" t="str">
        <f>L26</f>
        <v>Detected by</v>
      </c>
      <c r="K104" s="542" t="s">
        <v>505</v>
      </c>
      <c r="L104" s="541" t="str">
        <f>L26</f>
        <v>Detected by</v>
      </c>
      <c r="M104" s="541" t="str">
        <f>L29</f>
        <v>Water Finding Paste</v>
      </c>
      <c r="N104" s="541" t="str">
        <f>L38</f>
        <v>F.W. can be observed in the bottom sample</v>
      </c>
      <c r="O104" s="541" t="str">
        <f>L41</f>
        <v>Free Water Determination</v>
      </c>
      <c r="P104" s="541"/>
      <c r="Q104" s="541"/>
      <c r="R104" s="541"/>
      <c r="S104" s="565"/>
      <c r="Y104" s="537"/>
      <c r="Z104" s="572"/>
      <c r="AA104" s="572"/>
      <c r="AB104" s="573"/>
      <c r="AC104" s="573"/>
      <c r="AD104" s="573"/>
    </row>
    <row r="105" ht="22.05" customHeight="1" spans="1:30">
      <c r="A105" t="str">
        <f t="shared" si="7"/>
        <v>显示</v>
      </c>
      <c r="D105" s="25"/>
      <c r="E105" s="28"/>
      <c r="F105" s="28"/>
      <c r="G105" s="29"/>
      <c r="I105" s="543"/>
      <c r="J105" s="544" t="str">
        <f>L32</f>
        <v>UTI Ser. No.</v>
      </c>
      <c r="K105" s="545" t="s">
        <v>819</v>
      </c>
      <c r="L105" s="544" t="str">
        <f>L33</f>
        <v>Brand of Water Finding Paste</v>
      </c>
      <c r="M105" s="545" t="s">
        <v>721</v>
      </c>
      <c r="N105" s="544"/>
      <c r="O105" s="544"/>
      <c r="P105" s="544"/>
      <c r="Q105" s="544"/>
      <c r="R105" s="544"/>
      <c r="S105" s="566"/>
      <c r="Y105" s="537"/>
      <c r="Z105" s="572"/>
      <c r="AA105" s="572"/>
      <c r="AB105" s="573"/>
      <c r="AC105" s="573"/>
      <c r="AD105" s="573"/>
    </row>
    <row r="106" ht="11.4" customHeight="1" spans="1:30">
      <c r="A106" t="str">
        <f t="shared" si="7"/>
        <v>显示</v>
      </c>
      <c r="D106" s="25"/>
      <c r="E106" s="28"/>
      <c r="F106" s="28"/>
      <c r="G106" s="29"/>
      <c r="I106" s="543"/>
      <c r="J106" s="544" t="str">
        <f>L34</f>
        <v>Gauge</v>
      </c>
      <c r="K106" s="544" t="str">
        <f>L35</f>
        <v>Volume</v>
      </c>
      <c r="L106" s="544" t="str">
        <f>L34</f>
        <v>Gauge</v>
      </c>
      <c r="M106" s="544" t="str">
        <f>L35</f>
        <v>Volume</v>
      </c>
      <c r="N106" s="544"/>
      <c r="O106" s="544" t="str">
        <f>L42</f>
        <v>F.W. Determanation Method</v>
      </c>
      <c r="P106" s="544"/>
      <c r="Q106" s="544"/>
      <c r="R106" s="544" t="str">
        <f>L106</f>
        <v>Gauge</v>
      </c>
      <c r="S106" s="566" t="str">
        <f>M106</f>
        <v>Volume</v>
      </c>
      <c r="Y106" s="537"/>
      <c r="Z106" s="572"/>
      <c r="AA106" s="572"/>
      <c r="AB106" s="573"/>
      <c r="AC106" s="573"/>
      <c r="AD106" s="573"/>
    </row>
    <row r="107" ht="11.4" customHeight="1" spans="1:30">
      <c r="A107" t="str">
        <f t="shared" si="7"/>
        <v>显示</v>
      </c>
      <c r="D107" s="25"/>
      <c r="E107" s="28"/>
      <c r="F107" s="28"/>
      <c r="G107" s="29"/>
      <c r="I107" s="543"/>
      <c r="J107" s="544" t="str">
        <f>L14</f>
        <v>m</v>
      </c>
      <c r="K107" s="545" t="s">
        <v>493</v>
      </c>
      <c r="L107" s="544" t="str">
        <f>J107</f>
        <v>m</v>
      </c>
      <c r="M107" s="544" t="str">
        <f>K107</f>
        <v>bbls</v>
      </c>
      <c r="N107" s="544"/>
      <c r="O107" s="544"/>
      <c r="P107" s="544"/>
      <c r="Q107" s="544"/>
      <c r="R107" s="544" t="str">
        <f>J107</f>
        <v>m</v>
      </c>
      <c r="S107" s="566" t="str">
        <f>K107</f>
        <v>bbls</v>
      </c>
      <c r="Y107" s="537"/>
      <c r="Z107" s="572"/>
      <c r="AA107" s="572"/>
      <c r="AB107" s="573"/>
      <c r="AC107" s="573"/>
      <c r="AD107" s="573"/>
    </row>
    <row r="108" ht="11.4" customHeight="1" spans="1:30">
      <c r="A108" t="str">
        <f t="shared" si="7"/>
        <v>显示</v>
      </c>
      <c r="D108" s="25"/>
      <c r="E108" s="28"/>
      <c r="F108" s="28"/>
      <c r="G108" s="29"/>
      <c r="I108" s="546" t="s">
        <v>620</v>
      </c>
      <c r="J108" s="547">
        <v>0.02</v>
      </c>
      <c r="K108" s="547">
        <v>140.89</v>
      </c>
      <c r="L108" s="547">
        <v>0.01</v>
      </c>
      <c r="M108" s="547">
        <f>ROUND(K108/2,2)</f>
        <v>70.45</v>
      </c>
      <c r="N108" s="545" t="s">
        <v>449</v>
      </c>
      <c r="O108" s="548" t="s">
        <v>820</v>
      </c>
      <c r="P108" s="548"/>
      <c r="Q108" s="548"/>
      <c r="R108" s="567">
        <f>IF(O108="","",IF(OR(O108="UTI",O108="MMC"),J108,IF(OR(O108="Water Finding Paste",O108="试水膏"),L108,ROUND(AVERAGE(J108,L108),3))))</f>
        <v>0.015</v>
      </c>
      <c r="S108" s="568">
        <f t="shared" ref="S108:S124" si="8">IF(O108="","",IF(OR(O108="UTI",O108="MMC"),K108,IF(OR(O108="Water Finding Paste",O108="试水膏"),M108,IF($C$117=$C$37,ROUND(AVERAGE(K108,M108),2),ROUND(AVERAGE(K108,M108),3)))))</f>
        <v>105.67</v>
      </c>
      <c r="Y108" s="537"/>
      <c r="Z108" s="572"/>
      <c r="AA108" s="572"/>
      <c r="AB108" s="573"/>
      <c r="AC108" s="573"/>
      <c r="AD108" s="573"/>
    </row>
    <row r="109" ht="11.4" customHeight="1" spans="1:30">
      <c r="A109" t="str">
        <f t="shared" si="7"/>
        <v>显示</v>
      </c>
      <c r="D109" s="25"/>
      <c r="E109" s="28"/>
      <c r="F109" s="28"/>
      <c r="G109" s="29"/>
      <c r="I109" s="546" t="s">
        <v>623</v>
      </c>
      <c r="J109" s="547" t="s">
        <v>724</v>
      </c>
      <c r="K109" s="547">
        <v>0</v>
      </c>
      <c r="L109" s="547">
        <v>0</v>
      </c>
      <c r="M109" s="547">
        <v>0</v>
      </c>
      <c r="N109" s="545" t="s">
        <v>451</v>
      </c>
      <c r="O109" s="548" t="s">
        <v>821</v>
      </c>
      <c r="P109" s="548"/>
      <c r="Q109" s="548"/>
      <c r="R109" s="567">
        <f t="shared" ref="R109:R124" si="9">IF(O109="","",IF(OR(O109="UTI",O109="MMC"),J109,IF(OR(O109="Water Finding Paste",O109="试水膏"),L109,ROUND(AVERAGE(J109,L109),3))))</f>
        <v>0</v>
      </c>
      <c r="S109" s="568">
        <f t="shared" si="8"/>
        <v>0</v>
      </c>
      <c r="Y109" s="537"/>
      <c r="Z109" s="309"/>
      <c r="AA109" s="576"/>
      <c r="AB109" s="576"/>
      <c r="AC109" s="576"/>
      <c r="AD109" s="576"/>
    </row>
    <row r="110" ht="11.4" customHeight="1" spans="1:30">
      <c r="A110" t="str">
        <f t="shared" si="7"/>
        <v>显示</v>
      </c>
      <c r="D110" s="25"/>
      <c r="E110" s="28"/>
      <c r="F110" s="28"/>
      <c r="G110" s="29"/>
      <c r="I110" s="546" t="s">
        <v>627</v>
      </c>
      <c r="J110" s="547">
        <v>0.04</v>
      </c>
      <c r="K110" s="547">
        <v>153.47</v>
      </c>
      <c r="L110" s="547">
        <v>0.02</v>
      </c>
      <c r="M110" s="547">
        <f>ROUND(K110/2,2)</f>
        <v>76.74</v>
      </c>
      <c r="N110" s="545" t="s">
        <v>449</v>
      </c>
      <c r="O110" s="548" t="s">
        <v>505</v>
      </c>
      <c r="P110" s="548"/>
      <c r="Q110" s="548"/>
      <c r="R110" s="567">
        <f t="shared" si="9"/>
        <v>0.04</v>
      </c>
      <c r="S110" s="568">
        <f t="shared" si="8"/>
        <v>153.47</v>
      </c>
      <c r="Z110" s="577"/>
      <c r="AA110" s="577"/>
      <c r="AB110" s="577"/>
      <c r="AC110" s="577"/>
      <c r="AD110" s="577"/>
    </row>
    <row r="111" ht="11.4" customHeight="1" spans="1:19">
      <c r="A111" t="str">
        <f t="shared" si="7"/>
        <v>显示</v>
      </c>
      <c r="D111" s="36"/>
      <c r="E111" s="28"/>
      <c r="F111" s="28"/>
      <c r="G111" s="29"/>
      <c r="I111" s="546" t="s">
        <v>628</v>
      </c>
      <c r="J111" s="547">
        <v>0.04</v>
      </c>
      <c r="K111" s="547">
        <v>149.7</v>
      </c>
      <c r="L111" s="547">
        <v>0.03</v>
      </c>
      <c r="M111" s="547">
        <f>ROUND(K111*3/4,2)</f>
        <v>112.28</v>
      </c>
      <c r="N111" s="545" t="s">
        <v>449</v>
      </c>
      <c r="O111" s="548" t="s">
        <v>505</v>
      </c>
      <c r="P111" s="548"/>
      <c r="Q111" s="548"/>
      <c r="R111" s="567">
        <f t="shared" si="9"/>
        <v>0.04</v>
      </c>
      <c r="S111" s="568">
        <f t="shared" si="8"/>
        <v>149.7</v>
      </c>
    </row>
    <row r="112" ht="11.4" customHeight="1" spans="1:19">
      <c r="A112" t="str">
        <f t="shared" si="7"/>
        <v>显示</v>
      </c>
      <c r="D112" s="36"/>
      <c r="E112" s="28"/>
      <c r="F112" s="28"/>
      <c r="G112" s="29"/>
      <c r="I112" s="546" t="s">
        <v>631</v>
      </c>
      <c r="J112" s="547">
        <v>0.03</v>
      </c>
      <c r="K112" s="547">
        <v>137.75</v>
      </c>
      <c r="L112" s="547">
        <v>0</v>
      </c>
      <c r="M112" s="547">
        <v>0</v>
      </c>
      <c r="N112" s="545" t="s">
        <v>451</v>
      </c>
      <c r="O112" s="548" t="s">
        <v>821</v>
      </c>
      <c r="P112" s="548"/>
      <c r="Q112" s="548"/>
      <c r="R112" s="567">
        <f t="shared" si="9"/>
        <v>0.015</v>
      </c>
      <c r="S112" s="568">
        <f t="shared" si="8"/>
        <v>68.875</v>
      </c>
    </row>
    <row r="113" ht="11.4" customHeight="1" spans="1:19">
      <c r="A113" t="str">
        <f t="shared" si="7"/>
        <v>显示</v>
      </c>
      <c r="D113" s="36"/>
      <c r="E113" s="28"/>
      <c r="F113" s="28"/>
      <c r="G113" s="29"/>
      <c r="I113" s="546" t="s">
        <v>632</v>
      </c>
      <c r="J113" s="547">
        <v>0.04</v>
      </c>
      <c r="K113" s="547">
        <v>172.97</v>
      </c>
      <c r="L113" s="547">
        <v>0.03</v>
      </c>
      <c r="M113" s="547">
        <f>ROUND(K113*L113/J113,2)</f>
        <v>129.73</v>
      </c>
      <c r="N113" s="545" t="s">
        <v>451</v>
      </c>
      <c r="O113" s="548" t="s">
        <v>505</v>
      </c>
      <c r="P113" s="548"/>
      <c r="Q113" s="548"/>
      <c r="R113" s="567">
        <f t="shared" si="9"/>
        <v>0.04</v>
      </c>
      <c r="S113" s="568">
        <f t="shared" si="8"/>
        <v>172.97</v>
      </c>
    </row>
    <row r="114" ht="11.4" customHeight="1" spans="1:19">
      <c r="A114" t="str">
        <f t="shared" si="7"/>
        <v>显示</v>
      </c>
      <c r="D114" s="36"/>
      <c r="E114" s="28"/>
      <c r="F114" s="28"/>
      <c r="G114" s="29"/>
      <c r="I114" s="546" t="s">
        <v>635</v>
      </c>
      <c r="J114" s="547">
        <v>0.07</v>
      </c>
      <c r="K114" s="547">
        <v>122.02</v>
      </c>
      <c r="L114" s="547">
        <v>0.05</v>
      </c>
      <c r="M114" s="547">
        <f>ROUND(K114*L114/J114,2)</f>
        <v>87.16</v>
      </c>
      <c r="N114" s="545" t="s">
        <v>449</v>
      </c>
      <c r="O114" s="548" t="s">
        <v>505</v>
      </c>
      <c r="P114" s="548"/>
      <c r="Q114" s="548"/>
      <c r="R114" s="567">
        <f t="shared" si="9"/>
        <v>0.07</v>
      </c>
      <c r="S114" s="568">
        <f t="shared" si="8"/>
        <v>122.02</v>
      </c>
    </row>
    <row r="115" ht="11.4" customHeight="1" spans="1:19">
      <c r="A115" t="str">
        <f t="shared" si="7"/>
        <v>显示</v>
      </c>
      <c r="D115" s="36"/>
      <c r="E115" s="28"/>
      <c r="F115" s="28"/>
      <c r="G115" s="29"/>
      <c r="I115" s="546" t="s">
        <v>636</v>
      </c>
      <c r="J115" s="547">
        <v>0</v>
      </c>
      <c r="K115" s="547">
        <v>0</v>
      </c>
      <c r="L115" s="547">
        <v>0</v>
      </c>
      <c r="M115" s="547">
        <v>0</v>
      </c>
      <c r="N115" s="545" t="s">
        <v>451</v>
      </c>
      <c r="O115" s="548" t="s">
        <v>821</v>
      </c>
      <c r="P115" s="548"/>
      <c r="Q115" s="548"/>
      <c r="R115" s="567">
        <f t="shared" si="9"/>
        <v>0</v>
      </c>
      <c r="S115" s="568">
        <f t="shared" si="8"/>
        <v>0</v>
      </c>
    </row>
    <row r="116" ht="11.4" customHeight="1" spans="1:19">
      <c r="A116" t="str">
        <f t="shared" si="7"/>
        <v>显示</v>
      </c>
      <c r="D116" s="37"/>
      <c r="E116" s="28"/>
      <c r="F116" s="28"/>
      <c r="G116" s="29"/>
      <c r="I116" s="546" t="s">
        <v>637</v>
      </c>
      <c r="J116" s="547">
        <v>0</v>
      </c>
      <c r="K116" s="547">
        <v>0</v>
      </c>
      <c r="L116" s="547">
        <v>0</v>
      </c>
      <c r="M116" s="547">
        <v>0</v>
      </c>
      <c r="N116" s="545" t="s">
        <v>449</v>
      </c>
      <c r="O116" s="548" t="s">
        <v>821</v>
      </c>
      <c r="P116" s="548"/>
      <c r="Q116" s="548"/>
      <c r="R116" s="567">
        <f t="shared" si="9"/>
        <v>0</v>
      </c>
      <c r="S116" s="568">
        <f t="shared" si="8"/>
        <v>0</v>
      </c>
    </row>
    <row r="117" ht="11.4" customHeight="1" spans="1:19">
      <c r="A117" t="str">
        <f t="shared" si="7"/>
        <v>显示</v>
      </c>
      <c r="D117" s="37"/>
      <c r="E117" s="28"/>
      <c r="F117" s="28"/>
      <c r="G117" s="29"/>
      <c r="I117" s="546"/>
      <c r="J117" s="547"/>
      <c r="K117" s="547"/>
      <c r="L117" s="547"/>
      <c r="M117" s="547"/>
      <c r="N117" s="545"/>
      <c r="O117" s="548"/>
      <c r="P117" s="548"/>
      <c r="Q117" s="548"/>
      <c r="R117" s="567" t="str">
        <f t="shared" si="9"/>
        <v/>
      </c>
      <c r="S117" s="568" t="str">
        <f t="shared" si="8"/>
        <v/>
      </c>
    </row>
    <row r="118" ht="11.4" customHeight="1" spans="1:19">
      <c r="A118" t="str">
        <f t="shared" si="7"/>
        <v>显示</v>
      </c>
      <c r="D118" s="37"/>
      <c r="E118" s="28"/>
      <c r="F118" s="28"/>
      <c r="G118" s="29"/>
      <c r="I118" s="546"/>
      <c r="J118" s="547"/>
      <c r="K118" s="547"/>
      <c r="L118" s="547"/>
      <c r="M118" s="547"/>
      <c r="N118" s="545"/>
      <c r="O118" s="548"/>
      <c r="P118" s="548"/>
      <c r="Q118" s="548"/>
      <c r="R118" s="567" t="str">
        <f t="shared" si="9"/>
        <v/>
      </c>
      <c r="S118" s="568" t="str">
        <f t="shared" si="8"/>
        <v/>
      </c>
    </row>
    <row r="119" ht="11.4" customHeight="1" spans="1:19">
      <c r="A119" t="str">
        <f t="shared" si="7"/>
        <v>显示</v>
      </c>
      <c r="E119" s="28"/>
      <c r="F119" s="28"/>
      <c r="G119" s="29"/>
      <c r="I119" s="546"/>
      <c r="J119" s="547"/>
      <c r="K119" s="547"/>
      <c r="L119" s="547"/>
      <c r="M119" s="547"/>
      <c r="N119" s="545"/>
      <c r="O119" s="548"/>
      <c r="P119" s="548"/>
      <c r="Q119" s="548"/>
      <c r="R119" s="567" t="str">
        <f t="shared" si="9"/>
        <v/>
      </c>
      <c r="S119" s="568" t="str">
        <f t="shared" si="8"/>
        <v/>
      </c>
    </row>
    <row r="120" ht="11.4" customHeight="1" spans="1:19">
      <c r="A120" t="str">
        <f t="shared" si="7"/>
        <v>显示</v>
      </c>
      <c r="E120" s="28"/>
      <c r="F120" s="28"/>
      <c r="G120" s="29"/>
      <c r="I120" s="546"/>
      <c r="J120" s="547"/>
      <c r="K120" s="547"/>
      <c r="L120" s="547"/>
      <c r="M120" s="547"/>
      <c r="N120" s="545"/>
      <c r="O120" s="548"/>
      <c r="P120" s="548"/>
      <c r="Q120" s="548"/>
      <c r="R120" s="567" t="str">
        <f t="shared" si="9"/>
        <v/>
      </c>
      <c r="S120" s="568" t="str">
        <f t="shared" si="8"/>
        <v/>
      </c>
    </row>
    <row r="121" ht="11.4" customHeight="1" spans="1:19">
      <c r="A121" t="str">
        <f t="shared" si="7"/>
        <v>显示</v>
      </c>
      <c r="E121" s="28"/>
      <c r="F121" s="28"/>
      <c r="G121" s="29"/>
      <c r="I121" s="546"/>
      <c r="J121" s="547"/>
      <c r="K121" s="547"/>
      <c r="L121" s="547"/>
      <c r="M121" s="547"/>
      <c r="N121" s="545"/>
      <c r="O121" s="548"/>
      <c r="P121" s="548"/>
      <c r="Q121" s="548"/>
      <c r="R121" s="567" t="str">
        <f t="shared" si="9"/>
        <v/>
      </c>
      <c r="S121" s="568" t="str">
        <f t="shared" si="8"/>
        <v/>
      </c>
    </row>
    <row r="122" ht="11.4" customHeight="1" spans="1:19">
      <c r="A122" t="str">
        <f t="shared" si="7"/>
        <v>显示</v>
      </c>
      <c r="E122" s="28"/>
      <c r="F122" s="28"/>
      <c r="G122" s="29"/>
      <c r="I122" s="546"/>
      <c r="J122" s="547"/>
      <c r="K122" s="547"/>
      <c r="L122" s="547"/>
      <c r="M122" s="547"/>
      <c r="N122" s="545"/>
      <c r="O122" s="548"/>
      <c r="P122" s="548"/>
      <c r="Q122" s="548"/>
      <c r="R122" s="567" t="str">
        <f t="shared" si="9"/>
        <v/>
      </c>
      <c r="S122" s="568" t="str">
        <f t="shared" si="8"/>
        <v/>
      </c>
    </row>
    <row r="123" ht="11.4" customHeight="1" spans="1:19">
      <c r="A123" t="str">
        <f t="shared" si="7"/>
        <v>显示</v>
      </c>
      <c r="E123" s="28"/>
      <c r="F123" s="28"/>
      <c r="G123" s="29"/>
      <c r="I123" s="546"/>
      <c r="J123" s="547"/>
      <c r="K123" s="547"/>
      <c r="L123" s="547"/>
      <c r="M123" s="547"/>
      <c r="N123" s="545"/>
      <c r="O123" s="548"/>
      <c r="P123" s="548"/>
      <c r="Q123" s="548"/>
      <c r="R123" s="567" t="str">
        <f t="shared" si="9"/>
        <v/>
      </c>
      <c r="S123" s="568" t="str">
        <f t="shared" si="8"/>
        <v/>
      </c>
    </row>
    <row r="124" ht="11.4" customHeight="1" spans="1:19">
      <c r="A124" t="str">
        <f t="shared" si="7"/>
        <v>显示</v>
      </c>
      <c r="E124" s="28"/>
      <c r="F124" s="28"/>
      <c r="G124" s="29"/>
      <c r="I124" s="549"/>
      <c r="J124" s="550"/>
      <c r="K124" s="551"/>
      <c r="L124" s="550"/>
      <c r="M124" s="551"/>
      <c r="N124" s="552"/>
      <c r="O124" s="553"/>
      <c r="P124" s="553"/>
      <c r="Q124" s="553"/>
      <c r="R124" s="569" t="str">
        <f t="shared" si="9"/>
        <v/>
      </c>
      <c r="S124" s="568" t="str">
        <f t="shared" si="8"/>
        <v/>
      </c>
    </row>
    <row r="125" ht="11.4" customHeight="1" spans="1:19">
      <c r="A125" t="str">
        <f t="shared" si="7"/>
        <v>显示</v>
      </c>
      <c r="E125" s="28"/>
      <c r="F125" s="28"/>
      <c r="G125" s="29"/>
      <c r="I125" s="554" t="str">
        <f>L43</f>
        <v>TOTAL</v>
      </c>
      <c r="J125" s="526"/>
      <c r="K125" s="555">
        <f>IF(K108="","",SUM(K108:K124))</f>
        <v>876.8</v>
      </c>
      <c r="L125" s="526"/>
      <c r="M125" s="555">
        <f>IF(M108="","",SUM(M108:M124))</f>
        <v>476.36</v>
      </c>
      <c r="N125" s="526"/>
      <c r="O125" s="526"/>
      <c r="P125" s="556"/>
      <c r="Q125" s="526"/>
      <c r="R125" s="570" t="str">
        <f>L44</f>
        <v>TOTAL OBSERVED VOLUME OF FREE WATER</v>
      </c>
      <c r="S125" s="571">
        <f>IF(S108="","",SUM(S108:S124))</f>
        <v>772.705</v>
      </c>
    </row>
    <row r="126" ht="3" customHeight="1" spans="1:19">
      <c r="A126" t="str">
        <f t="shared" si="7"/>
        <v>显示</v>
      </c>
      <c r="E126" s="28"/>
      <c r="F126" s="28"/>
      <c r="G126" s="29"/>
      <c r="I126" s="526"/>
      <c r="J126" s="526"/>
      <c r="K126" s="526"/>
      <c r="L126" s="526"/>
      <c r="M126" s="526"/>
      <c r="N126" s="526"/>
      <c r="O126" s="526"/>
      <c r="P126" s="526"/>
      <c r="Q126" s="526"/>
      <c r="R126" s="526" t="s">
        <v>365</v>
      </c>
      <c r="S126" s="526"/>
    </row>
    <row r="127" ht="11.4" customHeight="1" spans="1:19">
      <c r="A127" t="str">
        <f t="shared" si="7"/>
        <v>显示</v>
      </c>
      <c r="D127" s="37"/>
      <c r="E127" s="28"/>
      <c r="F127" s="28"/>
      <c r="G127" s="29"/>
      <c r="I127" s="474" t="str">
        <f>L52</f>
        <v>Reference Standards: </v>
      </c>
      <c r="J127" s="526"/>
      <c r="K127" s="474" t="s">
        <v>814</v>
      </c>
      <c r="L127" s="526"/>
      <c r="M127" s="526"/>
      <c r="N127" s="526"/>
      <c r="O127" s="526"/>
      <c r="P127" s="526"/>
      <c r="Q127" s="526"/>
      <c r="R127" s="526"/>
      <c r="S127" s="526"/>
    </row>
    <row r="128" ht="3" customHeight="1" spans="1:19">
      <c r="A128" t="str">
        <f t="shared" si="7"/>
        <v>显示</v>
      </c>
      <c r="D128" s="37"/>
      <c r="E128" s="28"/>
      <c r="F128" s="38"/>
      <c r="G128" s="29"/>
      <c r="I128" s="474"/>
      <c r="J128" s="526"/>
      <c r="K128" s="526"/>
      <c r="L128" s="526"/>
      <c r="M128" s="526"/>
      <c r="N128" s="526"/>
      <c r="O128" s="526"/>
      <c r="P128" s="526"/>
      <c r="Q128" s="526"/>
      <c r="R128" s="526"/>
      <c r="S128" s="526"/>
    </row>
    <row r="129" ht="11.4" customHeight="1" spans="1:19">
      <c r="A129" t="str">
        <f t="shared" si="7"/>
        <v>显示</v>
      </c>
      <c r="D129" s="37"/>
      <c r="E129" s="28"/>
      <c r="F129" s="38"/>
      <c r="G129" s="29"/>
      <c r="I129" s="578" t="str">
        <f>L45</f>
        <v>Client's instruction of Free Water determination:</v>
      </c>
      <c r="J129" s="526"/>
      <c r="K129" s="526"/>
      <c r="L129" s="526"/>
      <c r="M129" s="526"/>
      <c r="N129" s="526"/>
      <c r="O129" s="526"/>
      <c r="P129" s="526"/>
      <c r="Q129" s="526"/>
      <c r="R129" s="526"/>
      <c r="S129" s="526"/>
    </row>
    <row r="130" ht="11.4" customHeight="1" spans="1:19">
      <c r="A130" t="str">
        <f t="shared" si="7"/>
        <v>显示</v>
      </c>
      <c r="D130" s="37"/>
      <c r="E130" s="28"/>
      <c r="F130" s="38"/>
      <c r="G130" s="29"/>
      <c r="I130" s="579" t="s">
        <v>822</v>
      </c>
      <c r="J130" s="579"/>
      <c r="K130" s="579"/>
      <c r="L130" s="579"/>
      <c r="M130" s="579"/>
      <c r="N130" s="579"/>
      <c r="O130" s="579"/>
      <c r="P130" s="579"/>
      <c r="Q130" s="579"/>
      <c r="R130" s="579"/>
      <c r="S130" s="579"/>
    </row>
    <row r="131" ht="11.4" customHeight="1" spans="1:19">
      <c r="A131" t="str">
        <f t="shared" si="7"/>
        <v>显示</v>
      </c>
      <c r="D131" s="37"/>
      <c r="E131" s="38"/>
      <c r="F131" s="38"/>
      <c r="G131" s="29"/>
      <c r="I131" s="580"/>
      <c r="J131" s="580"/>
      <c r="K131" s="580"/>
      <c r="L131" s="580"/>
      <c r="M131" s="580"/>
      <c r="N131" s="580"/>
      <c r="O131" s="580"/>
      <c r="P131" s="580"/>
      <c r="Q131" s="580"/>
      <c r="R131" s="580"/>
      <c r="S131" s="580"/>
    </row>
    <row r="132" ht="4.95" customHeight="1" spans="1:19">
      <c r="A132" t="str">
        <f t="shared" si="7"/>
        <v>显示</v>
      </c>
      <c r="D132" s="31"/>
      <c r="E132" s="28"/>
      <c r="F132" s="38"/>
      <c r="G132" s="29"/>
      <c r="I132" s="526"/>
      <c r="J132" s="526"/>
      <c r="K132" s="526"/>
      <c r="L132" s="526"/>
      <c r="M132" s="526"/>
      <c r="N132" s="526"/>
      <c r="O132" s="526"/>
      <c r="P132" s="526"/>
      <c r="Q132" s="526"/>
      <c r="R132" s="526"/>
      <c r="S132" s="526"/>
    </row>
    <row r="133" hidden="1" spans="1:19">
      <c r="A133" t="str">
        <f t="shared" si="7"/>
        <v>隐藏</v>
      </c>
      <c r="B133" t="str">
        <f>IF(Report_type="正式报告 Official Report","隐藏","显示")</f>
        <v>隐藏</v>
      </c>
      <c r="D133" s="31"/>
      <c r="E133" s="38"/>
      <c r="F133" s="38"/>
      <c r="G133" s="29"/>
      <c r="I133" s="526"/>
      <c r="J133" s="529" t="str">
        <f>L47</f>
        <v>Master/Chief Officer</v>
      </c>
      <c r="K133" s="581"/>
      <c r="L133" s="581"/>
      <c r="M133" s="581"/>
      <c r="N133" s="581"/>
      <c r="O133" s="581"/>
      <c r="P133" s="351" t="str">
        <f>L48</f>
        <v>CCIC Surveyor</v>
      </c>
      <c r="Q133" s="526"/>
      <c r="R133" s="526"/>
      <c r="S133" s="526"/>
    </row>
    <row r="134" ht="21" hidden="1" customHeight="1" spans="1:19">
      <c r="A134" t="str">
        <f t="shared" si="7"/>
        <v>隐藏</v>
      </c>
      <c r="B134" t="str">
        <f>IF(Report_type="正式报告 Official Report","隐藏","显示")</f>
        <v>隐藏</v>
      </c>
      <c r="I134" s="526"/>
      <c r="J134" s="582" t="str">
        <f>L49</f>
        <v>Name</v>
      </c>
      <c r="K134" s="583"/>
      <c r="L134" s="583"/>
      <c r="M134" s="581"/>
      <c r="N134" s="581"/>
      <c r="O134" s="581"/>
      <c r="P134" s="530" t="str">
        <f>L49</f>
        <v>Name</v>
      </c>
      <c r="Q134" s="589" t="s">
        <v>10</v>
      </c>
      <c r="R134" s="589"/>
      <c r="S134" s="526"/>
    </row>
    <row r="135" ht="25.8" hidden="1" customHeight="1" spans="1:19">
      <c r="A135" t="str">
        <f t="shared" si="7"/>
        <v>隐藏</v>
      </c>
      <c r="B135" t="str">
        <f>IF(Report_type="正式报告 Official Report","隐藏","显示")</f>
        <v>隐藏</v>
      </c>
      <c r="I135" s="526"/>
      <c r="J135" s="584" t="str">
        <f>L50</f>
        <v>Signature</v>
      </c>
      <c r="K135" s="585"/>
      <c r="L135" s="585"/>
      <c r="M135" s="581"/>
      <c r="N135" s="581"/>
      <c r="O135" s="581"/>
      <c r="P135" s="586" t="str">
        <f>L50</f>
        <v>Signature</v>
      </c>
      <c r="Q135" s="590"/>
      <c r="R135" s="590"/>
      <c r="S135" s="526"/>
    </row>
    <row r="136" ht="37.2" customHeight="1" spans="1:19">
      <c r="A136" t="str">
        <f t="shared" si="7"/>
        <v>显示</v>
      </c>
      <c r="B136" t="str">
        <f>IF(Report_type="正式报告 Official Report","显示","隐藏")</f>
        <v>显示</v>
      </c>
      <c r="I136" s="526"/>
      <c r="J136" s="526"/>
      <c r="K136" s="526"/>
      <c r="L136" s="526"/>
      <c r="M136" s="526"/>
      <c r="N136" s="526"/>
      <c r="O136" s="526"/>
      <c r="P136" s="587"/>
      <c r="Q136" s="591"/>
      <c r="R136" s="591"/>
      <c r="S136" s="526"/>
    </row>
    <row r="137" spans="1:19">
      <c r="A137" t="str">
        <f t="shared" si="7"/>
        <v>显示</v>
      </c>
      <c r="B137" t="str">
        <f>IF(Report_type="正式报告 Official Report","显示","隐藏")</f>
        <v>显示</v>
      </c>
      <c r="I137" s="526"/>
      <c r="J137" s="526"/>
      <c r="K137" s="526"/>
      <c r="L137" s="526"/>
      <c r="M137" s="526"/>
      <c r="N137" s="526"/>
      <c r="O137" s="526"/>
      <c r="P137" s="474" t="str">
        <f>L51</f>
        <v>Authorized Signature (S)</v>
      </c>
      <c r="Q137" s="526"/>
      <c r="R137" s="526"/>
      <c r="S137" s="526"/>
    </row>
    <row r="138" ht="3" customHeight="1" spans="1:19">
      <c r="A138" t="str">
        <f t="shared" si="7"/>
        <v>显示</v>
      </c>
      <c r="I138" s="526"/>
      <c r="J138" s="526"/>
      <c r="K138" s="526"/>
      <c r="L138" s="526"/>
      <c r="M138" s="526"/>
      <c r="N138" s="526"/>
      <c r="O138" s="526"/>
      <c r="P138" s="526"/>
      <c r="Q138" s="526"/>
      <c r="R138" s="526"/>
      <c r="S138" s="526"/>
    </row>
    <row r="139" ht="17.4" customHeight="1" spans="1:19">
      <c r="A139" t="str">
        <f t="shared" si="7"/>
        <v>显示</v>
      </c>
      <c r="I139" s="588" t="str">
        <f>L46</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39" s="588"/>
      <c r="K139" s="588"/>
      <c r="L139" s="588"/>
      <c r="M139" s="588"/>
      <c r="N139" s="588"/>
      <c r="O139" s="588"/>
      <c r="P139" s="588"/>
      <c r="Q139" s="588"/>
      <c r="R139" s="588"/>
      <c r="S139" s="588"/>
    </row>
  </sheetData>
  <mergeCells count="43">
    <mergeCell ref="N92:O92"/>
    <mergeCell ref="P92:S92"/>
    <mergeCell ref="N93:O93"/>
    <mergeCell ref="P93:S93"/>
    <mergeCell ref="N94:O94"/>
    <mergeCell ref="P94:S94"/>
    <mergeCell ref="N95:O95"/>
    <mergeCell ref="P95:S95"/>
    <mergeCell ref="N96:O96"/>
    <mergeCell ref="P96:S96"/>
    <mergeCell ref="N97:O97"/>
    <mergeCell ref="P97:S97"/>
    <mergeCell ref="N98:O98"/>
    <mergeCell ref="P98:S98"/>
    <mergeCell ref="R100:S100"/>
    <mergeCell ref="R101:S101"/>
    <mergeCell ref="R102:S102"/>
    <mergeCell ref="O108:Q108"/>
    <mergeCell ref="O109:Q109"/>
    <mergeCell ref="O110:Q110"/>
    <mergeCell ref="O111:Q111"/>
    <mergeCell ref="O112:Q112"/>
    <mergeCell ref="O113:Q113"/>
    <mergeCell ref="O114:Q114"/>
    <mergeCell ref="O115:Q115"/>
    <mergeCell ref="O116:Q116"/>
    <mergeCell ref="O117:Q117"/>
    <mergeCell ref="O118:Q118"/>
    <mergeCell ref="O119:Q119"/>
    <mergeCell ref="O120:Q120"/>
    <mergeCell ref="O121:Q121"/>
    <mergeCell ref="O122:Q122"/>
    <mergeCell ref="O123:Q123"/>
    <mergeCell ref="O124:Q124"/>
    <mergeCell ref="I130:S130"/>
    <mergeCell ref="I131:S131"/>
    <mergeCell ref="Q134:R134"/>
    <mergeCell ref="I139:S139"/>
    <mergeCell ref="I104:I107"/>
    <mergeCell ref="N104:N107"/>
    <mergeCell ref="O104:S105"/>
    <mergeCell ref="O106:Q107"/>
    <mergeCell ref="I92:M102"/>
  </mergeCells>
  <conditionalFormatting sqref="K108:K125 M108:M125 S108:S125">
    <cfRule type="expression" dxfId="0" priority="1">
      <formula>AND($C$117=$C$36)</formula>
    </cfRule>
    <cfRule type="expression" dxfId="1" priority="2">
      <formula>AND($C$117=$C$37)</formula>
    </cfRule>
  </conditionalFormatting>
  <dataValidations count="14">
    <dataValidation type="list" allowBlank="1" showInputMessage="1" showErrorMessage="1" promptTitle="请按实际情况选择" prompt="Calm 微波 0~0.1m&#10;Slight 轻浪 0.5~1.25m&#10;Moderate 中浪 1.25~2.5m&#10;Rough 大浪 2.5~4.0m" sqref="R100:S100">
      <formula1>$L$21:$L$24</formula1>
    </dataValidation>
    <dataValidation type="list" allowBlank="1" showInputMessage="1" showErrorMessage="1" sqref="V65630 V131166 V196702 V262238 V327774 V393310 V458846 V524382 V589918 V655454 V720990 V786526 V852062 V917598 V983134">
      <formula1>OFFSET($C$27,,,2)</formula1>
    </dataValidation>
    <dataValidation type="list" allowBlank="1" showInputMessage="1" showErrorMessage="1" sqref="T65615:U65615 T131151:U131151 T196687:U196687 T262223:U262223 T327759:U327759 T393295:U393295 T458831:U458831 T524367:U524367 T589903:U589903 T655439:U655439 T720975:U720975 T786511:U786511 T852047:U852047 T917583:U917583 T983119:U983119">
      <formula1>$A$1:$B$1</formula1>
    </dataValidation>
    <dataValidation type="list" allowBlank="1" showInputMessage="1" showErrorMessage="1" prompt="PLS choose Degree P or S, if no list, PLS choose Upright.&#10;请选择左倾或右倾，没有横倾时，请选择无横倾" sqref="P102">
      <formula1>$L$15:$L$17</formula1>
    </dataValidation>
    <dataValidation type="list" allowBlank="1" showInputMessage="1" showErrorMessage="1" prompt="PLS Choose Yes or No&#10;请根据实际情况选择" sqref="N108:N124">
      <formula1>$L$39:$L$40</formula1>
    </dataValidation>
    <dataValidation type="list" allowBlank="1" showInputMessage="1" showErrorMessage="1" sqref="K104">
      <formula1>$L$27:$L$28</formula1>
    </dataValidation>
    <dataValidation type="list" allowBlank="1" showInputMessage="1" showErrorMessage="1" prompt="PLS choose Degree P or S, if no list, PLS choose blank.&#10;请选择左倾或右倾，没有横倾时，请选择空白" sqref="AA65628 AA131164 AA196700 AA262236 AA327772 AA393308 AA458844 AA524380 AA589916 AA655452 AA720988 AA786524 AA852060 AA917596 AA983132">
      <formula1>OFFSET($C$15,,,3)</formula1>
    </dataValidation>
    <dataValidation type="list" allowBlank="1" showInputMessage="1" showErrorMessage="1" promptTitle="PLS choose unit of Vol 请选择体积单位" prompt="PLS keep the unit same with ullage report&#10;体积单位请与空距报告保持一致" sqref="K107">
      <formula1>$L$36:$L$37</formula1>
    </dataValidation>
    <dataValidation type="list" allowBlank="1" showInputMessage="1" showErrorMessage="1" promptTitle="请按实际情况选择" prompt="Calm 微波 0~0.1m&#10;Slight 轻浪 0.5~1.25m&#10;Moderate 中浪 1.25~2.5m&#10;Rough 大浪 2.5~4.0m" sqref="AC65626:AD65626 AC131162:AD131162 AC196698:AD196698 AC262234:AD262234 AC327770:AD327770 AC393306:AD393306 AC458842:AD458842 AC524378:AD524378 AC589914:AD589914 AC655450:AD655450 AC720986:AD720986 AC786522:AD786522 AC852058:AD852058 AC917594:AD917594 AC983130:AD983130">
      <formula1>OFFSET($C$21,,,4)</formula1>
    </dataValidation>
    <dataValidation type="list" allowBlank="1" showInputMessage="1" showErrorMessage="1" sqref="V65615:W65615 V131151:W131151 V196687:W196687 V262223:W262223 V327759:W327759 V393295:W393295 V458831:W458831 V524367:W524367 V589903:W589903 V655439:W655439 V720975:W720975 V786511:W786511 V852047:W852047 V917583:W917583 V983119:W983119">
      <formula1>"现场报告 Field Report,正式报告 Official Report"</formula1>
    </dataValidation>
    <dataValidation type="list" allowBlank="1" showInputMessage="1" showErrorMessage="1" promptTitle="PLS choose unit of Vol 请选择体积单位" prompt="PLS keep the unit same with ullage report&#10;体积单位请与空距报告保持一致" sqref="V65633 V131169 V196705 V262241 V327777 V393313 V458849 V524385 V589921 V655457 V720993 V786529 V852065 V917601 V983137">
      <formula1>OFFSET($C$36,,,2)</formula1>
    </dataValidation>
    <dataValidation type="list" allowBlank="1" showInputMessage="1" showErrorMessage="1" prompt="PLS Choose Yes or No&#10;请根据实际情况选择" sqref="Y65634:Y65650 Y131170:Y131186 Y196706:Y196722 Y262242:Y262258 Y327778:Y327794 Y393314:Y393330 Y458850:Y458866 Y524386:Y524402 Y589922:Y589938 Y655458:Y655474 Y720994:Y721010 Y786530:Y786546 Y852066:Y852082 Y917602:Y917618 Y983138:Y983154">
      <formula1>OFFSET($C$39,,,2)</formula1>
    </dataValidation>
    <dataValidation type="list" allowBlank="1" showInputMessage="1" showErrorMessage="1" prompt="PLS Choose according with client's WI&#10;请根据客户指示选择" sqref="Z983138:AB983154 Z65634:AB65650 Z131170:AB131186 Z196706:AB196722 Z262242:AB262258 Z327778:AB327794 Z393314:AB393330 Z458850:AB458866 Z524386:AB524402 Z589922:AB589938 Z655458:AB655474 Z720994:AB721010 Z786530:AB786546 Z852066:AB852082 Z917602:AB917618">
      <formula1>OFFSET($C$27,,,4)</formula1>
    </dataValidation>
    <dataValidation type="list" allowBlank="1" showInputMessage="1" showErrorMessage="1" prompt="PLS Choose according with client's WI&#10;请根据客户指示选择" sqref="O108:Q124">
      <formula1>$L$27:$L$30</formula1>
    </dataValidation>
  </dataValidations>
  <pageMargins left="0.551181102362205" right="0.708661417322835" top="0.31496062992126" bottom="0.62992125984252" header="0.31496062992126" footer="0.31496062992126"/>
  <pageSetup paperSize="9" orientation="landscape"/>
  <headerFooter>
    <oddHeader>&amp;L&amp;G</oddHeader>
  </headerFooter>
  <drawing r:id="rId1"/>
  <legacyDrawing r:id="rId2"/>
  <legacyDrawingHF r:id="rId4"/>
  <mc:AlternateContent xmlns:mc="http://schemas.openxmlformats.org/markup-compatibility/2006">
    <mc:Choice Requires="x14">
      <controls>
        <mc:AlternateContent xmlns:mc="http://schemas.openxmlformats.org/markup-compatibility/2006">
          <mc:Choice Requires="x14">
            <control shapeId="10254" name="Button 14" r:id="rId3">
              <controlPr print="0" defaultSize="0">
                <anchor moveWithCells="1">
                  <from>
                    <xdr:col>19</xdr:col>
                    <xdr:colOff>220980</xdr:colOff>
                    <xdr:row>99</xdr:row>
                    <xdr:rowOff>7620</xdr:rowOff>
                  </from>
                  <to>
                    <xdr:col>22</xdr:col>
                    <xdr:colOff>304800</xdr:colOff>
                    <xdr:row>100</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W219"/>
  <sheetViews>
    <sheetView showGridLines="0" tabSelected="1" zoomScale="90" zoomScaleNormal="90" topLeftCell="A121" workbookViewId="0">
      <selection activeCell="H124" sqref="H124"/>
    </sheetView>
  </sheetViews>
  <sheetFormatPr defaultColWidth="9" defaultRowHeight="14.25"/>
  <cols>
    <col min="1" max="3" width="8.88333333333333" customWidth="1"/>
    <col min="4" max="5" width="9.10833333333333" customWidth="1"/>
    <col min="6" max="6" width="8.88333333333333" customWidth="1"/>
    <col min="7" max="7" width="9.33333333333333" customWidth="1"/>
    <col min="8" max="8" width="12.6666666666667" customWidth="1"/>
    <col min="9" max="9" width="6.775" customWidth="1"/>
    <col min="10" max="10" width="8.55833333333333" customWidth="1"/>
    <col min="11" max="11" width="8.88333333333333"/>
    <col min="12" max="17" width="10" customWidth="1"/>
    <col min="18" max="16384" width="8.88333333333333"/>
  </cols>
  <sheetData>
    <row r="1" spans="7:19">
      <c r="G1" s="466" t="s">
        <v>823</v>
      </c>
      <c r="H1" s="466" t="s">
        <v>824</v>
      </c>
      <c r="I1" s="467"/>
      <c r="J1" s="474" t="s">
        <v>825</v>
      </c>
      <c r="K1" s="474">
        <v>1</v>
      </c>
      <c r="L1" s="474" t="str">
        <f>INDEX(J1:J2,K1,0)</f>
        <v>英文 English</v>
      </c>
      <c r="M1" s="474"/>
      <c r="N1" s="474" t="s">
        <v>826</v>
      </c>
      <c r="O1" s="474" t="s">
        <v>827</v>
      </c>
      <c r="P1" s="474" t="str">
        <f t="shared" ref="P1:P58" si="0">IF(Report_Language=$G$1,N1,O1)</f>
        <v>VCF Table</v>
      </c>
      <c r="Q1" s="474" t="s">
        <v>828</v>
      </c>
      <c r="R1" s="474" t="s">
        <v>829</v>
      </c>
      <c r="S1" s="474" t="str">
        <f t="shared" ref="S1:S14" si="1">IF(Report_Language=$G$1,Q1,R1)</f>
        <v>Temp. Unit :</v>
      </c>
    </row>
    <row r="2" spans="7:19">
      <c r="G2" s="467" t="s">
        <v>15</v>
      </c>
      <c r="H2" s="467" t="s">
        <v>830</v>
      </c>
      <c r="I2" s="467" t="str">
        <f>IF(Report_Language=$G$1,G2,H2)</f>
        <v>JOB NO.</v>
      </c>
      <c r="J2" s="474" t="s">
        <v>831</v>
      </c>
      <c r="K2" s="474">
        <v>2</v>
      </c>
      <c r="L2" s="474" t="str">
        <f>INDEX(J26:J27,K2,0)</f>
        <v>正式报告 Official Report</v>
      </c>
      <c r="M2" s="474"/>
      <c r="N2" s="474" t="s">
        <v>832</v>
      </c>
      <c r="O2" s="474" t="s">
        <v>833</v>
      </c>
      <c r="P2" s="474" t="str">
        <f t="shared" si="0"/>
        <v>Delivery Quantity</v>
      </c>
      <c r="Q2" s="474" t="s">
        <v>834</v>
      </c>
      <c r="R2" s="474" t="s">
        <v>835</v>
      </c>
      <c r="S2" s="474" t="str">
        <f t="shared" si="1"/>
        <v>Table Volume of Static Pressure Corr.</v>
      </c>
    </row>
    <row r="3" spans="7:19">
      <c r="G3" s="467" t="s">
        <v>17</v>
      </c>
      <c r="H3" s="467" t="s">
        <v>836</v>
      </c>
      <c r="I3" s="467" t="str">
        <f t="shared" ref="I3:I33" si="2">IF(Report_Language=$G$1,G3,H3)</f>
        <v>DATE OF REPORT</v>
      </c>
      <c r="J3" s="475" t="s">
        <v>88</v>
      </c>
      <c r="K3" s="474">
        <v>2</v>
      </c>
      <c r="L3" s="474" t="str">
        <f>INDEX(J28:J31,K3,0)</f>
        <v>B--成品油 Refined Products</v>
      </c>
      <c r="M3" s="474" t="str">
        <f>LEFT(L3,1)</f>
        <v>B</v>
      </c>
      <c r="N3" s="474" t="s">
        <v>837</v>
      </c>
      <c r="O3" s="474" t="s">
        <v>838</v>
      </c>
      <c r="P3" s="474" t="str">
        <f t="shared" si="0"/>
        <v>Received Quantity</v>
      </c>
      <c r="Q3" s="474" t="s">
        <v>839</v>
      </c>
      <c r="R3" s="478" t="s">
        <v>840</v>
      </c>
      <c r="S3" s="474" t="str">
        <f t="shared" si="1"/>
        <v>Volume Unit :</v>
      </c>
    </row>
    <row r="4" spans="7:19">
      <c r="G4" s="468" t="s">
        <v>20</v>
      </c>
      <c r="H4" s="468" t="s">
        <v>841</v>
      </c>
      <c r="I4" s="468" t="str">
        <f t="shared" si="2"/>
        <v>APPLICANT</v>
      </c>
      <c r="J4" s="475" t="s">
        <v>91</v>
      </c>
      <c r="K4" s="474">
        <v>14</v>
      </c>
      <c r="L4" s="474" t="str">
        <f>INDEX(J3:J20,K4,0)</f>
        <v>T-60B</v>
      </c>
      <c r="M4" s="474"/>
      <c r="N4" s="474" t="s">
        <v>842</v>
      </c>
      <c r="O4" s="474" t="s">
        <v>843</v>
      </c>
      <c r="P4" s="474" t="str">
        <f t="shared" si="0"/>
        <v>Inventory Quantity</v>
      </c>
      <c r="Q4" s="474" t="s">
        <v>844</v>
      </c>
      <c r="R4" s="474" t="s">
        <v>845</v>
      </c>
      <c r="S4" s="474" t="str">
        <f t="shared" si="1"/>
        <v>Table Volume of dm</v>
      </c>
    </row>
    <row r="5" spans="7:19">
      <c r="G5" s="468" t="s">
        <v>23</v>
      </c>
      <c r="H5" s="468" t="s">
        <v>846</v>
      </c>
      <c r="I5" s="468" t="str">
        <f t="shared" si="2"/>
        <v>CLIENT'S REF. NO.</v>
      </c>
      <c r="J5" s="475" t="s">
        <v>92</v>
      </c>
      <c r="K5" s="474">
        <v>3</v>
      </c>
      <c r="L5" s="474">
        <f>INDEX(J23:J25,K5,0)</f>
        <v>2004</v>
      </c>
      <c r="M5" s="474"/>
      <c r="N5" s="474" t="s">
        <v>411</v>
      </c>
      <c r="O5" s="474" t="s">
        <v>412</v>
      </c>
      <c r="P5" s="474" t="str">
        <f t="shared" si="0"/>
        <v>US Barrels (Obsd. Temp.)</v>
      </c>
      <c r="Q5" s="474" t="s">
        <v>847</v>
      </c>
      <c r="R5" s="474" t="s">
        <v>848</v>
      </c>
      <c r="S5" s="474" t="str">
        <f t="shared" si="1"/>
        <v>Table Volume of cm</v>
      </c>
    </row>
    <row r="6" spans="7:19">
      <c r="G6" s="468" t="s">
        <v>25</v>
      </c>
      <c r="H6" s="468" t="s">
        <v>849</v>
      </c>
      <c r="I6" s="468" t="str">
        <f t="shared" si="2"/>
        <v>COMMODITY</v>
      </c>
      <c r="J6" s="475" t="s">
        <v>95</v>
      </c>
      <c r="K6" s="474">
        <v>1</v>
      </c>
      <c r="L6" s="474" t="str">
        <f>INDEX(J21:J22,K6,0)</f>
        <v>ASTM D1250-1980</v>
      </c>
      <c r="M6" s="474"/>
      <c r="N6" s="474" t="s">
        <v>381</v>
      </c>
      <c r="O6" s="474" t="s">
        <v>382</v>
      </c>
      <c r="P6" s="474" t="str">
        <f t="shared" si="0"/>
        <v>Cubic Meters (Obsd. Temp.)</v>
      </c>
      <c r="Q6" s="474" t="s">
        <v>850</v>
      </c>
      <c r="R6" s="474" t="s">
        <v>851</v>
      </c>
      <c r="S6" s="474" t="str">
        <f t="shared" si="1"/>
        <v>Table Volume of mm</v>
      </c>
    </row>
    <row r="7" spans="7:19">
      <c r="G7" s="468" t="s">
        <v>28</v>
      </c>
      <c r="H7" s="468" t="s">
        <v>852</v>
      </c>
      <c r="I7" s="468" t="str">
        <f t="shared" si="2"/>
        <v>VESSEL</v>
      </c>
      <c r="J7" s="475" t="s">
        <v>98</v>
      </c>
      <c r="K7" s="474">
        <v>1</v>
      </c>
      <c r="L7" s="474" t="str">
        <f>IF(K7=1,"Den15",IF(K7=2,"Den20",IF(K7=3,"API","SG")))</f>
        <v>Den15</v>
      </c>
      <c r="M7" s="474" t="str">
        <f>INDEX(P34:P37,K7,0)</f>
        <v>Density@15℃</v>
      </c>
      <c r="N7" s="474" t="s">
        <v>413</v>
      </c>
      <c r="O7" s="474" t="s">
        <v>414</v>
      </c>
      <c r="P7" s="474" t="str">
        <f t="shared" si="0"/>
        <v>US Barrels (60℉)</v>
      </c>
      <c r="Q7" s="474" t="s">
        <v>853</v>
      </c>
      <c r="R7" s="474" t="s">
        <v>854</v>
      </c>
      <c r="S7" s="474" t="str">
        <f t="shared" si="1"/>
        <v>Table Volume of Free Water</v>
      </c>
    </row>
    <row r="8" spans="7:19">
      <c r="G8" s="468" t="s">
        <v>31</v>
      </c>
      <c r="H8" s="468" t="s">
        <v>855</v>
      </c>
      <c r="I8" s="468" t="str">
        <f t="shared" si="2"/>
        <v>PORT</v>
      </c>
      <c r="J8" s="475" t="s">
        <v>101</v>
      </c>
      <c r="K8" s="474" t="s">
        <v>856</v>
      </c>
      <c r="L8" s="474" t="s">
        <v>857</v>
      </c>
      <c r="M8" s="474" t="str">
        <f>IF(Report_Language=$G$1,K8,L8)</f>
        <v>g/cm³</v>
      </c>
      <c r="N8" s="474" t="s">
        <v>415</v>
      </c>
      <c r="O8" s="474" t="s">
        <v>416</v>
      </c>
      <c r="P8" s="474" t="str">
        <f t="shared" si="0"/>
        <v>US Gallon (60℉)</v>
      </c>
      <c r="Q8" s="474" t="s">
        <v>858</v>
      </c>
      <c r="R8" s="474" t="s">
        <v>859</v>
      </c>
      <c r="S8" s="474" t="str">
        <f t="shared" si="1"/>
        <v>Liquid Level</v>
      </c>
    </row>
    <row r="9" spans="7:19">
      <c r="G9" s="469" t="s">
        <v>34</v>
      </c>
      <c r="H9" s="468" t="s">
        <v>860</v>
      </c>
      <c r="I9" s="468" t="str">
        <f t="shared" si="2"/>
        <v>TERMINAL</v>
      </c>
      <c r="J9" s="475" t="s">
        <v>104</v>
      </c>
      <c r="K9" s="474" t="s">
        <v>861</v>
      </c>
      <c r="L9" s="474" t="s">
        <v>861</v>
      </c>
      <c r="M9" s="474" t="str">
        <f>IF(Report_Language=$G$1,K9,L9)</f>
        <v>°API</v>
      </c>
      <c r="N9" s="474" t="s">
        <v>385</v>
      </c>
      <c r="O9" s="474" t="s">
        <v>386</v>
      </c>
      <c r="P9" s="474" t="str">
        <f t="shared" si="0"/>
        <v>Cubic Meters (15℃)</v>
      </c>
      <c r="Q9" s="474" t="s">
        <v>862</v>
      </c>
      <c r="R9" s="478" t="s">
        <v>863</v>
      </c>
      <c r="S9" s="474" t="str">
        <f t="shared" si="1"/>
        <v>SHORE TANK MEASUREMENT REPORT</v>
      </c>
    </row>
    <row r="10" spans="7:19">
      <c r="G10" s="468" t="s">
        <v>36</v>
      </c>
      <c r="H10" s="468" t="s">
        <v>864</v>
      </c>
      <c r="I10" s="468" t="str">
        <f t="shared" si="2"/>
        <v>DATE OF INSPECTION</v>
      </c>
      <c r="J10" s="475" t="s">
        <v>107</v>
      </c>
      <c r="K10" s="474">
        <v>2</v>
      </c>
      <c r="L10" s="474" t="str">
        <f>INDEX(P16:P17,TOV单位序号,0)</f>
        <v>Bbls</v>
      </c>
      <c r="M10" s="474" t="str">
        <f>INDEX(I20:I23,输入密度序号,0)</f>
        <v>Density@15℃ (g/cm³)</v>
      </c>
      <c r="N10" s="474" t="s">
        <v>389</v>
      </c>
      <c r="O10" s="474" t="s">
        <v>390</v>
      </c>
      <c r="P10" s="474" t="str">
        <f t="shared" si="0"/>
        <v>Cubic Meters (20℃)</v>
      </c>
      <c r="Q10" s="474" t="s">
        <v>447</v>
      </c>
      <c r="R10" s="474" t="s">
        <v>448</v>
      </c>
      <c r="S10" s="474" t="str">
        <f t="shared" si="1"/>
        <v>Remark:</v>
      </c>
    </row>
    <row r="11" spans="7:19">
      <c r="G11" s="468" t="s">
        <v>44</v>
      </c>
      <c r="H11" s="468" t="str">
        <f>G11</f>
        <v>SG0020031202-I</v>
      </c>
      <c r="I11" s="468" t="s">
        <v>45</v>
      </c>
      <c r="J11" s="475" t="s">
        <v>110</v>
      </c>
      <c r="M11" s="474"/>
      <c r="N11" s="474" t="s">
        <v>393</v>
      </c>
      <c r="O11" s="474" t="s">
        <v>394</v>
      </c>
      <c r="P11" s="474" t="str">
        <f t="shared" si="0"/>
        <v>Cubic Meters (30℃)</v>
      </c>
      <c r="Q11" s="474" t="s">
        <v>696</v>
      </c>
      <c r="R11" s="474" t="s">
        <v>697</v>
      </c>
      <c r="S11" s="474" t="str">
        <f t="shared" si="1"/>
        <v>- Reference Standards: API MPMS Chapter 3, Chapter 7 (2012), Chapter 11.1 (R2012), Chapter 11.5(E2011), Chapter 12.1.1(E2015).</v>
      </c>
    </row>
    <row r="12" spans="7:19">
      <c r="G12" s="470" t="s">
        <v>46</v>
      </c>
      <c r="H12" s="468" t="str">
        <f>G12</f>
        <v>YYYY-MM-DD</v>
      </c>
      <c r="I12" s="468" t="s">
        <v>46</v>
      </c>
      <c r="J12" s="475" t="s">
        <v>113</v>
      </c>
      <c r="M12" s="474"/>
      <c r="N12" s="474" t="s">
        <v>417</v>
      </c>
      <c r="O12" s="474" t="s">
        <v>418</v>
      </c>
      <c r="P12" s="474" t="str">
        <f t="shared" si="0"/>
        <v>Metric Tons (in vacuo)</v>
      </c>
      <c r="Q12" s="792" t="s">
        <v>865</v>
      </c>
      <c r="R12" s="792" t="s">
        <v>866</v>
      </c>
      <c r="S12" s="474" t="str">
        <f t="shared" si="1"/>
        <v>- Density Source:</v>
      </c>
    </row>
    <row r="13" spans="7:19">
      <c r="G13" s="468" t="s">
        <v>48</v>
      </c>
      <c r="H13" s="468" t="s">
        <v>49</v>
      </c>
      <c r="I13" s="468" t="str">
        <f t="shared" si="2"/>
        <v>PETROCHINA </v>
      </c>
      <c r="J13" s="475" t="s">
        <v>116</v>
      </c>
      <c r="K13" s="474">
        <v>2</v>
      </c>
      <c r="L13" s="474" t="str">
        <f>INDEX(P2:P4,K13,0)</f>
        <v>Received Quantity</v>
      </c>
      <c r="M13" s="474"/>
      <c r="N13" s="474" t="s">
        <v>419</v>
      </c>
      <c r="O13" s="474" t="s">
        <v>420</v>
      </c>
      <c r="P13" s="474" t="str">
        <f t="shared" si="0"/>
        <v>Metric Tons (in air)</v>
      </c>
      <c r="Q13" s="792" t="s">
        <v>867</v>
      </c>
      <c r="R13" s="792" t="s">
        <v>868</v>
      </c>
      <c r="S13" s="474" t="str">
        <f t="shared" si="1"/>
        <v>- Density, S&amp;W Source:</v>
      </c>
    </row>
    <row r="14" spans="7:19">
      <c r="G14" s="468" t="s">
        <v>50</v>
      </c>
      <c r="H14" s="468" t="s">
        <v>117</v>
      </c>
      <c r="I14" s="468" t="s">
        <v>51</v>
      </c>
      <c r="J14" s="475" t="s">
        <v>120</v>
      </c>
      <c r="K14" s="474"/>
      <c r="L14" s="474"/>
      <c r="M14" s="474"/>
      <c r="N14" s="474" t="s">
        <v>421</v>
      </c>
      <c r="O14" s="474" t="s">
        <v>422</v>
      </c>
      <c r="P14" s="474" t="str">
        <f t="shared" si="0"/>
        <v>Long Tons (in vacuo)</v>
      </c>
      <c r="Q14" s="792" t="s">
        <v>869</v>
      </c>
      <c r="R14" s="792" t="s">
        <v>870</v>
      </c>
      <c r="S14" s="474" t="str">
        <f t="shared" si="1"/>
        <v>- Free Water Determination:</v>
      </c>
    </row>
    <row r="15" spans="7:19">
      <c r="G15" s="468" t="s">
        <v>52</v>
      </c>
      <c r="H15" s="468" t="s">
        <v>53</v>
      </c>
      <c r="I15" s="468" t="str">
        <f t="shared" si="2"/>
        <v>Crude Oil6658</v>
      </c>
      <c r="J15" s="475" t="s">
        <v>123</v>
      </c>
      <c r="K15" s="474"/>
      <c r="L15" s="474"/>
      <c r="M15" s="474"/>
      <c r="N15" s="474" t="s">
        <v>423</v>
      </c>
      <c r="O15" s="474" t="s">
        <v>424</v>
      </c>
      <c r="P15" s="474" t="str">
        <f t="shared" si="0"/>
        <v>Long Tons (in air)</v>
      </c>
      <c r="Q15" s="474"/>
      <c r="R15" s="474"/>
      <c r="S15" s="474"/>
    </row>
    <row r="16" spans="7:19">
      <c r="G16" s="468" t="s">
        <v>54</v>
      </c>
      <c r="H16" s="468" t="s">
        <v>55</v>
      </c>
      <c r="I16" s="468" t="str">
        <f t="shared" si="2"/>
        <v>MT ZhenYuanefdasdf</v>
      </c>
      <c r="J16" s="475" t="s">
        <v>126</v>
      </c>
      <c r="K16" s="474"/>
      <c r="L16" s="474"/>
      <c r="M16" s="474"/>
      <c r="N16" s="474" t="s">
        <v>491</v>
      </c>
      <c r="O16" s="474" t="s">
        <v>492</v>
      </c>
      <c r="P16" s="474" t="str">
        <f t="shared" si="0"/>
        <v>m³</v>
      </c>
      <c r="Q16" s="474"/>
      <c r="R16" s="474"/>
      <c r="S16" s="474"/>
    </row>
    <row r="17" spans="7:19">
      <c r="G17" s="468" t="s">
        <v>56</v>
      </c>
      <c r="H17" s="468" t="s">
        <v>57</v>
      </c>
      <c r="I17" s="468" t="str">
        <f t="shared" si="2"/>
        <v>Dalian, Chinafsadfa</v>
      </c>
      <c r="J17" s="475" t="s">
        <v>129</v>
      </c>
      <c r="K17" s="474"/>
      <c r="L17" s="474"/>
      <c r="M17" s="474"/>
      <c r="N17" s="474" t="s">
        <v>871</v>
      </c>
      <c r="O17" s="474" t="s">
        <v>494</v>
      </c>
      <c r="P17" s="474" t="str">
        <f t="shared" si="0"/>
        <v>Bbls</v>
      </c>
      <c r="Q17" s="474"/>
      <c r="R17" s="474"/>
      <c r="S17" s="474"/>
    </row>
    <row r="18" spans="7:19">
      <c r="G18" s="468" t="s">
        <v>58</v>
      </c>
      <c r="H18" s="468" t="s">
        <v>59</v>
      </c>
      <c r="I18" s="468" t="str">
        <f t="shared" si="2"/>
        <v>Dalian Chinaoil, China1325415</v>
      </c>
      <c r="J18" s="475" t="s">
        <v>132</v>
      </c>
      <c r="K18" s="474"/>
      <c r="L18" s="474"/>
      <c r="M18" s="474"/>
      <c r="N18" s="474" t="s">
        <v>872</v>
      </c>
      <c r="O18" s="474" t="s">
        <v>873</v>
      </c>
      <c r="P18" s="474" t="str">
        <f t="shared" si="0"/>
        <v>INVENTORY QUANTITY OF INDIVIDUAL TANK</v>
      </c>
      <c r="Q18" s="474"/>
      <c r="R18" s="474"/>
      <c r="S18" s="474"/>
    </row>
    <row r="19" spans="7:19">
      <c r="G19" s="471" t="s">
        <v>133</v>
      </c>
      <c r="H19" s="471" t="str">
        <f>G19</f>
        <v>YYYY-MM-DD -- YYYY-MM-DD</v>
      </c>
      <c r="I19" s="468" t="s">
        <v>60</v>
      </c>
      <c r="J19" s="476" t="s">
        <v>136</v>
      </c>
      <c r="K19" s="474"/>
      <c r="L19" s="474"/>
      <c r="M19" s="474"/>
      <c r="N19" s="474" t="s">
        <v>874</v>
      </c>
      <c r="O19" s="474" t="s">
        <v>377</v>
      </c>
      <c r="P19" s="474" t="str">
        <f t="shared" si="0"/>
        <v>Gross</v>
      </c>
      <c r="Q19" s="474"/>
      <c r="R19" s="474"/>
      <c r="S19" s="474"/>
    </row>
    <row r="20" spans="7:19">
      <c r="G20" s="468" t="s">
        <v>875</v>
      </c>
      <c r="H20" s="468" t="s">
        <v>876</v>
      </c>
      <c r="I20" s="468" t="str">
        <f t="shared" si="2"/>
        <v>Density@15℃ (g/cm³)</v>
      </c>
      <c r="J20" s="475" t="s">
        <v>141</v>
      </c>
      <c r="K20" s="474"/>
      <c r="L20" s="474"/>
      <c r="M20" s="474"/>
      <c r="N20" s="474" t="s">
        <v>877</v>
      </c>
      <c r="O20" s="474" t="s">
        <v>378</v>
      </c>
      <c r="P20" s="474" t="str">
        <f t="shared" si="0"/>
        <v>Net</v>
      </c>
      <c r="Q20" s="474"/>
      <c r="R20" s="474"/>
      <c r="S20" s="474"/>
    </row>
    <row r="21" spans="7:19">
      <c r="G21" s="468" t="s">
        <v>878</v>
      </c>
      <c r="H21" s="468" t="s">
        <v>879</v>
      </c>
      <c r="I21" s="468" t="str">
        <f t="shared" si="2"/>
        <v>Density@20℃ (g/cm³)</v>
      </c>
      <c r="J21" s="475" t="s">
        <v>5</v>
      </c>
      <c r="K21" s="474"/>
      <c r="L21" s="474"/>
      <c r="M21" s="474"/>
      <c r="N21" s="474" t="s">
        <v>880</v>
      </c>
      <c r="O21" s="474" t="s">
        <v>881</v>
      </c>
      <c r="P21" s="474" t="str">
        <f t="shared" si="0"/>
        <v>DELIVERED QUANTITY OF INDIVIDUAL TANK </v>
      </c>
      <c r="Q21" s="474"/>
      <c r="R21" s="474"/>
      <c r="S21" s="474"/>
    </row>
    <row r="22" spans="7:19">
      <c r="G22" s="468" t="s">
        <v>882</v>
      </c>
      <c r="H22" s="468" t="s">
        <v>882</v>
      </c>
      <c r="I22" s="468" t="str">
        <f t="shared" si="2"/>
        <v>API@60℉</v>
      </c>
      <c r="J22" s="475" t="s">
        <v>6</v>
      </c>
      <c r="K22" s="474"/>
      <c r="L22" s="474"/>
      <c r="M22" s="474"/>
      <c r="N22" s="474" t="s">
        <v>883</v>
      </c>
      <c r="O22" s="474" t="s">
        <v>884</v>
      </c>
      <c r="P22" s="474" t="str">
        <f t="shared" si="0"/>
        <v>RECEIVED QUANTITY OF INDIVIDUAL TANK</v>
      </c>
      <c r="Q22" s="474"/>
      <c r="R22" s="474"/>
      <c r="S22" s="474"/>
    </row>
    <row r="23" spans="7:19">
      <c r="G23" s="468" t="s">
        <v>885</v>
      </c>
      <c r="H23" s="468" t="s">
        <v>886</v>
      </c>
      <c r="I23" s="468" t="str">
        <f t="shared" si="2"/>
        <v>S.G.@60℉/60℉</v>
      </c>
      <c r="J23" s="476">
        <v>1952</v>
      </c>
      <c r="K23" s="474"/>
      <c r="L23" s="474"/>
      <c r="M23" s="474"/>
      <c r="N23" s="474" t="s">
        <v>887</v>
      </c>
      <c r="O23" s="474" t="s">
        <v>888</v>
      </c>
      <c r="P23" s="474" t="str">
        <f t="shared" si="0"/>
        <v>TOTAL QUANTITY OF INVENTORY</v>
      </c>
      <c r="Q23" s="474"/>
      <c r="R23" s="474"/>
      <c r="S23" s="474"/>
    </row>
    <row r="24" spans="7:16">
      <c r="G24" s="468" t="s">
        <v>889</v>
      </c>
      <c r="H24" s="468" t="s">
        <v>890</v>
      </c>
      <c r="I24" s="468" t="str">
        <f t="shared" si="2"/>
        <v>α60℉ (1/℉)</v>
      </c>
      <c r="J24" s="476">
        <v>1980</v>
      </c>
      <c r="K24" s="474"/>
      <c r="L24" s="474"/>
      <c r="M24" s="474"/>
      <c r="N24" s="474" t="s">
        <v>891</v>
      </c>
      <c r="O24" s="474" t="s">
        <v>892</v>
      </c>
      <c r="P24" s="474" t="str">
        <f t="shared" si="0"/>
        <v>TOTAL DELIVED QUANTITY</v>
      </c>
    </row>
    <row r="25" spans="7:16">
      <c r="G25" s="468" t="s">
        <v>893</v>
      </c>
      <c r="H25" s="468" t="s">
        <v>894</v>
      </c>
      <c r="I25" s="468" t="str">
        <f t="shared" si="2"/>
        <v>α60℉ (1/℃)</v>
      </c>
      <c r="J25" s="476">
        <v>2004</v>
      </c>
      <c r="K25" s="474"/>
      <c r="L25" s="474"/>
      <c r="M25" s="474"/>
      <c r="N25" s="474" t="s">
        <v>895</v>
      </c>
      <c r="O25" s="474" t="s">
        <v>896</v>
      </c>
      <c r="P25" s="474" t="str">
        <f t="shared" si="0"/>
        <v>TOTAL RECEIVED QUANTITY</v>
      </c>
    </row>
    <row r="26" spans="7:16">
      <c r="G26" s="468" t="s">
        <v>897</v>
      </c>
      <c r="H26" s="468" t="s">
        <v>898</v>
      </c>
      <c r="I26" s="468" t="str">
        <f t="shared" si="2"/>
        <v>Density@15℃ (kg/m³)</v>
      </c>
      <c r="J26" s="475" t="s">
        <v>899</v>
      </c>
      <c r="K26" s="474"/>
      <c r="L26" s="474"/>
      <c r="M26" s="474"/>
      <c r="N26" s="474" t="s">
        <v>900</v>
      </c>
      <c r="O26" s="474" t="s">
        <v>901</v>
      </c>
      <c r="P26" s="474" t="str">
        <f t="shared" si="0"/>
        <v>Net Standard Weight Delivered (in air)</v>
      </c>
    </row>
    <row r="27" spans="7:16">
      <c r="G27" s="468" t="s">
        <v>902</v>
      </c>
      <c r="H27" s="468" t="s">
        <v>903</v>
      </c>
      <c r="I27" s="468" t="str">
        <f t="shared" si="2"/>
        <v>Density@20℃ (kg/m³)</v>
      </c>
      <c r="J27" s="477" t="s">
        <v>904</v>
      </c>
      <c r="K27" s="474"/>
      <c r="L27" s="474"/>
      <c r="M27" s="474"/>
      <c r="N27" s="474" t="s">
        <v>905</v>
      </c>
      <c r="O27" s="474" t="s">
        <v>906</v>
      </c>
      <c r="P27" s="474" t="str">
        <f t="shared" si="0"/>
        <v>Net Standard Weight Received (in air)</v>
      </c>
    </row>
    <row r="28" spans="7:16">
      <c r="G28" s="468" t="s">
        <v>882</v>
      </c>
      <c r="H28" s="468" t="s">
        <v>907</v>
      </c>
      <c r="I28" s="468" t="str">
        <f t="shared" si="2"/>
        <v>API@60℉</v>
      </c>
      <c r="J28" s="475" t="s">
        <v>908</v>
      </c>
      <c r="K28" s="474"/>
      <c r="L28" s="474"/>
      <c r="M28" s="474"/>
      <c r="N28" s="474" t="s">
        <v>909</v>
      </c>
      <c r="O28" s="474" t="s">
        <v>910</v>
      </c>
      <c r="P28" s="474" t="str">
        <f t="shared" si="0"/>
        <v>MT</v>
      </c>
    </row>
    <row r="29" spans="7:16">
      <c r="G29" s="468" t="s">
        <v>885</v>
      </c>
      <c r="H29" s="468" t="s">
        <v>911</v>
      </c>
      <c r="I29" s="468" t="str">
        <f t="shared" si="2"/>
        <v>S.G.@60℉/60℉</v>
      </c>
      <c r="J29" s="475" t="s">
        <v>912</v>
      </c>
      <c r="K29" s="474"/>
      <c r="L29" s="474"/>
      <c r="M29" s="474"/>
      <c r="N29" s="474" t="s">
        <v>913</v>
      </c>
      <c r="O29" s="474" t="s">
        <v>914</v>
      </c>
      <c r="P29" s="474" t="str">
        <f t="shared" si="0"/>
        <v>LT</v>
      </c>
    </row>
    <row r="30" spans="7:16">
      <c r="G30" s="469" t="s">
        <v>915</v>
      </c>
      <c r="H30" s="469" t="s">
        <v>916</v>
      </c>
      <c r="I30" s="468" t="str">
        <f t="shared" si="2"/>
        <v>WCF MT(in air)/m³@15℃ [T-56]</v>
      </c>
      <c r="J30" s="475" t="s">
        <v>917</v>
      </c>
      <c r="K30" s="474"/>
      <c r="L30" s="474"/>
      <c r="M30" s="474"/>
      <c r="N30" s="474" t="s">
        <v>918</v>
      </c>
      <c r="O30" s="474" t="s">
        <v>919</v>
      </c>
      <c r="P30" s="474" t="str">
        <f t="shared" si="0"/>
        <v>Gross Standard Weight Delivered (in air)</v>
      </c>
    </row>
    <row r="31" spans="7:16">
      <c r="G31" s="469" t="s">
        <v>920</v>
      </c>
      <c r="H31" s="469" t="s">
        <v>921</v>
      </c>
      <c r="I31" s="468" t="str">
        <f t="shared" si="2"/>
        <v>WCF MT(in air)/m³@15℃</v>
      </c>
      <c r="J31" s="475" t="s">
        <v>922</v>
      </c>
      <c r="K31" s="474"/>
      <c r="L31" s="474"/>
      <c r="M31" s="474"/>
      <c r="N31" s="474" t="s">
        <v>923</v>
      </c>
      <c r="O31" s="474" t="s">
        <v>924</v>
      </c>
      <c r="P31" s="474" t="str">
        <f t="shared" si="0"/>
        <v>Gross Standard Weight Received (in air)</v>
      </c>
    </row>
    <row r="32" spans="7:16">
      <c r="G32" s="469" t="s">
        <v>925</v>
      </c>
      <c r="H32" s="469" t="s">
        <v>926</v>
      </c>
      <c r="I32" s="468" t="str">
        <f t="shared" si="2"/>
        <v>WCF MT(in air)/m³@20℃</v>
      </c>
      <c r="J32" s="474"/>
      <c r="K32" s="474"/>
      <c r="L32" s="474"/>
      <c r="M32" s="474"/>
      <c r="N32" s="474" t="s">
        <v>927</v>
      </c>
      <c r="O32" s="474" t="s">
        <v>928</v>
      </c>
      <c r="P32" s="474" t="str">
        <f t="shared" si="0"/>
        <v>Net Standard Weight (in air)</v>
      </c>
    </row>
    <row r="33" spans="7:16">
      <c r="G33" s="469" t="s">
        <v>196</v>
      </c>
      <c r="H33" s="469" t="s">
        <v>929</v>
      </c>
      <c r="I33" s="468" t="str">
        <f t="shared" si="2"/>
        <v>MT/LT [T-1] </v>
      </c>
      <c r="J33" s="474"/>
      <c r="K33" s="474"/>
      <c r="L33" s="474"/>
      <c r="M33" s="474"/>
      <c r="N33" s="474" t="s">
        <v>930</v>
      </c>
      <c r="O33" s="474" t="s">
        <v>931</v>
      </c>
      <c r="P33" s="474" t="str">
        <f t="shared" si="0"/>
        <v>Gross Standard Weight (in air)</v>
      </c>
    </row>
    <row r="34" spans="7:16">
      <c r="G34" s="469" t="s">
        <v>201</v>
      </c>
      <c r="H34" s="472" t="s">
        <v>932</v>
      </c>
      <c r="I34" s="468" t="str">
        <f t="shared" ref="I34:I65" si="3">IF(Report_Language=$G$1,G34,H34)</f>
        <v>MT/LT</v>
      </c>
      <c r="L34" s="474"/>
      <c r="M34" s="474"/>
      <c r="N34" s="474" t="s">
        <v>933</v>
      </c>
      <c r="O34" s="474" t="s">
        <v>934</v>
      </c>
      <c r="P34" s="474" t="str">
        <f t="shared" si="0"/>
        <v>Density@15℃</v>
      </c>
    </row>
    <row r="35" spans="7:16">
      <c r="G35" s="469" t="s">
        <v>935</v>
      </c>
      <c r="H35" s="469" t="s">
        <v>936</v>
      </c>
      <c r="I35" s="468" t="str">
        <f t="shared" si="3"/>
        <v>WCF MT(in air)/bbls@60℉ [T-13]</v>
      </c>
      <c r="L35" s="474"/>
      <c r="M35" s="474"/>
      <c r="N35" s="474" t="s">
        <v>937</v>
      </c>
      <c r="O35" s="474" t="s">
        <v>938</v>
      </c>
      <c r="P35" s="474" t="str">
        <f t="shared" si="0"/>
        <v>Density@20℃</v>
      </c>
    </row>
    <row r="36" spans="7:16">
      <c r="G36" s="469" t="s">
        <v>939</v>
      </c>
      <c r="H36" s="469" t="s">
        <v>940</v>
      </c>
      <c r="I36" s="468" t="str">
        <f t="shared" si="3"/>
        <v>WCF MT(in air)/bbls@60℉</v>
      </c>
      <c r="L36" s="474"/>
      <c r="M36" s="474"/>
      <c r="N36" s="474" t="s">
        <v>146</v>
      </c>
      <c r="O36" s="474" t="s">
        <v>941</v>
      </c>
      <c r="P36" s="474" t="str">
        <f t="shared" si="0"/>
        <v>API@60℉</v>
      </c>
    </row>
    <row r="37" spans="7:16">
      <c r="G37" s="468" t="s">
        <v>942</v>
      </c>
      <c r="H37" s="468" t="s">
        <v>943</v>
      </c>
      <c r="I37" s="468" t="str">
        <f t="shared" si="3"/>
        <v>Density@15℃ MT(Vacuo)/m³</v>
      </c>
      <c r="L37" s="474"/>
      <c r="M37" s="474"/>
      <c r="N37" s="474" t="s">
        <v>149</v>
      </c>
      <c r="O37" s="474" t="s">
        <v>944</v>
      </c>
      <c r="P37" s="474" t="str">
        <f t="shared" si="0"/>
        <v>S.G.@60℉/60℉</v>
      </c>
    </row>
    <row r="38" spans="7:16">
      <c r="G38" s="468" t="s">
        <v>945</v>
      </c>
      <c r="H38" s="468" t="s">
        <v>946</v>
      </c>
      <c r="I38" s="468" t="str">
        <f t="shared" si="3"/>
        <v>Density@20℃ MT(Vacuo)/m³</v>
      </c>
      <c r="J38" s="474"/>
      <c r="K38" s="474"/>
      <c r="L38" s="474"/>
      <c r="M38" s="474"/>
      <c r="N38" s="474" t="s">
        <v>947</v>
      </c>
      <c r="O38" s="474" t="s">
        <v>948</v>
      </c>
      <c r="P38" s="474" t="str">
        <f t="shared" si="0"/>
        <v>kg/m³</v>
      </c>
    </row>
    <row r="39" spans="7:16">
      <c r="G39" s="469" t="s">
        <v>949</v>
      </c>
      <c r="H39" s="469" t="s">
        <v>950</v>
      </c>
      <c r="I39" s="468" t="str">
        <f t="shared" si="3"/>
        <v>WCF MT(in vacuo)/bbls@60℉ [T-13]</v>
      </c>
      <c r="J39" s="474"/>
      <c r="K39" s="474"/>
      <c r="L39" s="474"/>
      <c r="M39" s="474"/>
      <c r="N39" s="474" t="s">
        <v>861</v>
      </c>
      <c r="O39" s="474" t="s">
        <v>861</v>
      </c>
      <c r="P39" s="474" t="str">
        <f t="shared" si="0"/>
        <v>°API</v>
      </c>
    </row>
    <row r="40" spans="7:16">
      <c r="G40" s="469" t="s">
        <v>951</v>
      </c>
      <c r="H40" s="469" t="s">
        <v>952</v>
      </c>
      <c r="I40" s="468" t="str">
        <f t="shared" si="3"/>
        <v>WCF MT(in vacuo)/bbls@60℉</v>
      </c>
      <c r="J40" s="474"/>
      <c r="K40" s="474"/>
      <c r="L40" s="474"/>
      <c r="M40" s="474"/>
      <c r="N40" s="474" t="s">
        <v>953</v>
      </c>
      <c r="O40" s="474" t="s">
        <v>954</v>
      </c>
      <c r="P40" s="474" t="str">
        <f t="shared" si="0"/>
        <v>Net Standard Volume</v>
      </c>
    </row>
    <row r="41" spans="7:16">
      <c r="G41" s="469" t="s">
        <v>196</v>
      </c>
      <c r="H41" s="469" t="s">
        <v>929</v>
      </c>
      <c r="I41" s="468" t="str">
        <f t="shared" si="3"/>
        <v>MT/LT [T-1] </v>
      </c>
      <c r="J41" s="474"/>
      <c r="K41" s="474"/>
      <c r="L41" s="474"/>
      <c r="M41" s="474"/>
      <c r="N41" s="474" t="s">
        <v>549</v>
      </c>
      <c r="O41" s="474" t="s">
        <v>550</v>
      </c>
      <c r="P41" s="474" t="str">
        <f t="shared" si="0"/>
        <v>Gross Standard Volume</v>
      </c>
    </row>
    <row r="42" spans="7:16">
      <c r="G42" s="469" t="s">
        <v>201</v>
      </c>
      <c r="H42" s="472" t="s">
        <v>932</v>
      </c>
      <c r="I42" s="468" t="str">
        <f t="shared" si="3"/>
        <v>MT/LT</v>
      </c>
      <c r="J42" s="474"/>
      <c r="K42" s="474"/>
      <c r="L42" s="474"/>
      <c r="M42" s="474"/>
      <c r="N42" s="474" t="s">
        <v>955</v>
      </c>
      <c r="O42" s="474" t="s">
        <v>956</v>
      </c>
      <c r="P42" s="474" t="str">
        <f t="shared" si="0"/>
        <v>Net Standard Volume Delivered</v>
      </c>
    </row>
    <row r="43" spans="7:16">
      <c r="G43" s="469" t="s">
        <v>957</v>
      </c>
      <c r="H43" s="469" t="s">
        <v>958</v>
      </c>
      <c r="I43" s="468" t="str">
        <f t="shared" si="3"/>
        <v>WCF LT(in air)/m³@15℃ [T-57]</v>
      </c>
      <c r="J43" s="474"/>
      <c r="K43" s="474"/>
      <c r="L43" s="474"/>
      <c r="M43" s="474"/>
      <c r="N43" s="474" t="s">
        <v>959</v>
      </c>
      <c r="O43" s="474" t="s">
        <v>960</v>
      </c>
      <c r="P43" s="474" t="str">
        <f t="shared" si="0"/>
        <v>Net Standard Volume Received</v>
      </c>
    </row>
    <row r="44" spans="7:16">
      <c r="G44" s="469" t="s">
        <v>961</v>
      </c>
      <c r="H44" s="469" t="s">
        <v>962</v>
      </c>
      <c r="I44" s="468" t="str">
        <f t="shared" si="3"/>
        <v>WCF LT(in air)/m³@15℃</v>
      </c>
      <c r="J44" s="474"/>
      <c r="K44" s="474"/>
      <c r="L44" s="474"/>
      <c r="M44" s="474"/>
      <c r="N44" s="474" t="s">
        <v>963</v>
      </c>
      <c r="O44" s="474" t="s">
        <v>964</v>
      </c>
      <c r="P44" s="474" t="str">
        <f t="shared" si="0"/>
        <v>Gross Standard Volume Delivered</v>
      </c>
    </row>
    <row r="45" spans="7:16">
      <c r="G45" s="469" t="s">
        <v>240</v>
      </c>
      <c r="H45" s="469" t="s">
        <v>965</v>
      </c>
      <c r="I45" s="468" t="str">
        <f t="shared" si="3"/>
        <v>LT/MT [T-1] </v>
      </c>
      <c r="J45" s="474"/>
      <c r="K45" s="474"/>
      <c r="L45" s="474"/>
      <c r="M45" s="474"/>
      <c r="N45" s="474" t="s">
        <v>966</v>
      </c>
      <c r="O45" s="474" t="s">
        <v>967</v>
      </c>
      <c r="P45" s="474" t="str">
        <f t="shared" si="0"/>
        <v>Gross Standard Volume Received</v>
      </c>
    </row>
    <row r="46" spans="7:16">
      <c r="G46" s="469" t="s">
        <v>244</v>
      </c>
      <c r="H46" s="469" t="s">
        <v>968</v>
      </c>
      <c r="I46" s="468" t="str">
        <f t="shared" si="3"/>
        <v>LT/MT</v>
      </c>
      <c r="J46" s="474"/>
      <c r="K46" s="474"/>
      <c r="L46" s="474"/>
      <c r="M46" s="474"/>
      <c r="N46" s="474" t="s">
        <v>969</v>
      </c>
      <c r="O46" s="474" t="s">
        <v>970</v>
      </c>
      <c r="P46" s="474" t="str">
        <f t="shared" si="0"/>
        <v>Gross Observed Volume Delivered</v>
      </c>
    </row>
    <row r="47" spans="7:16">
      <c r="G47" s="469" t="s">
        <v>971</v>
      </c>
      <c r="H47" s="469" t="s">
        <v>972</v>
      </c>
      <c r="I47" s="468" t="str">
        <f t="shared" si="3"/>
        <v>WCF LT(in air)/bbls@60℉ [T-29] </v>
      </c>
      <c r="J47" s="474"/>
      <c r="K47" s="474"/>
      <c r="L47" s="474"/>
      <c r="M47" s="474"/>
      <c r="N47" s="474" t="s">
        <v>973</v>
      </c>
      <c r="O47" s="474" t="s">
        <v>974</v>
      </c>
      <c r="P47" s="474" t="str">
        <f t="shared" si="0"/>
        <v>Gross Observed Volume Received</v>
      </c>
    </row>
    <row r="48" spans="7:16">
      <c r="G48" s="469" t="s">
        <v>975</v>
      </c>
      <c r="H48" s="469" t="s">
        <v>976</v>
      </c>
      <c r="I48" s="468" t="str">
        <f t="shared" si="3"/>
        <v>WCF LT(in air)/bbls@60℉</v>
      </c>
      <c r="J48" s="474"/>
      <c r="K48" s="474"/>
      <c r="L48" s="474"/>
      <c r="M48" s="474"/>
      <c r="N48" s="474" t="s">
        <v>545</v>
      </c>
      <c r="O48" s="474" t="s">
        <v>546</v>
      </c>
      <c r="P48" s="474" t="str">
        <f t="shared" si="0"/>
        <v>Gross Observed Volume</v>
      </c>
    </row>
    <row r="49" spans="7:16">
      <c r="G49" s="469" t="s">
        <v>977</v>
      </c>
      <c r="H49" s="469" t="s">
        <v>978</v>
      </c>
      <c r="I49" s="468" t="str">
        <f t="shared" si="3"/>
        <v>WCF LT(in air)/bbls@60℉ [T-11] </v>
      </c>
      <c r="J49" s="474"/>
      <c r="K49" s="474"/>
      <c r="L49" s="474"/>
      <c r="M49" s="474"/>
      <c r="N49" s="474" t="s">
        <v>979</v>
      </c>
      <c r="O49" s="474" t="s">
        <v>980</v>
      </c>
      <c r="P49" s="474" t="str">
        <f t="shared" si="0"/>
        <v>Pipeline volume</v>
      </c>
    </row>
    <row r="50" spans="7:16">
      <c r="G50" s="469" t="s">
        <v>975</v>
      </c>
      <c r="H50" s="469" t="s">
        <v>976</v>
      </c>
      <c r="I50" s="468" t="str">
        <f t="shared" si="3"/>
        <v>WCF LT(in air)/bbls@60℉</v>
      </c>
      <c r="J50" s="474"/>
      <c r="K50" s="474"/>
      <c r="L50" s="474"/>
      <c r="M50" s="474"/>
      <c r="N50" s="474" t="s">
        <v>981</v>
      </c>
      <c r="O50" s="474" t="s">
        <v>982</v>
      </c>
      <c r="P50" s="474" t="str">
        <f t="shared" si="0"/>
        <v>Correction for Temp. of Tank Shell</v>
      </c>
    </row>
    <row r="51" spans="7:16">
      <c r="G51" s="469" t="s">
        <v>983</v>
      </c>
      <c r="H51" s="469" t="s">
        <v>984</v>
      </c>
      <c r="I51" s="468" t="str">
        <f t="shared" si="3"/>
        <v>WCF LT(in vacuo)/m³@15℃ [T-57]</v>
      </c>
      <c r="J51" s="474"/>
      <c r="K51" s="474"/>
      <c r="L51" s="474"/>
      <c r="M51" s="474"/>
      <c r="N51" s="474" t="s">
        <v>985</v>
      </c>
      <c r="O51" s="474" t="s">
        <v>986</v>
      </c>
      <c r="P51" s="474" t="str">
        <f t="shared" si="0"/>
        <v>Floating Roof Correction</v>
      </c>
    </row>
    <row r="52" spans="7:16">
      <c r="G52" s="469" t="s">
        <v>987</v>
      </c>
      <c r="H52" s="469" t="s">
        <v>988</v>
      </c>
      <c r="I52" s="468" t="str">
        <f t="shared" si="3"/>
        <v>WCF LT(in vacuo)/m³@15℃</v>
      </c>
      <c r="J52" s="474"/>
      <c r="K52" s="474"/>
      <c r="L52" s="474"/>
      <c r="M52" s="474"/>
      <c r="N52" s="474" t="s">
        <v>539</v>
      </c>
      <c r="O52" s="474" t="s">
        <v>989</v>
      </c>
      <c r="P52" s="474" t="str">
        <f t="shared" si="0"/>
        <v>Total Observed Volume</v>
      </c>
    </row>
    <row r="53" spans="7:16">
      <c r="G53" s="469" t="s">
        <v>240</v>
      </c>
      <c r="H53" s="469" t="s">
        <v>965</v>
      </c>
      <c r="I53" s="468" t="str">
        <f t="shared" si="3"/>
        <v>LT/MT [T-1] </v>
      </c>
      <c r="J53" s="474"/>
      <c r="K53" s="474"/>
      <c r="L53" s="474"/>
      <c r="M53" s="474"/>
      <c r="N53" s="474" t="s">
        <v>990</v>
      </c>
      <c r="O53" s="474" t="s">
        <v>991</v>
      </c>
      <c r="P53" s="474" t="str">
        <f t="shared" si="0"/>
        <v>Free Water Volume</v>
      </c>
    </row>
    <row r="54" spans="7:16">
      <c r="G54" s="469" t="s">
        <v>244</v>
      </c>
      <c r="H54" s="469" t="s">
        <v>968</v>
      </c>
      <c r="I54" s="468" t="str">
        <f t="shared" si="3"/>
        <v>LT/MT</v>
      </c>
      <c r="J54" s="474"/>
      <c r="K54" s="474"/>
      <c r="L54" s="474"/>
      <c r="M54" s="474"/>
      <c r="N54" s="474" t="s">
        <v>992</v>
      </c>
      <c r="O54" s="474" t="s">
        <v>993</v>
      </c>
      <c r="P54" s="474" t="str">
        <f t="shared" si="0"/>
        <v>Liquid Temperature (Average)</v>
      </c>
    </row>
    <row r="55" spans="7:16">
      <c r="G55" s="469" t="s">
        <v>994</v>
      </c>
      <c r="H55" s="469" t="s">
        <v>995</v>
      </c>
      <c r="I55" s="468" t="str">
        <f t="shared" si="3"/>
        <v>WCF LT(in vacuo)/bbls@60℉ [T-29]</v>
      </c>
      <c r="J55" s="474"/>
      <c r="K55" s="474"/>
      <c r="L55" s="474"/>
      <c r="M55" s="474"/>
      <c r="N55" s="474" t="s">
        <v>996</v>
      </c>
      <c r="O55" s="474" t="s">
        <v>997</v>
      </c>
      <c r="P55" s="474" t="str">
        <f t="shared" si="0"/>
        <v>Ambient Air Temperature (Average)</v>
      </c>
    </row>
    <row r="56" spans="7:16">
      <c r="G56" s="469" t="s">
        <v>998</v>
      </c>
      <c r="H56" s="469" t="s">
        <v>999</v>
      </c>
      <c r="I56" s="468" t="str">
        <f t="shared" si="3"/>
        <v>WCF LT(in vacuo)/bbls@60℉</v>
      </c>
      <c r="J56" s="474"/>
      <c r="K56" s="474"/>
      <c r="L56" s="474"/>
      <c r="M56" s="474"/>
      <c r="N56" s="474" t="s">
        <v>524</v>
      </c>
      <c r="O56" s="474" t="s">
        <v>1000</v>
      </c>
      <c r="P56" s="474" t="str">
        <f t="shared" si="0"/>
        <v>Tank No.</v>
      </c>
    </row>
    <row r="57" spans="7:16">
      <c r="G57" s="469" t="s">
        <v>1001</v>
      </c>
      <c r="H57" s="469" t="s">
        <v>1002</v>
      </c>
      <c r="I57" s="468" t="str">
        <f t="shared" si="3"/>
        <v>WCF LT(in vacuo)/bbls@60℉ [T-11]</v>
      </c>
      <c r="J57" s="474"/>
      <c r="K57" s="474"/>
      <c r="L57" s="474"/>
      <c r="M57" s="474"/>
      <c r="N57" s="474" t="s">
        <v>1003</v>
      </c>
      <c r="O57" s="474" t="s">
        <v>1004</v>
      </c>
      <c r="P57" s="474" t="str">
        <f t="shared" si="0"/>
        <v>Open</v>
      </c>
    </row>
    <row r="58" spans="7:16">
      <c r="G58" s="469" t="s">
        <v>998</v>
      </c>
      <c r="H58" s="469" t="s">
        <v>999</v>
      </c>
      <c r="I58" s="468" t="str">
        <f t="shared" si="3"/>
        <v>WCF LT(in vacuo)/bbls@60℉</v>
      </c>
      <c r="J58" s="474"/>
      <c r="K58" s="474"/>
      <c r="L58" s="474"/>
      <c r="M58" s="474"/>
      <c r="N58" s="474" t="s">
        <v>1005</v>
      </c>
      <c r="O58" s="474" t="s">
        <v>1006</v>
      </c>
      <c r="P58" s="474" t="str">
        <f t="shared" si="0"/>
        <v>Close</v>
      </c>
    </row>
    <row r="59" spans="7:16">
      <c r="G59" s="473" t="s">
        <v>1007</v>
      </c>
      <c r="H59" s="472" t="s">
        <v>1008</v>
      </c>
      <c r="I59" s="468" t="str">
        <f t="shared" si="3"/>
        <v>bbls@60℉/m³@15℃ [T-52]</v>
      </c>
      <c r="J59" s="474"/>
      <c r="K59" s="474"/>
      <c r="L59" s="474"/>
      <c r="M59" s="474"/>
      <c r="N59" s="474" t="s">
        <v>208</v>
      </c>
      <c r="O59" s="474" t="s">
        <v>209</v>
      </c>
      <c r="P59" s="474" t="str">
        <f t="shared" ref="P59:P84" si="4">IF(Report_Language=$G$1,N59,O59)</f>
        <v>Date</v>
      </c>
    </row>
    <row r="60" spans="7:16">
      <c r="G60" s="473" t="s">
        <v>1009</v>
      </c>
      <c r="H60" s="472" t="s">
        <v>1010</v>
      </c>
      <c r="I60" s="468" t="str">
        <f t="shared" si="3"/>
        <v>bbls@60℉/m³@15℃</v>
      </c>
      <c r="J60" s="474"/>
      <c r="K60" s="474"/>
      <c r="L60" s="474"/>
      <c r="M60" s="474"/>
      <c r="N60" s="474" t="s">
        <v>212</v>
      </c>
      <c r="O60" s="474" t="s">
        <v>213</v>
      </c>
      <c r="P60" s="474" t="str">
        <f t="shared" si="4"/>
        <v>Time</v>
      </c>
    </row>
    <row r="61" spans="7:16">
      <c r="G61" s="469" t="s">
        <v>1011</v>
      </c>
      <c r="H61" s="469" t="s">
        <v>1012</v>
      </c>
      <c r="I61" s="468" t="str">
        <f t="shared" si="3"/>
        <v>bbls@60℉/MT(in air)</v>
      </c>
      <c r="J61" s="474"/>
      <c r="K61" s="474"/>
      <c r="L61" s="474"/>
      <c r="M61" s="474"/>
      <c r="N61" s="474" t="s">
        <v>1013</v>
      </c>
      <c r="O61" s="474" t="s">
        <v>1014</v>
      </c>
      <c r="P61" s="474" t="str">
        <f t="shared" si="4"/>
        <v>Reference Height</v>
      </c>
    </row>
    <row r="62" spans="7:16">
      <c r="G62" s="468" t="s">
        <v>294</v>
      </c>
      <c r="H62" s="468" t="s">
        <v>1015</v>
      </c>
      <c r="I62" s="468" t="str">
        <f t="shared" si="3"/>
        <v>Standard Volume</v>
      </c>
      <c r="J62" s="474"/>
      <c r="K62" s="474"/>
      <c r="L62" s="474"/>
      <c r="M62" s="474"/>
      <c r="N62" s="474" t="s">
        <v>1016</v>
      </c>
      <c r="O62" s="474" t="s">
        <v>1017</v>
      </c>
      <c r="P62" s="474" t="str">
        <f t="shared" si="4"/>
        <v>Observed Reference Height</v>
      </c>
    </row>
    <row r="63" spans="7:16">
      <c r="G63" s="468" t="s">
        <v>1018</v>
      </c>
      <c r="H63" s="468" t="s">
        <v>1019</v>
      </c>
      <c r="I63" s="468" t="str">
        <f t="shared" si="3"/>
        <v>m³@15℃/m³@20℃ [1/VCF(15℃)]</v>
      </c>
      <c r="J63" s="474"/>
      <c r="K63" s="474"/>
      <c r="L63" s="474"/>
      <c r="M63" s="474"/>
      <c r="N63" s="474" t="s">
        <v>1020</v>
      </c>
      <c r="O63" s="474" t="s">
        <v>1021</v>
      </c>
      <c r="P63" s="474" t="str">
        <f t="shared" si="4"/>
        <v>Floating Roof weight (in air)</v>
      </c>
    </row>
    <row r="64" spans="7:16">
      <c r="G64" s="473" t="s">
        <v>1022</v>
      </c>
      <c r="H64" s="472" t="s">
        <v>1023</v>
      </c>
      <c r="I64" s="468" t="str">
        <f t="shared" si="3"/>
        <v>m³@15℃/bbls@60℉ [T-22]</v>
      </c>
      <c r="J64" s="474"/>
      <c r="K64" s="474"/>
      <c r="L64" s="474"/>
      <c r="M64" s="474"/>
      <c r="N64" s="474" t="s">
        <v>495</v>
      </c>
      <c r="O64" s="474" t="s">
        <v>495</v>
      </c>
      <c r="P64" s="474" t="str">
        <f t="shared" si="4"/>
        <v>℃</v>
      </c>
    </row>
    <row r="65" spans="7:16">
      <c r="G65" s="473" t="s">
        <v>1024</v>
      </c>
      <c r="H65" s="469" t="s">
        <v>1025</v>
      </c>
      <c r="I65" s="468" t="str">
        <f t="shared" si="3"/>
        <v>m³@15℃/bbls@60℉</v>
      </c>
      <c r="J65" s="474"/>
      <c r="K65" s="474"/>
      <c r="L65" s="474"/>
      <c r="M65" s="474"/>
      <c r="N65" s="474" t="s">
        <v>496</v>
      </c>
      <c r="O65" s="474" t="s">
        <v>496</v>
      </c>
      <c r="P65" s="474" t="str">
        <f t="shared" si="4"/>
        <v>℉</v>
      </c>
    </row>
    <row r="66" spans="7:16">
      <c r="G66" s="473" t="s">
        <v>1026</v>
      </c>
      <c r="H66" s="472" t="s">
        <v>1027</v>
      </c>
      <c r="I66" s="468" t="str">
        <f t="shared" ref="I66:I85" si="5">IF(Report_Language=$G$1,G66,H66)</f>
        <v>m³@15℃/bbls@60℉ [T-4] </v>
      </c>
      <c r="J66" s="474"/>
      <c r="K66" s="474"/>
      <c r="L66" s="474"/>
      <c r="M66" s="474"/>
      <c r="N66" s="474" t="s">
        <v>1028</v>
      </c>
      <c r="O66" s="474" t="s">
        <v>1029</v>
      </c>
      <c r="P66" s="474" t="str">
        <f t="shared" si="4"/>
        <v>Thermal expansion coefficient α60℉ </v>
      </c>
    </row>
    <row r="67" spans="7:16">
      <c r="G67" s="473" t="s">
        <v>1024</v>
      </c>
      <c r="H67" s="472" t="s">
        <v>1030</v>
      </c>
      <c r="I67" s="468" t="str">
        <f t="shared" si="5"/>
        <v>m³@15℃/bbls@60℉</v>
      </c>
      <c r="J67" s="474"/>
      <c r="K67" s="474"/>
      <c r="L67" s="474"/>
      <c r="M67" s="474"/>
      <c r="N67" s="5" t="s">
        <v>682</v>
      </c>
      <c r="O67" s="483" t="s">
        <v>683</v>
      </c>
      <c r="P67" s="474" t="str">
        <f t="shared" si="4"/>
        <v>S&amp;W</v>
      </c>
    </row>
    <row r="68" spans="7:16">
      <c r="G68" s="469" t="s">
        <v>1031</v>
      </c>
      <c r="H68" s="469" t="s">
        <v>1032</v>
      </c>
      <c r="I68" s="468" t="str">
        <f t="shared" si="5"/>
        <v>m³@20℃/m³@15℃ [1/VCF(20℃)]</v>
      </c>
      <c r="J68" s="474"/>
      <c r="K68" s="474"/>
      <c r="L68" s="474"/>
      <c r="M68" s="474"/>
      <c r="N68" s="5" t="s">
        <v>1033</v>
      </c>
      <c r="O68" s="5" t="s">
        <v>1033</v>
      </c>
      <c r="P68" s="474" t="str">
        <f t="shared" si="4"/>
        <v>%(V/V)</v>
      </c>
    </row>
    <row r="69" spans="7:16">
      <c r="G69" s="469" t="s">
        <v>1034</v>
      </c>
      <c r="H69" s="469" t="s">
        <v>1035</v>
      </c>
      <c r="I69" s="468" t="str">
        <f t="shared" si="5"/>
        <v>m³@20℃/bbls@60℉ [T-4] x VCF(59℉)/VCF(68℉)</v>
      </c>
      <c r="J69" s="474"/>
      <c r="K69" s="474"/>
      <c r="L69" s="474"/>
      <c r="M69" s="474"/>
      <c r="N69" s="5" t="s">
        <v>1036</v>
      </c>
      <c r="O69" s="5" t="s">
        <v>1036</v>
      </c>
      <c r="P69" s="474" t="str">
        <f t="shared" si="4"/>
        <v>%(m/m)</v>
      </c>
    </row>
    <row r="70" spans="7:16">
      <c r="G70" s="469" t="s">
        <v>1037</v>
      </c>
      <c r="H70" s="469" t="s">
        <v>1038</v>
      </c>
      <c r="I70" s="468" t="str">
        <f t="shared" si="5"/>
        <v>m³@20℃/bbls@60℉</v>
      </c>
      <c r="J70" s="474"/>
      <c r="K70" s="474"/>
      <c r="L70" s="474"/>
      <c r="M70" s="474"/>
      <c r="N70" s="474" t="s">
        <v>489</v>
      </c>
      <c r="O70" s="474" t="s">
        <v>490</v>
      </c>
      <c r="P70" s="474" t="str">
        <f t="shared" si="4"/>
        <v>m</v>
      </c>
    </row>
    <row r="71" spans="7:16">
      <c r="G71" s="469" t="s">
        <v>1039</v>
      </c>
      <c r="H71" s="469" t="s">
        <v>1040</v>
      </c>
      <c r="I71" s="468" t="str">
        <f t="shared" si="5"/>
        <v>m³@20℃/bbls@60℉ [T-22] x VCF(59℉)/VCF(68℉)</v>
      </c>
      <c r="J71" s="474"/>
      <c r="K71" s="474"/>
      <c r="L71" s="474"/>
      <c r="M71" s="474"/>
      <c r="N71" s="474" t="s">
        <v>1041</v>
      </c>
      <c r="O71" s="474" t="s">
        <v>1042</v>
      </c>
      <c r="P71" s="474" t="str">
        <f t="shared" si="4"/>
        <v>Construction of Tank Shell</v>
      </c>
    </row>
    <row r="72" spans="7:16">
      <c r="G72" s="469" t="s">
        <v>1037</v>
      </c>
      <c r="H72" s="469" t="s">
        <v>1038</v>
      </c>
      <c r="I72" s="468" t="str">
        <f t="shared" si="5"/>
        <v>m³@20℃/bbls@60℉</v>
      </c>
      <c r="J72" s="474"/>
      <c r="K72" s="474"/>
      <c r="L72" s="474"/>
      <c r="M72" s="474"/>
      <c r="N72" s="474" t="s">
        <v>1043</v>
      </c>
      <c r="O72" s="474" t="s">
        <v>1044</v>
      </c>
      <c r="P72" s="474" t="str">
        <f t="shared" si="4"/>
        <v>Insulated</v>
      </c>
    </row>
    <row r="73" spans="7:16">
      <c r="G73" s="469" t="s">
        <v>1045</v>
      </c>
      <c r="H73" s="472" t="s">
        <v>1046</v>
      </c>
      <c r="I73" s="468" t="str">
        <f t="shared" si="5"/>
        <v>m³@30℃/m³@15℃ [1/VCF(30℃)]</v>
      </c>
      <c r="J73" s="474"/>
      <c r="K73" s="474"/>
      <c r="L73" s="474"/>
      <c r="M73" s="474"/>
      <c r="N73" s="474" t="s">
        <v>1047</v>
      </c>
      <c r="O73" s="474" t="s">
        <v>1048</v>
      </c>
      <c r="P73" s="474" t="str">
        <f t="shared" si="4"/>
        <v>Non-Insulated</v>
      </c>
    </row>
    <row r="74" spans="7:16">
      <c r="G74" s="469" t="s">
        <v>1049</v>
      </c>
      <c r="H74" s="472" t="s">
        <v>1050</v>
      </c>
      <c r="I74" s="468" t="str">
        <f t="shared" si="5"/>
        <v>m³@30℃/m³@20℃ [1/VCF(30℃)]</v>
      </c>
      <c r="J74" s="474"/>
      <c r="K74" s="474"/>
      <c r="L74" s="474"/>
      <c r="M74" s="474"/>
      <c r="N74" s="474" t="s">
        <v>1051</v>
      </c>
      <c r="O74" s="474" t="s">
        <v>1052</v>
      </c>
      <c r="P74" s="474" t="str">
        <f t="shared" si="4"/>
        <v>Tank Shell Reference Temperature</v>
      </c>
    </row>
    <row r="75" spans="7:16">
      <c r="G75" s="469" t="s">
        <v>1053</v>
      </c>
      <c r="H75" s="469" t="s">
        <v>1054</v>
      </c>
      <c r="I75" s="468" t="str">
        <f t="shared" si="5"/>
        <v>m³@30℃/bbls@60℉ [T-4] x VCF(59℉)/VCF(86℉)</v>
      </c>
      <c r="J75" s="474"/>
      <c r="K75" s="474"/>
      <c r="L75" s="474"/>
      <c r="M75" s="474"/>
      <c r="N75" s="474" t="s">
        <v>1055</v>
      </c>
      <c r="O75" s="474" t="s">
        <v>1056</v>
      </c>
      <c r="P75" s="474" t="str">
        <f t="shared" si="4"/>
        <v>Gauge Method</v>
      </c>
    </row>
    <row r="76" spans="7:16">
      <c r="G76" s="469" t="s">
        <v>1057</v>
      </c>
      <c r="H76" s="469" t="s">
        <v>1058</v>
      </c>
      <c r="I76" s="468" t="str">
        <f t="shared" si="5"/>
        <v>m³@30℃/bbls@60℉</v>
      </c>
      <c r="J76" s="474"/>
      <c r="K76" s="474"/>
      <c r="L76" s="474"/>
      <c r="M76" s="474"/>
      <c r="N76" s="474" t="s">
        <v>1059</v>
      </c>
      <c r="O76" s="474" t="s">
        <v>1060</v>
      </c>
      <c r="P76" s="474" t="str">
        <f t="shared" si="4"/>
        <v>Ullage</v>
      </c>
    </row>
    <row r="77" spans="7:16">
      <c r="G77" s="469" t="s">
        <v>1061</v>
      </c>
      <c r="H77" s="469" t="s">
        <v>1062</v>
      </c>
      <c r="I77" s="468" t="str">
        <f t="shared" si="5"/>
        <v>m³@30℃/bbls@60℉ [T-22] x VCF(59℉)/VCF(86℉)</v>
      </c>
      <c r="J77" s="474"/>
      <c r="K77" s="474"/>
      <c r="L77" s="474"/>
      <c r="M77" s="474"/>
      <c r="N77" s="474" t="s">
        <v>1063</v>
      </c>
      <c r="O77" s="474" t="s">
        <v>1064</v>
      </c>
      <c r="P77" s="474" t="str">
        <f t="shared" si="4"/>
        <v>Innage</v>
      </c>
    </row>
    <row r="78" spans="7:16">
      <c r="G78" s="469" t="s">
        <v>1057</v>
      </c>
      <c r="H78" s="469" t="s">
        <v>1058</v>
      </c>
      <c r="I78" s="468" t="str">
        <f t="shared" si="5"/>
        <v>m³@30℃/bbls@60℉</v>
      </c>
      <c r="J78" s="474"/>
      <c r="K78" s="474"/>
      <c r="L78" s="474"/>
      <c r="M78" s="474"/>
      <c r="N78" s="474" t="s">
        <v>1065</v>
      </c>
      <c r="O78" s="474" t="s">
        <v>1066</v>
      </c>
      <c r="P78" s="474" t="str">
        <f t="shared" si="4"/>
        <v>Linear Coefficient of Expansion of TSh</v>
      </c>
    </row>
    <row r="79" spans="7:16">
      <c r="G79" s="479" t="s">
        <v>353</v>
      </c>
      <c r="H79" s="479" t="s">
        <v>1067</v>
      </c>
      <c r="I79" s="468" t="str">
        <f t="shared" si="5"/>
        <v>US Gallon/US Barrels [T-1]</v>
      </c>
      <c r="J79" s="474"/>
      <c r="K79" s="474"/>
      <c r="L79" s="474"/>
      <c r="M79" s="474"/>
      <c r="N79" s="474" t="s">
        <v>1068</v>
      </c>
      <c r="O79" s="474" t="s">
        <v>1069</v>
      </c>
      <c r="P79" s="474" t="str">
        <f t="shared" si="4"/>
        <v>Critical Zone</v>
      </c>
    </row>
    <row r="80" spans="7:16">
      <c r="G80" s="480" t="s">
        <v>1070</v>
      </c>
      <c r="H80" s="480" t="s">
        <v>1071</v>
      </c>
      <c r="I80" s="468" t="str">
        <f t="shared" si="5"/>
        <v>Terminal Representative</v>
      </c>
      <c r="J80" s="474"/>
      <c r="K80" s="474"/>
      <c r="L80" s="474"/>
      <c r="M80" s="474"/>
      <c r="N80" s="474" t="s">
        <v>1072</v>
      </c>
      <c r="O80" s="474" t="s">
        <v>1073</v>
      </c>
      <c r="P80" s="474" t="str">
        <f t="shared" si="4"/>
        <v>Upper Limit</v>
      </c>
    </row>
    <row r="81" spans="7:16">
      <c r="G81" s="480" t="s">
        <v>357</v>
      </c>
      <c r="H81" s="480" t="s">
        <v>1074</v>
      </c>
      <c r="I81" s="468" t="str">
        <f t="shared" si="5"/>
        <v>CCIC Surveyor</v>
      </c>
      <c r="J81" s="474"/>
      <c r="K81" s="474"/>
      <c r="L81" s="474"/>
      <c r="M81" s="474"/>
      <c r="N81" s="474" t="s">
        <v>1075</v>
      </c>
      <c r="O81" s="474" t="s">
        <v>1076</v>
      </c>
      <c r="P81" s="474" t="str">
        <f t="shared" si="4"/>
        <v>Lower Limit</v>
      </c>
    </row>
    <row r="82" spans="7:16">
      <c r="G82" s="480" t="s">
        <v>359</v>
      </c>
      <c r="H82" s="480" t="s">
        <v>1077</v>
      </c>
      <c r="I82" s="468" t="str">
        <f t="shared" si="5"/>
        <v>Name</v>
      </c>
      <c r="J82" s="474"/>
      <c r="K82" s="474"/>
      <c r="L82" s="474"/>
      <c r="M82" s="474"/>
      <c r="N82" s="474" t="s">
        <v>1078</v>
      </c>
      <c r="O82" s="474" t="s">
        <v>1079</v>
      </c>
      <c r="P82" s="474" t="str">
        <f t="shared" si="4"/>
        <v>Gauge Unit :</v>
      </c>
    </row>
    <row r="83" spans="7:16">
      <c r="G83" s="480" t="s">
        <v>361</v>
      </c>
      <c r="H83" s="480" t="s">
        <v>1080</v>
      </c>
      <c r="I83" s="468" t="str">
        <f t="shared" si="5"/>
        <v>Signature</v>
      </c>
      <c r="J83" s="474"/>
      <c r="K83" s="474"/>
      <c r="L83" s="474"/>
      <c r="M83" s="474"/>
      <c r="N83" s="474" t="s">
        <v>1081</v>
      </c>
      <c r="O83" s="474" t="s">
        <v>1082</v>
      </c>
      <c r="P83" s="474" t="str">
        <f t="shared" si="4"/>
        <v>Gauge Value</v>
      </c>
    </row>
    <row r="84" spans="7:16">
      <c r="G84" s="480" t="s">
        <v>363</v>
      </c>
      <c r="H84" s="480" t="s">
        <v>1083</v>
      </c>
      <c r="I84" s="468" t="str">
        <f t="shared" si="5"/>
        <v>Authorized Signature (S)</v>
      </c>
      <c r="J84" s="474"/>
      <c r="K84" s="474"/>
      <c r="L84" s="474"/>
      <c r="M84" s="474"/>
      <c r="N84" s="474" t="s">
        <v>1084</v>
      </c>
      <c r="O84" s="474" t="s">
        <v>1085</v>
      </c>
      <c r="P84" s="474" t="str">
        <f t="shared" si="4"/>
        <v>Water Dip</v>
      </c>
    </row>
    <row r="85" spans="7:16">
      <c r="G85" s="480" t="s">
        <v>74</v>
      </c>
      <c r="H85" s="480" t="s">
        <v>1086</v>
      </c>
      <c r="I85" s="468" t="str">
        <f t="shared" si="5"/>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85" s="474"/>
      <c r="K85" s="474"/>
      <c r="L85" s="474"/>
      <c r="M85" s="474"/>
      <c r="N85" s="474"/>
      <c r="O85" s="474"/>
      <c r="P85" s="474"/>
    </row>
    <row r="86" spans="7:16">
      <c r="G86" s="480"/>
      <c r="H86" s="480"/>
      <c r="I86" s="468"/>
      <c r="J86" s="474"/>
      <c r="K86" s="474"/>
      <c r="L86" s="474"/>
      <c r="M86" s="474"/>
      <c r="N86" s="474"/>
      <c r="O86" s="474"/>
      <c r="P86" s="474"/>
    </row>
    <row r="87" spans="7:16">
      <c r="G87" s="480"/>
      <c r="H87" s="480"/>
      <c r="I87" s="468"/>
      <c r="J87" s="474"/>
      <c r="K87" s="474"/>
      <c r="L87" s="474"/>
      <c r="M87" s="474"/>
      <c r="N87" s="474"/>
      <c r="O87" s="474"/>
      <c r="P87" s="474"/>
    </row>
    <row r="88" spans="1:1">
      <c r="A88" t="str">
        <f t="shared" ref="A88:A161" si="6">IF(OR(B88="隐藏",C88="隐藏",D88="隐藏",E88="隐藏"),"隐藏","显示")</f>
        <v>显示</v>
      </c>
    </row>
    <row r="89" spans="1:17">
      <c r="A89" t="str">
        <f t="shared" si="6"/>
        <v>显示</v>
      </c>
      <c r="B89" t="s">
        <v>1087</v>
      </c>
      <c r="H89" s="47"/>
      <c r="I89" s="47"/>
      <c r="J89" s="47"/>
      <c r="K89" s="47"/>
      <c r="L89" s="47"/>
      <c r="O89" s="46" t="str">
        <f>I2</f>
        <v>JOB NO.</v>
      </c>
      <c r="P89" s="80" t="str">
        <f>单号</f>
        <v>这就是爱</v>
      </c>
      <c r="Q89" s="47"/>
    </row>
    <row r="90" spans="1:17">
      <c r="A90" t="str">
        <f t="shared" si="6"/>
        <v>显示</v>
      </c>
      <c r="C90" t="s">
        <v>1088</v>
      </c>
      <c r="H90" s="47"/>
      <c r="I90" s="47"/>
      <c r="J90" s="47"/>
      <c r="K90" s="47"/>
      <c r="L90" s="47"/>
      <c r="O90" s="46" t="str">
        <f>I3</f>
        <v>DATE OF REPORT</v>
      </c>
      <c r="P90" s="80" t="str">
        <f>报告日期</f>
        <v>YYYY-MM-DD</v>
      </c>
      <c r="Q90" s="47"/>
    </row>
    <row r="91" ht="8.4" customHeight="1" spans="1:17">
      <c r="A91" t="str">
        <f t="shared" si="6"/>
        <v>显示</v>
      </c>
      <c r="D91" t="s">
        <v>1089</v>
      </c>
      <c r="H91" s="47"/>
      <c r="I91" s="47"/>
      <c r="J91" s="47"/>
      <c r="K91" s="47"/>
      <c r="L91" s="47"/>
      <c r="M91" s="47"/>
      <c r="N91" s="47"/>
      <c r="O91" s="47"/>
      <c r="P91" s="47"/>
      <c r="Q91" s="47"/>
    </row>
    <row r="92" ht="7.8" customHeight="1" spans="1:17">
      <c r="A92" t="str">
        <f t="shared" si="6"/>
        <v>显示</v>
      </c>
      <c r="E92" t="s">
        <v>1090</v>
      </c>
      <c r="H92" s="47"/>
      <c r="I92" s="47"/>
      <c r="J92" s="47"/>
      <c r="K92" s="47"/>
      <c r="L92" s="47"/>
      <c r="M92" s="47"/>
      <c r="N92" s="47"/>
      <c r="O92" s="47"/>
      <c r="P92" s="47"/>
      <c r="Q92" s="47"/>
    </row>
    <row r="93" spans="1:17">
      <c r="A93" t="str">
        <f t="shared" si="6"/>
        <v>显示</v>
      </c>
      <c r="B93" s="376" t="str">
        <f>IF(隐藏客户名称,"隐藏","显示")</f>
        <v>显示</v>
      </c>
      <c r="C93" s="481" t="b">
        <v>0</v>
      </c>
      <c r="H93" s="73" t="str">
        <f>S9</f>
        <v>SHORE TANK MEASUREMENT REPORT</v>
      </c>
      <c r="I93" s="73"/>
      <c r="J93" s="73"/>
      <c r="K93" s="74"/>
      <c r="L93" s="120" t="str">
        <f>I4</f>
        <v>APPLICANT</v>
      </c>
      <c r="M93" s="76"/>
      <c r="N93" s="88" t="str">
        <f>客户名</f>
        <v>PETROCHINA </v>
      </c>
      <c r="O93" s="89"/>
      <c r="P93" s="89"/>
      <c r="Q93" s="90"/>
    </row>
    <row r="94" ht="13.8" customHeight="1" spans="1:17">
      <c r="A94" t="str">
        <f t="shared" si="6"/>
        <v>显示</v>
      </c>
      <c r="B94" s="376" t="str">
        <f>IF(隐藏客户编号,"隐藏","显示")</f>
        <v>显示</v>
      </c>
      <c r="C94" s="481" t="b">
        <v>0</v>
      </c>
      <c r="H94" s="73"/>
      <c r="I94" s="73"/>
      <c r="J94" s="73"/>
      <c r="K94" s="74"/>
      <c r="L94" s="120" t="str">
        <f t="shared" ref="L94:L99" si="7">I5</f>
        <v>CLIENT'S REF. NO.</v>
      </c>
      <c r="M94" s="76"/>
      <c r="N94" s="91" t="str">
        <f>客户编号</f>
        <v>说也说不清楚</v>
      </c>
      <c r="O94" s="92"/>
      <c r="P94" s="92"/>
      <c r="Q94" s="93"/>
    </row>
    <row r="95" ht="13.8" customHeight="1" spans="1:17">
      <c r="A95" t="str">
        <f t="shared" si="6"/>
        <v>显示</v>
      </c>
      <c r="B95" s="376"/>
      <c r="C95" s="481"/>
      <c r="H95" s="73"/>
      <c r="I95" s="73"/>
      <c r="J95" s="73"/>
      <c r="K95" s="74"/>
      <c r="L95" s="120" t="str">
        <f t="shared" si="7"/>
        <v>COMMODITY</v>
      </c>
      <c r="M95" s="76"/>
      <c r="N95" s="91" t="str">
        <f>品名</f>
        <v>Crude Oil6658</v>
      </c>
      <c r="O95" s="92"/>
      <c r="P95" s="92"/>
      <c r="Q95" s="93"/>
    </row>
    <row r="96" ht="13.8" customHeight="1" spans="1:17">
      <c r="A96" t="str">
        <f t="shared" si="6"/>
        <v>显示</v>
      </c>
      <c r="B96" s="376" t="str">
        <f>IF(隐藏船名,"隐藏","显示")</f>
        <v>显示</v>
      </c>
      <c r="C96" s="481" t="b">
        <v>0</v>
      </c>
      <c r="H96" s="73"/>
      <c r="I96" s="73"/>
      <c r="J96" s="73"/>
      <c r="K96" s="74"/>
      <c r="L96" s="120" t="str">
        <f t="shared" si="7"/>
        <v>VESSEL</v>
      </c>
      <c r="M96" s="76"/>
      <c r="N96" s="91" t="str">
        <f>船名</f>
        <v>MT ZhenYuanefdasdf</v>
      </c>
      <c r="O96" s="92"/>
      <c r="P96" s="92"/>
      <c r="Q96" s="93"/>
    </row>
    <row r="97" ht="13.8" customHeight="1" spans="1:17">
      <c r="A97" t="str">
        <f t="shared" si="6"/>
        <v>显示</v>
      </c>
      <c r="B97" s="376" t="str">
        <f>IF(隐藏港口名称,"隐藏","显示")</f>
        <v>显示</v>
      </c>
      <c r="C97" s="481" t="b">
        <v>0</v>
      </c>
      <c r="H97" s="73"/>
      <c r="I97" s="73"/>
      <c r="J97" s="73"/>
      <c r="K97" s="74"/>
      <c r="L97" s="120" t="str">
        <f t="shared" si="7"/>
        <v>PORT</v>
      </c>
      <c r="M97" s="76"/>
      <c r="N97" s="91" t="str">
        <f>港口名</f>
        <v>Dalian, Chinafsadfa</v>
      </c>
      <c r="O97" s="92"/>
      <c r="P97" s="92"/>
      <c r="Q97" s="93"/>
    </row>
    <row r="98" ht="13.8" customHeight="1" spans="1:17">
      <c r="A98" t="str">
        <f t="shared" si="6"/>
        <v>显示</v>
      </c>
      <c r="B98" s="376" t="str">
        <f>IF(隐藏油库名称,"隐藏","显示")</f>
        <v>显示</v>
      </c>
      <c r="C98" s="481" t="b">
        <v>0</v>
      </c>
      <c r="H98" s="73"/>
      <c r="I98" s="73"/>
      <c r="J98" s="73"/>
      <c r="K98" s="74"/>
      <c r="L98" s="120" t="str">
        <f t="shared" si="7"/>
        <v>TERMINAL</v>
      </c>
      <c r="M98" s="76"/>
      <c r="N98" s="91" t="str">
        <f>油库名</f>
        <v>Dalian Chinaoil, China1325415</v>
      </c>
      <c r="O98" s="92"/>
      <c r="P98" s="92"/>
      <c r="Q98" s="93"/>
    </row>
    <row r="99" ht="13.8" customHeight="1" spans="1:17">
      <c r="A99" t="str">
        <f t="shared" si="6"/>
        <v>显示</v>
      </c>
      <c r="H99" s="73"/>
      <c r="I99" s="73"/>
      <c r="J99" s="73"/>
      <c r="K99" s="74"/>
      <c r="L99" s="120" t="str">
        <f t="shared" si="7"/>
        <v>DATE OF INSPECTION</v>
      </c>
      <c r="M99" s="76"/>
      <c r="N99" s="91" t="str">
        <f>检验日期</f>
        <v>YYYY-MM-DD To YYYY-MM-DD</v>
      </c>
      <c r="O99" s="92"/>
      <c r="P99" s="92"/>
      <c r="Q99" s="93"/>
    </row>
    <row r="100" spans="1:17">
      <c r="A100" t="str">
        <f t="shared" si="6"/>
        <v>显示</v>
      </c>
      <c r="H100" s="47"/>
      <c r="I100" s="47"/>
      <c r="J100" s="47"/>
      <c r="K100" s="47"/>
      <c r="L100" s="47"/>
      <c r="M100" s="47"/>
      <c r="N100" s="47"/>
      <c r="O100" s="47"/>
      <c r="P100" s="47"/>
      <c r="Q100" s="47"/>
    </row>
    <row r="101" ht="12.45" customHeight="1" spans="1:17">
      <c r="A101" t="str">
        <f t="shared" si="6"/>
        <v>显示</v>
      </c>
      <c r="D101" s="482" t="str">
        <f>IF(计算方法=Inventory,"隐藏","显示")</f>
        <v>显示</v>
      </c>
      <c r="H101" s="80"/>
      <c r="I101" s="47"/>
      <c r="J101" s="47"/>
      <c r="K101" s="83"/>
      <c r="L101" s="484" t="str">
        <f>$P$56</f>
        <v>Tank No.</v>
      </c>
      <c r="M101" s="485" t="s">
        <v>1091</v>
      </c>
      <c r="N101" s="484" t="str">
        <f>$P$56</f>
        <v>Tank No.</v>
      </c>
      <c r="O101" s="485" t="s">
        <v>1091</v>
      </c>
      <c r="P101" s="484" t="str">
        <f>$P$56</f>
        <v>Tank No.</v>
      </c>
      <c r="Q101" s="485" t="s">
        <v>1091</v>
      </c>
    </row>
    <row r="102" ht="12.45" customHeight="1" spans="1:17">
      <c r="A102" t="str">
        <f t="shared" si="6"/>
        <v>显示</v>
      </c>
      <c r="D102" s="482" t="str">
        <f>IF(计算方法=Inventory,"隐藏","显示")</f>
        <v>显示</v>
      </c>
      <c r="H102" s="80"/>
      <c r="I102" s="47"/>
      <c r="J102" s="95"/>
      <c r="K102" s="83"/>
      <c r="L102" s="486" t="str">
        <f>$P$57</f>
        <v>Open</v>
      </c>
      <c r="M102" s="487" t="str">
        <f>$P$58</f>
        <v>Close</v>
      </c>
      <c r="N102" s="486" t="str">
        <f>$P$57</f>
        <v>Open</v>
      </c>
      <c r="O102" s="487" t="str">
        <f>$P$58</f>
        <v>Close</v>
      </c>
      <c r="P102" s="486" t="str">
        <f>$P$57</f>
        <v>Open</v>
      </c>
      <c r="Q102" s="487" t="str">
        <f>$P$58</f>
        <v>Close</v>
      </c>
    </row>
    <row r="103" ht="12.45" customHeight="1" spans="1:17">
      <c r="A103" t="str">
        <f t="shared" si="6"/>
        <v>隐藏</v>
      </c>
      <c r="D103" s="482" t="str">
        <f>IF(计算方法=Inventory,"显示","隐藏")</f>
        <v>隐藏</v>
      </c>
      <c r="H103" s="47"/>
      <c r="I103" s="47"/>
      <c r="J103" s="47"/>
      <c r="K103" s="83"/>
      <c r="L103" s="488" t="str">
        <f t="shared" ref="L103:Q103" si="8">$P$56</f>
        <v>Tank No.</v>
      </c>
      <c r="M103" s="488" t="str">
        <f t="shared" si="8"/>
        <v>Tank No.</v>
      </c>
      <c r="N103" s="488" t="str">
        <f t="shared" si="8"/>
        <v>Tank No.</v>
      </c>
      <c r="O103" s="488" t="str">
        <f t="shared" si="8"/>
        <v>Tank No.</v>
      </c>
      <c r="P103" s="488" t="str">
        <f t="shared" si="8"/>
        <v>Tank No.</v>
      </c>
      <c r="Q103" s="488" t="str">
        <f t="shared" si="8"/>
        <v>Tank No.</v>
      </c>
    </row>
    <row r="104" ht="12.45" customHeight="1" spans="1:17">
      <c r="A104" t="str">
        <f t="shared" si="6"/>
        <v>隐藏</v>
      </c>
      <c r="D104" s="482" t="str">
        <f>IF(计算方法=Inventory,"显示","隐藏")</f>
        <v>隐藏</v>
      </c>
      <c r="H104" s="47"/>
      <c r="I104" s="47"/>
      <c r="J104" s="47"/>
      <c r="K104" s="83"/>
      <c r="L104" s="489" t="s">
        <v>1091</v>
      </c>
      <c r="M104" s="489" t="s">
        <v>1091</v>
      </c>
      <c r="N104" s="489"/>
      <c r="O104" s="489"/>
      <c r="P104" s="489"/>
      <c r="Q104" s="489"/>
    </row>
    <row r="105" ht="12.45" customHeight="1" spans="1:17">
      <c r="A105" t="str">
        <f t="shared" si="6"/>
        <v>显示</v>
      </c>
      <c r="H105" s="80" t="str">
        <f>P59</f>
        <v>Date</v>
      </c>
      <c r="I105" s="47"/>
      <c r="J105" s="47"/>
      <c r="K105" s="83"/>
      <c r="L105" s="490">
        <v>44188</v>
      </c>
      <c r="M105" s="490">
        <v>44189</v>
      </c>
      <c r="N105" s="490" t="s">
        <v>1092</v>
      </c>
      <c r="O105" s="490"/>
      <c r="P105" s="490"/>
      <c r="Q105" s="490"/>
    </row>
    <row r="106" ht="12.45" customHeight="1" spans="1:17">
      <c r="A106" t="str">
        <f t="shared" si="6"/>
        <v>显示</v>
      </c>
      <c r="H106" s="80" t="str">
        <f>P60</f>
        <v>Time</v>
      </c>
      <c r="I106" s="47"/>
      <c r="J106" s="47"/>
      <c r="K106" s="83"/>
      <c r="L106" s="491" t="s">
        <v>1093</v>
      </c>
      <c r="M106" s="491" t="s">
        <v>1094</v>
      </c>
      <c r="N106" s="491" t="s">
        <v>1095</v>
      </c>
      <c r="O106" s="491"/>
      <c r="P106" s="491"/>
      <c r="Q106" s="491"/>
    </row>
    <row r="107" ht="12.45" customHeight="1" spans="1:17">
      <c r="A107" t="str">
        <f t="shared" si="6"/>
        <v>显示</v>
      </c>
      <c r="H107" s="80" t="str">
        <f>M7</f>
        <v>Density@15℃</v>
      </c>
      <c r="I107" s="47"/>
      <c r="K107" s="83" t="str">
        <f>IF(OR($H$107=$P$34,$H$107=$P$35),$M$8,IF($H$107=$P$36,$M$9,"--"))</f>
        <v>g/cm³</v>
      </c>
      <c r="L107" s="492">
        <v>0.9876</v>
      </c>
      <c r="M107" s="492">
        <v>0.9866</v>
      </c>
      <c r="N107" s="492"/>
      <c r="O107" s="492"/>
      <c r="P107" s="492"/>
      <c r="Q107" s="492"/>
    </row>
    <row r="108" ht="12.45" customHeight="1" spans="1:17">
      <c r="A108" t="str">
        <f t="shared" si="6"/>
        <v>隐藏</v>
      </c>
      <c r="B108" s="482" t="str">
        <f>IF(Cargo_type="C","显示","隐藏")</f>
        <v>隐藏</v>
      </c>
      <c r="H108" s="80" t="str">
        <f>P66</f>
        <v>Thermal expansion coefficient α60℉ </v>
      </c>
      <c r="I108" s="47"/>
      <c r="J108" s="47"/>
      <c r="K108" s="83" t="str">
        <f>IF(OR(vcfTab="T-54C",vcfTab="T-60C"),"1/℃","1/℉")</f>
        <v>1/℉</v>
      </c>
      <c r="L108" s="493">
        <v>0.00046</v>
      </c>
      <c r="M108" s="493">
        <v>0.00051</v>
      </c>
      <c r="N108" s="493"/>
      <c r="O108" s="493"/>
      <c r="P108" s="493"/>
      <c r="Q108" s="493"/>
    </row>
    <row r="109" ht="12.45" customHeight="1" spans="1:17">
      <c r="A109" t="str">
        <f t="shared" si="6"/>
        <v>显示</v>
      </c>
      <c r="H109" s="80" t="str">
        <f>$P$67</f>
        <v>S&amp;W</v>
      </c>
      <c r="I109" s="47"/>
      <c r="J109" s="46"/>
      <c r="K109" s="492" t="s">
        <v>1033</v>
      </c>
      <c r="L109" s="494">
        <v>0.235</v>
      </c>
      <c r="M109" s="494">
        <v>0.325</v>
      </c>
      <c r="N109" s="494"/>
      <c r="O109" s="494"/>
      <c r="P109" s="494"/>
      <c r="Q109" s="494"/>
    </row>
    <row r="110" ht="12.45" customHeight="1" spans="1:17">
      <c r="A110" t="str">
        <f t="shared" si="6"/>
        <v>隐藏</v>
      </c>
      <c r="B110" t="s">
        <v>1096</v>
      </c>
      <c r="H110" s="80" t="str">
        <f>罐壁材质</f>
        <v>Construction of Tank Shell</v>
      </c>
      <c r="I110" s="47"/>
      <c r="J110" s="46"/>
      <c r="K110" s="492"/>
      <c r="L110" s="492" t="s">
        <v>1043</v>
      </c>
      <c r="M110" s="492" t="s">
        <v>1043</v>
      </c>
      <c r="N110" s="492" t="s">
        <v>1044</v>
      </c>
      <c r="O110" s="492" t="s">
        <v>1044</v>
      </c>
      <c r="P110" s="492"/>
      <c r="Q110" s="492"/>
    </row>
    <row r="111" ht="12.45" customHeight="1" spans="1:17">
      <c r="A111" t="str">
        <f t="shared" si="6"/>
        <v>隐藏</v>
      </c>
      <c r="B111" t="s">
        <v>1096</v>
      </c>
      <c r="H111" s="80" t="str">
        <f>岸罐标定温度</f>
        <v>Tank Shell Reference Temperature</v>
      </c>
      <c r="I111" s="47"/>
      <c r="J111" s="46"/>
      <c r="K111" s="492" t="s">
        <v>495</v>
      </c>
      <c r="L111" s="492">
        <v>15</v>
      </c>
      <c r="M111" s="492">
        <v>15</v>
      </c>
      <c r="N111" s="492">
        <v>20</v>
      </c>
      <c r="O111" s="492">
        <v>20</v>
      </c>
      <c r="P111" s="492"/>
      <c r="Q111" s="492"/>
    </row>
    <row r="112" ht="12.45" customHeight="1" spans="1:17">
      <c r="A112" t="str">
        <f t="shared" si="6"/>
        <v>隐藏</v>
      </c>
      <c r="B112" t="s">
        <v>1096</v>
      </c>
      <c r="H112" s="80" t="str">
        <f>罐壁线胀系数</f>
        <v>Linear Coefficient of Expansion of TSh</v>
      </c>
      <c r="I112" s="47"/>
      <c r="J112" s="46"/>
      <c r="K112" s="492" t="s">
        <v>1097</v>
      </c>
      <c r="L112" s="492">
        <v>1.12e-5</v>
      </c>
      <c r="M112" s="492">
        <v>1.12e-5</v>
      </c>
      <c r="N112" s="492">
        <v>1.22e-5</v>
      </c>
      <c r="O112" s="492">
        <v>1.22e-5</v>
      </c>
      <c r="P112" s="492"/>
      <c r="Q112" s="492"/>
    </row>
    <row r="113" ht="12.45" customHeight="1" spans="1:17">
      <c r="A113" t="str">
        <f t="shared" si="6"/>
        <v>显示</v>
      </c>
      <c r="D113" s="482" t="str">
        <f>IF(计算方法=Inventory,"隐藏","显示")</f>
        <v>显示</v>
      </c>
      <c r="H113" s="80" t="str">
        <f>P61</f>
        <v>Reference Height</v>
      </c>
      <c r="I113" s="47"/>
      <c r="J113" s="47"/>
      <c r="K113" s="83" t="str">
        <f>P70</f>
        <v>m</v>
      </c>
      <c r="L113" s="495">
        <v>23.345</v>
      </c>
      <c r="M113" s="496"/>
      <c r="N113" s="495"/>
      <c r="O113" s="496"/>
      <c r="P113" s="495"/>
      <c r="Q113" s="496"/>
    </row>
    <row r="114" ht="12.45" customHeight="1" spans="1:17">
      <c r="A114" t="str">
        <f t="shared" si="6"/>
        <v>隐藏</v>
      </c>
      <c r="D114" s="482" t="str">
        <f>IF(计算方法=Inventory,"显示","隐藏")</f>
        <v>隐藏</v>
      </c>
      <c r="H114" s="80" t="str">
        <f>H113</f>
        <v>Reference Height</v>
      </c>
      <c r="I114" s="47"/>
      <c r="J114" s="47"/>
      <c r="K114" s="83" t="str">
        <f>K113</f>
        <v>m</v>
      </c>
      <c r="L114" s="494">
        <v>21.655</v>
      </c>
      <c r="M114" s="494">
        <v>21.655</v>
      </c>
      <c r="N114" s="494"/>
      <c r="O114" s="494"/>
      <c r="P114" s="494"/>
      <c r="Q114" s="494"/>
    </row>
    <row r="115" ht="12.45" customHeight="1" spans="1:17">
      <c r="A115" t="str">
        <f t="shared" si="6"/>
        <v>显示</v>
      </c>
      <c r="H115" s="80" t="str">
        <f>P62</f>
        <v>Observed Reference Height</v>
      </c>
      <c r="I115" s="47"/>
      <c r="J115" s="47"/>
      <c r="K115" s="83" t="str">
        <f>K114</f>
        <v>m</v>
      </c>
      <c r="L115" s="494">
        <v>21.664</v>
      </c>
      <c r="M115" s="494">
        <v>21.674</v>
      </c>
      <c r="N115" s="494"/>
      <c r="O115" s="494"/>
      <c r="P115" s="494"/>
      <c r="Q115" s="494"/>
    </row>
    <row r="116" ht="12.45" customHeight="1" spans="1:17">
      <c r="A116" t="str">
        <f t="shared" si="6"/>
        <v>显示</v>
      </c>
      <c r="D116" s="482" t="str">
        <f>IF(计算方法=Inventory,"隐藏","显示")</f>
        <v>显示</v>
      </c>
      <c r="H116" s="80" t="str">
        <f>P63</f>
        <v>Floating Roof weight (in air)</v>
      </c>
      <c r="I116" s="47"/>
      <c r="J116" s="47"/>
      <c r="K116" s="83" t="str">
        <f>P28</f>
        <v>MT</v>
      </c>
      <c r="L116" s="495">
        <v>508.342</v>
      </c>
      <c r="M116" s="496"/>
      <c r="N116" s="495"/>
      <c r="O116" s="496"/>
      <c r="P116" s="495"/>
      <c r="Q116" s="496"/>
    </row>
    <row r="117" ht="12.45" customHeight="1" spans="1:23">
      <c r="A117" t="str">
        <f t="shared" si="6"/>
        <v>隐藏</v>
      </c>
      <c r="D117" s="482" t="str">
        <f>IF(计算方法=Inventory,"显示","隐藏")</f>
        <v>隐藏</v>
      </c>
      <c r="H117" s="80" t="str">
        <f>H116</f>
        <v>Floating Roof weight (in air)</v>
      </c>
      <c r="K117" s="83" t="str">
        <f>K116</f>
        <v>MT</v>
      </c>
      <c r="L117" s="494">
        <v>0</v>
      </c>
      <c r="M117" s="494">
        <v>0</v>
      </c>
      <c r="N117" s="494"/>
      <c r="O117" s="494"/>
      <c r="P117" s="494"/>
      <c r="Q117" s="494"/>
      <c r="W117" s="50"/>
    </row>
    <row r="118" ht="12.45" customHeight="1" spans="1:23">
      <c r="A118" t="str">
        <f t="shared" si="6"/>
        <v>隐藏</v>
      </c>
      <c r="B118" t="s">
        <v>1096</v>
      </c>
      <c r="D118" s="482"/>
      <c r="H118" s="80" t="str">
        <f>非计量区间&amp;" "&amp;下限</f>
        <v>Critical Zone Lower Limit</v>
      </c>
      <c r="K118" s="83" t="str">
        <f>K113</f>
        <v>m</v>
      </c>
      <c r="L118" s="494">
        <v>1.68</v>
      </c>
      <c r="M118" s="494">
        <v>1.68</v>
      </c>
      <c r="N118" s="494"/>
      <c r="O118" s="494"/>
      <c r="P118" s="494"/>
      <c r="Q118" s="494"/>
      <c r="W118" s="50"/>
    </row>
    <row r="119" ht="12.45" customHeight="1" spans="1:17">
      <c r="A119" t="str">
        <f t="shared" si="6"/>
        <v>隐藏</v>
      </c>
      <c r="B119" t="s">
        <v>1096</v>
      </c>
      <c r="H119" s="80" t="str">
        <f>非计量区间&amp;" "&amp;上限</f>
        <v>Critical Zone Upper Limit</v>
      </c>
      <c r="K119" s="83" t="str">
        <f>K113</f>
        <v>m</v>
      </c>
      <c r="L119" s="494">
        <v>1.9</v>
      </c>
      <c r="M119" s="494">
        <v>1.9</v>
      </c>
      <c r="N119" s="494"/>
      <c r="O119" s="494"/>
      <c r="P119" s="494"/>
      <c r="Q119" s="494"/>
    </row>
    <row r="120" ht="12.45" customHeight="1" spans="1:17">
      <c r="A120" t="str">
        <f t="shared" si="6"/>
        <v>隐藏</v>
      </c>
      <c r="B120" t="s">
        <v>1096</v>
      </c>
      <c r="H120" s="80" t="str">
        <f>检尺方法</f>
        <v>Gauge Method</v>
      </c>
      <c r="K120" s="83"/>
      <c r="L120" s="492" t="s">
        <v>1059</v>
      </c>
      <c r="M120" s="492" t="s">
        <v>1059</v>
      </c>
      <c r="N120" s="492"/>
      <c r="O120" s="492"/>
      <c r="P120" s="492"/>
      <c r="Q120" s="492"/>
    </row>
    <row r="121" ht="12.45" customHeight="1" spans="1:23">
      <c r="A121" t="str">
        <f t="shared" si="6"/>
        <v>隐藏</v>
      </c>
      <c r="B121" t="s">
        <v>1096</v>
      </c>
      <c r="H121" s="80" t="str">
        <f>检尺结果</f>
        <v>Gauge Value</v>
      </c>
      <c r="I121" s="47"/>
      <c r="K121" s="83" t="str">
        <f>K113</f>
        <v>m</v>
      </c>
      <c r="L121" s="494">
        <v>5.76</v>
      </c>
      <c r="M121" s="494">
        <v>9.87</v>
      </c>
      <c r="N121" s="494"/>
      <c r="O121" s="494"/>
      <c r="P121" s="494"/>
      <c r="Q121" s="494"/>
      <c r="W121" s="50"/>
    </row>
    <row r="122" ht="12.45" customHeight="1" spans="1:17">
      <c r="A122" t="str">
        <f t="shared" si="6"/>
        <v>显示</v>
      </c>
      <c r="H122" s="80" t="str">
        <f>S8</f>
        <v>Liquid Level</v>
      </c>
      <c r="I122" s="47"/>
      <c r="J122" s="47"/>
      <c r="K122" s="83" t="str">
        <f>K113</f>
        <v>m</v>
      </c>
      <c r="L122" s="497">
        <f>IF(L121="","",IF(计算方法=Inventory,IF(L120=空距,L114-L121,L121),IF(L120=空距,L113-L121,L121)))</f>
        <v>17.585</v>
      </c>
      <c r="M122" s="497">
        <f>IF(M121="","",IF(计算方法=Inventory,IF(M120=空距,M114-M121,M121),IF(M120=空距,L113-M121,M121)))</f>
        <v>13.475</v>
      </c>
      <c r="N122" s="497" t="str">
        <f>IF(N121="","",IF(计算方法=Inventory,IF(N120=空距,N114-N121,N121),IF(N120=空距,N113-N121,N121)))</f>
        <v/>
      </c>
      <c r="O122" s="497" t="str">
        <f>IF(O121="","",IF(计算方法=Inventory,IF(O120=空距,O114-O121,O121),IF(O120=空距,N113-O121,O121)))</f>
        <v/>
      </c>
      <c r="P122" s="497" t="str">
        <f>IF(P121="","",IF(计算方法=Inventory,IF(P120=空距,P114-P121,P121),IF(P120=空距,P113-P121,P121)))</f>
        <v/>
      </c>
      <c r="Q122" s="497" t="str">
        <f>IF(Q121="","",IF(计算方法=Inventory,IF(Q120=空距,Q114-Q121,Q121),IF(Q120=空距,P113-Q121,Q121)))</f>
        <v/>
      </c>
    </row>
    <row r="123" ht="12.45" customHeight="1" spans="1:17">
      <c r="A123" t="str">
        <f t="shared" si="6"/>
        <v>显示</v>
      </c>
      <c r="H123" s="80" t="str">
        <f>水高</f>
        <v>Water Dip</v>
      </c>
      <c r="I123" s="47"/>
      <c r="J123" s="47"/>
      <c r="K123" s="83" t="str">
        <f>K113</f>
        <v>m</v>
      </c>
      <c r="L123" s="494">
        <v>0.987</v>
      </c>
      <c r="M123" s="494">
        <v>0.877</v>
      </c>
      <c r="N123" s="494"/>
      <c r="O123" s="494"/>
      <c r="P123" s="494"/>
      <c r="Q123" s="494"/>
    </row>
    <row r="124" ht="12.45" customHeight="1" spans="1:17">
      <c r="A124" t="str">
        <f t="shared" si="6"/>
        <v>显示</v>
      </c>
      <c r="H124" s="80" t="str">
        <f>油温</f>
        <v>Liquid Temperature (Average)</v>
      </c>
      <c r="I124" s="47"/>
      <c r="J124" s="47"/>
      <c r="K124" s="492" t="s">
        <v>495</v>
      </c>
      <c r="L124" s="492">
        <v>30</v>
      </c>
      <c r="M124" s="492">
        <v>36</v>
      </c>
      <c r="N124" s="492"/>
      <c r="O124" s="492"/>
      <c r="P124" s="492"/>
      <c r="Q124" s="492"/>
    </row>
    <row r="125" ht="12.45" customHeight="1" spans="1:17">
      <c r="A125" t="str">
        <f t="shared" si="6"/>
        <v>显示</v>
      </c>
      <c r="H125" s="80" t="str">
        <f>环温</f>
        <v>Ambient Air Temperature (Average)</v>
      </c>
      <c r="I125" s="47"/>
      <c r="J125" s="47"/>
      <c r="K125" s="83" t="str">
        <f>油温单位</f>
        <v>℃</v>
      </c>
      <c r="L125" s="492">
        <v>22</v>
      </c>
      <c r="M125" s="492">
        <v>26</v>
      </c>
      <c r="N125" s="492"/>
      <c r="O125" s="492"/>
      <c r="P125" s="492"/>
      <c r="Q125" s="492"/>
    </row>
    <row r="126" ht="12.45" customHeight="1" spans="1:17">
      <c r="A126" t="str">
        <f t="shared" si="6"/>
        <v>隐藏</v>
      </c>
      <c r="B126" t="s">
        <v>1096</v>
      </c>
      <c r="H126" s="80" t="str">
        <f>静压力体积</f>
        <v>Table Volume of Static Pressure Corr.</v>
      </c>
      <c r="I126" s="47"/>
      <c r="J126" s="47"/>
      <c r="K126" s="83" t="str">
        <f t="shared" ref="K126:K132" si="9">表体积单位</f>
        <v>Bbls</v>
      </c>
      <c r="L126" s="494">
        <v>100</v>
      </c>
      <c r="M126" s="494">
        <v>160</v>
      </c>
      <c r="N126" s="494"/>
      <c r="O126" s="494"/>
      <c r="P126" s="494"/>
      <c r="Q126" s="494"/>
    </row>
    <row r="127" ht="12.45" customHeight="1" spans="1:17">
      <c r="A127" t="str">
        <f t="shared" si="6"/>
        <v>隐藏</v>
      </c>
      <c r="B127" t="s">
        <v>1096</v>
      </c>
      <c r="H127" s="80" t="s">
        <v>1098</v>
      </c>
      <c r="I127" s="47"/>
      <c r="J127" s="47"/>
      <c r="K127" s="83" t="str">
        <f t="shared" si="9"/>
        <v>Bbls</v>
      </c>
      <c r="L127" s="494">
        <v>10000</v>
      </c>
      <c r="M127" s="494">
        <v>20000</v>
      </c>
      <c r="N127" s="494"/>
      <c r="O127" s="494"/>
      <c r="P127" s="494"/>
      <c r="Q127" s="494"/>
    </row>
    <row r="128" ht="12.45" customHeight="1" spans="1:17">
      <c r="A128" t="str">
        <f t="shared" si="6"/>
        <v>隐藏</v>
      </c>
      <c r="B128" t="s">
        <v>1096</v>
      </c>
      <c r="H128" s="80" t="s">
        <v>1099</v>
      </c>
      <c r="I128" s="47"/>
      <c r="J128" s="47"/>
      <c r="K128" s="83" t="str">
        <f t="shared" si="9"/>
        <v>Bbls</v>
      </c>
      <c r="L128" s="492">
        <v>1000</v>
      </c>
      <c r="M128" s="492">
        <v>1200</v>
      </c>
      <c r="N128" s="492"/>
      <c r="O128" s="492"/>
      <c r="P128" s="492"/>
      <c r="Q128" s="492"/>
    </row>
    <row r="129" ht="12.45" customHeight="1" spans="1:17">
      <c r="A129" t="str">
        <f t="shared" si="6"/>
        <v>隐藏</v>
      </c>
      <c r="B129" t="s">
        <v>1096</v>
      </c>
      <c r="H129" s="80" t="s">
        <v>1100</v>
      </c>
      <c r="I129" s="47"/>
      <c r="J129" s="47"/>
      <c r="K129" s="83" t="str">
        <f t="shared" si="9"/>
        <v>Bbls</v>
      </c>
      <c r="L129" s="492">
        <v>100</v>
      </c>
      <c r="M129" s="492">
        <v>90</v>
      </c>
      <c r="N129" s="492"/>
      <c r="O129" s="492"/>
      <c r="P129" s="492"/>
      <c r="Q129" s="492"/>
    </row>
    <row r="130" ht="12.45" customHeight="1" spans="1:17">
      <c r="A130" t="str">
        <f t="shared" si="6"/>
        <v>隐藏</v>
      </c>
      <c r="B130" t="s">
        <v>1096</v>
      </c>
      <c r="H130" s="80" t="s">
        <v>1101</v>
      </c>
      <c r="I130" s="47"/>
      <c r="J130" s="47"/>
      <c r="K130" s="83" t="str">
        <f t="shared" si="9"/>
        <v>Bbls</v>
      </c>
      <c r="L130" s="500">
        <f t="shared" ref="L130:Q130" si="10">L127+L128+L129</f>
        <v>11100</v>
      </c>
      <c r="M130" s="500">
        <f t="shared" si="10"/>
        <v>21290</v>
      </c>
      <c r="N130" s="500">
        <f t="shared" si="10"/>
        <v>0</v>
      </c>
      <c r="O130" s="500">
        <f t="shared" si="10"/>
        <v>0</v>
      </c>
      <c r="P130" s="500">
        <f t="shared" si="10"/>
        <v>0</v>
      </c>
      <c r="Q130" s="500">
        <f t="shared" si="10"/>
        <v>0</v>
      </c>
    </row>
    <row r="131" ht="12.45" customHeight="1" spans="1:17">
      <c r="A131" t="str">
        <f t="shared" si="6"/>
        <v>显示</v>
      </c>
      <c r="H131" s="80" t="str">
        <f>P52</f>
        <v>Total Observed Volume</v>
      </c>
      <c r="I131" s="47"/>
      <c r="J131" s="47"/>
      <c r="K131" s="83" t="str">
        <f t="shared" si="9"/>
        <v>Bbls</v>
      </c>
      <c r="L131" s="501">
        <f>IF(L122="","",IF(L111=15,ROUND(To_Density15C_by_AnyDen(Cargo_type,Den_type,L107,L108)*L126/1000+L130,3),IF(L111=20,ROUND(To_Density20C_by_AnyDen(Cargo_type,Den_type,L107,L108)*L126/1000+L130,3),ROUND(To_SG60F_by_AnyDen(Cargo_type,Den_type,L107,L108)*L126+L130,2))))</f>
        <v>11198.76</v>
      </c>
      <c r="M131" s="501">
        <f>IF(M122="","",IF(M111=15,ROUND(To_Density15C_by_AnyDen(Cargo_type,Den_type,M107,M108)*M126/1000+M130,3),IF(M111=20,ROUND(To_Density20C_by_AnyDen(Cargo_type,Den_type,M107,M108)*M126/1000+M130,3),ROUND(To_SG60F_by_AnyDen(Cargo_type,Den_type,M107,M108)*M126+M130,2))))</f>
        <v>21447.856</v>
      </c>
      <c r="N131" s="501" t="str">
        <f>IF(N122="","",IF(N111=15,ROUND(To_Density15C_by_AnyDen(Cargo_type,Den_type,N107,N108)*N126/1000+N130,3),IF(N111=20,ROUND(To_Density20C_by_AnyDen(Cargo_type,Den_type,N107,N108)*N126/1000+N130,3),ROUND(To_SG60F_by_AnyDen(Cargo_type,Den_type,N107,N108)*N126+N130,2))))</f>
        <v/>
      </c>
      <c r="O131" s="501" t="str">
        <f>IF(O122="","",IF(O111=15,ROUND(To_Density15C_by_AnyDen(Cargo_type,Den_type,O107,O108)*O126/1000+O130,3),IF(O111=20,ROUND(To_Density20C_by_AnyDen(Cargo_type,Den_type,O107,O108)*O126/1000+O130,3),ROUND(To_SG60F_by_AnyDen(Cargo_type,Den_type,O107,O108)*O126+O130,2))))</f>
        <v/>
      </c>
      <c r="P131" s="501" t="str">
        <f>IF(P122="","",IF(P111=15,ROUND(To_Density15C_by_AnyDen(Cargo_type,Den_type,P107,P108)*P126/1000+P130,3),IF(P111=20,ROUND(To_Density20C_by_AnyDen(Cargo_type,Den_type,P107,P108)*P126/1000+P130,3),ROUND(To_SG60F_by_AnyDen(Cargo_type,Den_type,P107,P108)*P126+P130,2))))</f>
        <v/>
      </c>
      <c r="Q131" s="501" t="str">
        <f>IF(Q122="","",IF(Q111=15,ROUND(To_Density15C_by_AnyDen(Cargo_type,Den_type,Q107,Q108)*Q126/1000+Q130,3),IF(Q111=20,ROUND(To_Density20C_by_AnyDen(Cargo_type,Den_type,Q107,Q108)*Q126/1000+Q130,3),ROUND(To_SG60F_by_AnyDen(Cargo_type,Den_type,Q107,Q108)*Q126+Q130,2))))</f>
        <v/>
      </c>
    </row>
    <row r="132" ht="12.45" customHeight="1" spans="1:17">
      <c r="A132" t="str">
        <f t="shared" si="6"/>
        <v>显示</v>
      </c>
      <c r="H132" s="80" t="str">
        <f>P53</f>
        <v>Free Water Volume</v>
      </c>
      <c r="I132" s="47"/>
      <c r="J132" s="47"/>
      <c r="K132" s="83" t="str">
        <f t="shared" si="9"/>
        <v>Bbls</v>
      </c>
      <c r="L132" s="492">
        <v>100</v>
      </c>
      <c r="M132" s="492">
        <v>70</v>
      </c>
      <c r="N132" s="492"/>
      <c r="O132" s="492"/>
      <c r="P132" s="492"/>
      <c r="Q132" s="492"/>
    </row>
    <row r="133" ht="12.45" customHeight="1" spans="1:17">
      <c r="A133" t="str">
        <f t="shared" si="6"/>
        <v>隐藏</v>
      </c>
      <c r="B133" t="s">
        <v>1096</v>
      </c>
      <c r="H133" s="80" t="s">
        <v>1102</v>
      </c>
      <c r="I133" s="47"/>
      <c r="J133" s="47"/>
      <c r="K133" s="83" t="str">
        <f>油温单位</f>
        <v>℃</v>
      </c>
      <c r="L133" s="502">
        <f t="shared" ref="L133:Q133" si="11">IF(L110=保温,L124,(7*L124+L125)/8)</f>
        <v>30</v>
      </c>
      <c r="M133" s="502">
        <f t="shared" si="11"/>
        <v>36</v>
      </c>
      <c r="N133" s="502">
        <f t="shared" si="11"/>
        <v>0</v>
      </c>
      <c r="O133" s="502">
        <f t="shared" si="11"/>
        <v>0</v>
      </c>
      <c r="P133" s="502">
        <f t="shared" si="11"/>
        <v>0</v>
      </c>
      <c r="Q133" s="502">
        <f t="shared" si="11"/>
        <v>0</v>
      </c>
    </row>
    <row r="134" ht="12.45" customHeight="1" spans="1:17">
      <c r="A134" t="str">
        <f t="shared" si="6"/>
        <v>隐藏</v>
      </c>
      <c r="B134" t="s">
        <v>1096</v>
      </c>
      <c r="H134" s="80" t="s">
        <v>1103</v>
      </c>
      <c r="I134" s="47"/>
      <c r="J134" s="47"/>
      <c r="K134" s="83"/>
      <c r="L134" s="83">
        <f>IF(油温单位=$P$64,L133,TempF_to_TempC(L133))</f>
        <v>30</v>
      </c>
      <c r="M134" s="83">
        <f>IF(油温单位=$P$64,M133,TempF_to_TempC(M133))</f>
        <v>36</v>
      </c>
      <c r="N134" s="83">
        <f>IF(油温单位=$P$64,N133,TempF_to_TempC(N133))</f>
        <v>0</v>
      </c>
      <c r="O134" s="83">
        <f>IF(油温单位=$P$64,O133,TempF_to_TempC(O133))</f>
        <v>0</v>
      </c>
      <c r="P134" s="83">
        <f>IF(油温单位=$P$64,P133,TempF_to_TempC(P133))</f>
        <v>0</v>
      </c>
      <c r="Q134" s="83">
        <f>IF(油温单位=$P$64,Q133,TempF_to_TempC(Q133))</f>
        <v>0</v>
      </c>
    </row>
    <row r="135" ht="12.45" customHeight="1" spans="1:17">
      <c r="A135" t="str">
        <f t="shared" si="6"/>
        <v>隐藏</v>
      </c>
      <c r="B135" t="s">
        <v>1096</v>
      </c>
      <c r="H135" s="80" t="s">
        <v>1104</v>
      </c>
      <c r="I135" s="47"/>
      <c r="J135" s="47"/>
      <c r="K135" s="83"/>
      <c r="L135" s="83">
        <f>IF(油温单位=$P$65,L134,TempC_to_TempF(L134))</f>
        <v>86</v>
      </c>
      <c r="M135" s="83">
        <f>IF(油温单位=$P$65,M134,TempC_to_TempF(M134))</f>
        <v>96.8</v>
      </c>
      <c r="N135" s="83">
        <f>IF(油温单位=$P$65,N134,TempC_to_TempF(N134))</f>
        <v>32</v>
      </c>
      <c r="O135" s="83">
        <f>IF(油温单位=$P$65,O134,TempC_to_TempF(O134))</f>
        <v>32</v>
      </c>
      <c r="P135" s="83">
        <f>IF(油温单位=$P$65,P134,TempC_to_TempF(P134))</f>
        <v>32</v>
      </c>
      <c r="Q135" s="83">
        <f>IF(油温单位=$P$65,Q134,TempC_to_TempF(Q134))</f>
        <v>32</v>
      </c>
    </row>
    <row r="136" ht="12.45" customHeight="1" spans="1:17">
      <c r="A136" t="str">
        <f t="shared" si="6"/>
        <v>隐藏</v>
      </c>
      <c r="B136" t="s">
        <v>1096</v>
      </c>
      <c r="H136" s="80" t="str">
        <f>岸罐标定温度&amp;" in ℃"</f>
        <v>Tank Shell Reference Temperature in ℃</v>
      </c>
      <c r="I136" s="47"/>
      <c r="J136" s="47"/>
      <c r="K136" s="83"/>
      <c r="L136" s="83">
        <f>IF(岸罐标定温度单位=$P$64,L111,TempF_to_TempC(L111))</f>
        <v>15</v>
      </c>
      <c r="M136" s="83">
        <f>IF(岸罐标定温度单位=$P$64,M111,TempF_to_TempC(M111))</f>
        <v>15</v>
      </c>
      <c r="N136" s="83">
        <f>IF(岸罐标定温度单位=$P$64,N111,TempF_to_TempC(N111))</f>
        <v>20</v>
      </c>
      <c r="O136" s="83">
        <f>IF(岸罐标定温度单位=$P$64,O111,TempF_to_TempC(O111))</f>
        <v>20</v>
      </c>
      <c r="P136" s="83">
        <f>IF(岸罐标定温度单位=$P$64,P111,TempF_to_TempC(P111))</f>
        <v>0</v>
      </c>
      <c r="Q136" s="83">
        <f>IF(岸罐标定温度单位=$P$64,Q111,TempF_to_TempC(Q111))</f>
        <v>0</v>
      </c>
    </row>
    <row r="137" ht="12.45" customHeight="1" spans="1:17">
      <c r="A137" t="str">
        <f t="shared" si="6"/>
        <v>隐藏</v>
      </c>
      <c r="B137" t="s">
        <v>1096</v>
      </c>
      <c r="H137" s="80" t="str">
        <f>岸罐标定温度&amp;" in ℉"</f>
        <v>Tank Shell Reference Temperature in ℉</v>
      </c>
      <c r="I137" s="47"/>
      <c r="J137" s="47"/>
      <c r="K137" s="83"/>
      <c r="L137" s="83">
        <f>IF(岸罐标定温度单位=$P$65,L111,TempC_to_TempF(L111))</f>
        <v>59</v>
      </c>
      <c r="M137" s="83">
        <f>IF(岸罐标定温度单位=$P$65,M111,TempC_to_TempF(M111))</f>
        <v>59</v>
      </c>
      <c r="N137" s="83">
        <f>IF(岸罐标定温度单位=$P$65,N111,TempC_to_TempF(N111))</f>
        <v>68</v>
      </c>
      <c r="O137" s="83">
        <f>IF(岸罐标定温度单位=$P$65,O111,TempC_to_TempF(O111))</f>
        <v>68</v>
      </c>
      <c r="P137" s="83">
        <f>IF(岸罐标定温度单位=$P$65,P111,TempC_to_TempF(P111))</f>
        <v>32</v>
      </c>
      <c r="Q137" s="83">
        <f>IF(岸罐标定温度单位=$P$65,Q111,TempC_to_TempF(Q111))</f>
        <v>32</v>
      </c>
    </row>
    <row r="138" ht="12.45" customHeight="1" spans="1:17">
      <c r="A138" t="str">
        <f t="shared" si="6"/>
        <v>隐藏</v>
      </c>
      <c r="B138" t="s">
        <v>1096</v>
      </c>
      <c r="H138" s="80" t="str">
        <f>P50&amp;" in 1/℃"</f>
        <v>Correction for Temp. of Tank Shell in 1/℃</v>
      </c>
      <c r="I138" s="47"/>
      <c r="J138" s="47"/>
      <c r="K138" s="83"/>
      <c r="L138" s="503">
        <f t="shared" ref="L138:Q138" si="12">IF(ABS(L134-L136)&lt;10,1,ROUND(IF(L110=保温,(1+3*L112*(L134-L136)),IF(L120=空距,(1+3*L112*(L134-L136)),(1+2*L112*(L134-L136)))),5))</f>
        <v>1.0005</v>
      </c>
      <c r="M138" s="503">
        <f t="shared" si="12"/>
        <v>1.00071</v>
      </c>
      <c r="N138" s="503">
        <f t="shared" si="12"/>
        <v>0.99951</v>
      </c>
      <c r="O138" s="503">
        <f t="shared" si="12"/>
        <v>0.99951</v>
      </c>
      <c r="P138" s="503">
        <f t="shared" si="12"/>
        <v>1</v>
      </c>
      <c r="Q138" s="503">
        <f t="shared" si="12"/>
        <v>1</v>
      </c>
    </row>
    <row r="139" ht="12.45" customHeight="1" spans="1:17">
      <c r="A139" t="str">
        <f t="shared" si="6"/>
        <v>隐藏</v>
      </c>
      <c r="B139" t="s">
        <v>1096</v>
      </c>
      <c r="H139" s="80" t="str">
        <f>P50&amp;" in 1/℉"</f>
        <v>Correction for Temp. of Tank Shell in 1/℉</v>
      </c>
      <c r="L139" s="503">
        <f t="shared" ref="L139:Q139" si="13">IF(ABS(L135-L137)&lt;10,1,ROUND(IF(L110=保温,(1+3*L112*(L135-L137)),IF(L120=空距,(1+3*L112*(L135-L137)),(1+2*L112*(L135-L137)))),5))</f>
        <v>1.00091</v>
      </c>
      <c r="M139" s="503">
        <f t="shared" si="13"/>
        <v>1.00127</v>
      </c>
      <c r="N139" s="503">
        <f t="shared" si="13"/>
        <v>0.99912</v>
      </c>
      <c r="O139" s="503">
        <f t="shared" si="13"/>
        <v>0.99912</v>
      </c>
      <c r="P139" s="503">
        <f t="shared" si="13"/>
        <v>1</v>
      </c>
      <c r="Q139" s="503">
        <f t="shared" si="13"/>
        <v>1</v>
      </c>
    </row>
    <row r="140" ht="12.45" customHeight="1" spans="1:20">
      <c r="A140" t="str">
        <f t="shared" si="6"/>
        <v>显示</v>
      </c>
      <c r="H140" s="80" t="str">
        <f>P50</f>
        <v>Correction for Temp. of Tank Shell</v>
      </c>
      <c r="L140" s="504">
        <f t="shared" ref="L140:Q140" si="14">IF(L124="","",IF(线胀系数单位="1/℃",L138,L139))</f>
        <v>1.0005</v>
      </c>
      <c r="M140" s="504">
        <f t="shared" si="14"/>
        <v>1.00071</v>
      </c>
      <c r="N140" s="504" t="str">
        <f t="shared" si="14"/>
        <v/>
      </c>
      <c r="O140" s="504" t="str">
        <f t="shared" si="14"/>
        <v/>
      </c>
      <c r="P140" s="504" t="str">
        <f t="shared" si="14"/>
        <v/>
      </c>
      <c r="Q140" s="504" t="str">
        <f t="shared" si="14"/>
        <v/>
      </c>
      <c r="S140" s="306"/>
      <c r="T140" s="306"/>
    </row>
    <row r="141" ht="12.45" customHeight="1" spans="1:20">
      <c r="A141" t="str">
        <f t="shared" si="6"/>
        <v>隐藏</v>
      </c>
      <c r="B141" t="s">
        <v>1096</v>
      </c>
      <c r="H141" s="80" t="s">
        <v>1105</v>
      </c>
      <c r="K141" s="83" t="str">
        <f>表体积单位</f>
        <v>Bbls</v>
      </c>
      <c r="L141" s="47">
        <f t="shared" ref="L141:Q141" si="15">IF(表体积单位=立方米,ROUND((L131-L132)*L140,3),ROUND((L131-L132)*L140,2))</f>
        <v>11104.31</v>
      </c>
      <c r="M141" s="47">
        <f t="shared" si="15"/>
        <v>21393.03</v>
      </c>
      <c r="N141" s="47" t="e">
        <f t="shared" si="15"/>
        <v>#VALUE!</v>
      </c>
      <c r="O141" s="47" t="e">
        <f t="shared" si="15"/>
        <v>#VALUE!</v>
      </c>
      <c r="P141" s="47" t="e">
        <f t="shared" si="15"/>
        <v>#VALUE!</v>
      </c>
      <c r="Q141" s="47" t="e">
        <f t="shared" si="15"/>
        <v>#VALUE!</v>
      </c>
      <c r="S141" s="306"/>
      <c r="T141" s="306"/>
    </row>
    <row r="142" ht="12.45" customHeight="1" spans="1:20">
      <c r="A142" t="str">
        <f t="shared" si="6"/>
        <v>显示</v>
      </c>
      <c r="H142" s="80" t="str">
        <f>P49</f>
        <v>Pipeline volume</v>
      </c>
      <c r="K142" s="83" t="str">
        <f>表体积单位</f>
        <v>Bbls</v>
      </c>
      <c r="L142" s="492">
        <v>0</v>
      </c>
      <c r="M142" s="492">
        <v>0</v>
      </c>
      <c r="N142" s="492"/>
      <c r="O142" s="492"/>
      <c r="P142" s="492"/>
      <c r="Q142" s="492"/>
      <c r="S142" s="306"/>
      <c r="T142" s="306"/>
    </row>
    <row r="143" ht="12.45" customHeight="1" spans="1:20">
      <c r="A143" t="str">
        <f t="shared" si="6"/>
        <v>隐藏</v>
      </c>
      <c r="B143" t="s">
        <v>1096</v>
      </c>
      <c r="H143" s="80" t="s">
        <v>1106</v>
      </c>
      <c r="K143" s="83" t="str">
        <f>表体积单位</f>
        <v>Bbls</v>
      </c>
      <c r="L143" s="83">
        <f t="shared" ref="L143:Q143" si="16">L141+L142</f>
        <v>11104.31</v>
      </c>
      <c r="M143" s="83">
        <f t="shared" si="16"/>
        <v>21393.03</v>
      </c>
      <c r="N143" s="83" t="e">
        <f t="shared" si="16"/>
        <v>#VALUE!</v>
      </c>
      <c r="O143" s="83" t="e">
        <f t="shared" si="16"/>
        <v>#VALUE!</v>
      </c>
      <c r="P143" s="83" t="e">
        <f t="shared" si="16"/>
        <v>#VALUE!</v>
      </c>
      <c r="Q143" s="83" t="e">
        <f t="shared" si="16"/>
        <v>#VALUE!</v>
      </c>
      <c r="S143" s="306"/>
      <c r="T143" s="306"/>
    </row>
    <row r="144" ht="12.45" customHeight="1" spans="1:20">
      <c r="A144" t="str">
        <f t="shared" si="6"/>
        <v>隐藏</v>
      </c>
      <c r="B144" t="s">
        <v>1096</v>
      </c>
      <c r="H144" s="498"/>
      <c r="K144" s="83" t="str">
        <f>立方米</f>
        <v>m³</v>
      </c>
      <c r="L144" s="505">
        <f t="shared" ref="L144:Q144" si="17">IF(表体积单位=立方米,L143,ROUND(L143*0.158987304,3))</f>
        <v>1765.444</v>
      </c>
      <c r="M144" s="505">
        <f t="shared" si="17"/>
        <v>3401.22</v>
      </c>
      <c r="N144" s="505" t="e">
        <f t="shared" si="17"/>
        <v>#VALUE!</v>
      </c>
      <c r="O144" s="505" t="e">
        <f t="shared" si="17"/>
        <v>#VALUE!</v>
      </c>
      <c r="P144" s="505" t="e">
        <f t="shared" si="17"/>
        <v>#VALUE!</v>
      </c>
      <c r="Q144" s="505" t="e">
        <f t="shared" si="17"/>
        <v>#VALUE!</v>
      </c>
      <c r="S144" s="306"/>
      <c r="T144" s="306"/>
    </row>
    <row r="145" ht="12.45" customHeight="1" spans="1:20">
      <c r="A145" t="str">
        <f t="shared" si="6"/>
        <v>隐藏</v>
      </c>
      <c r="B145" t="s">
        <v>1096</v>
      </c>
      <c r="H145" s="80"/>
      <c r="K145" s="83" t="str">
        <f>美制桶</f>
        <v>Bbls</v>
      </c>
      <c r="L145" s="506">
        <f t="shared" ref="L145:Q145" si="18">IF(表体积单位=美制桶,L143,ROUND(L143*6.289812,2))</f>
        <v>11104.31</v>
      </c>
      <c r="M145" s="506">
        <f t="shared" si="18"/>
        <v>21393.03</v>
      </c>
      <c r="N145" s="506" t="e">
        <f t="shared" si="18"/>
        <v>#VALUE!</v>
      </c>
      <c r="O145" s="506" t="e">
        <f t="shared" si="18"/>
        <v>#VALUE!</v>
      </c>
      <c r="P145" s="506" t="e">
        <f t="shared" si="18"/>
        <v>#VALUE!</v>
      </c>
      <c r="Q145" s="506" t="e">
        <f t="shared" si="18"/>
        <v>#VALUE!</v>
      </c>
      <c r="S145" s="306"/>
      <c r="T145" s="306"/>
    </row>
    <row r="146" ht="12.45" customHeight="1" spans="1:20">
      <c r="A146" t="str">
        <f t="shared" si="6"/>
        <v>显示</v>
      </c>
      <c r="H146" s="80" t="str">
        <f>P51</f>
        <v>Floating Roof Correction</v>
      </c>
      <c r="I146" s="47"/>
      <c r="J146" s="47"/>
      <c r="K146" s="83" t="str">
        <f>K150</f>
        <v>m³</v>
      </c>
      <c r="L146" s="83">
        <f>IF(L149="","",IF(OR(LEFT(vcfTab,4)="T-54",LEFT(vcfTab,4)="T-60"),ROUND(IF(计算方法=Inventory,L117/(L149*L155),L116/(L149*L155)),3),ROUND(IF(计算方法=Inventory,L117/(L149*L155),L116/(L149*L155))*0.9842065276,2)))</f>
        <v>520.615</v>
      </c>
      <c r="M146" s="83">
        <f>IF(M149="","",IF(OR(LEFT(vcfTab,4)="T-54",LEFT(vcfTab,4)="T-60"),ROUND(IF(计算方法=Inventory,M117/(M149*M155),L116/(M149*M155)),3),ROUND(IF(计算方法=Inventory,M117/(M149*M155),L116/(M149*M155))*0.9842065276,2)))</f>
        <v>523.337</v>
      </c>
      <c r="N146" s="83" t="str">
        <f>IF(N149="","",IF(OR(LEFT(vcfTab,4)="T-54",LEFT(vcfTab,4)="T-60"),ROUND(IF(计算方法=Inventory,N117/(N149*N155),N116/(N149*N155)),3),ROUND(IF(计算方法=Inventory,N117/(N149*N155),N116/(N149*N155))*0.9842065276,2)))</f>
        <v/>
      </c>
      <c r="O146" s="793" t="str">
        <f>IF(O149="","",IF(OR(LEFT(vcfTab,4)="T-54",LEFT(vcfTab,4)="T-60"),ROUND(IF(计算方法=Inventory,O117/(O149*O155),N116/(O149*O155)),3),ROUND(IF(计算方法=Inventory,O117/(O149*O155),N116/(O149*O155))*0.9842065276,2)))</f>
        <v/>
      </c>
      <c r="P146" s="83" t="str">
        <f>IF(P149="","",IF(OR(LEFT(vcfTab,4)="T-54",LEFT(vcfTab,4)="T-60"),ROUND(IF(计算方法=Inventory,P117/(P149*P155),P116/(P149*P155)),3),ROUND(IF(计算方法=Inventory,P117/(P149*P155),P116/(P149*P155))*0.9842065276,2)))</f>
        <v/>
      </c>
      <c r="Q146" s="793" t="str">
        <f>IF(Q149="","",IF(OR(LEFT(vcfTab,4)="T-54",LEFT(vcfTab,4)="T-60"),ROUND(IF(计算方法=Inventory,Q117/(Q149*Q155),P116/(Q149*Q155)),3),ROUND(IF(计算方法=Inventory,Q117/(Q149*Q155),P116/(Q149*Q155))*0.9842065276,2)))</f>
        <v/>
      </c>
      <c r="S146" s="306"/>
      <c r="T146" s="306"/>
    </row>
    <row r="147" ht="12.45" customHeight="1" spans="1:20">
      <c r="A147" t="str">
        <f t="shared" si="6"/>
        <v>显示</v>
      </c>
      <c r="H147" s="80" t="str">
        <f>P48</f>
        <v>Gross Observed Volume</v>
      </c>
      <c r="I147" s="47"/>
      <c r="J147" s="47"/>
      <c r="K147" s="507" t="str">
        <f>K150</f>
        <v>m³</v>
      </c>
      <c r="L147" s="492">
        <f t="shared" ref="L147:Q147" si="19">IF(L131="","",IF(OR(LEFT(vcfTab,4)="T-54",LEFT(vcfTab,4)="T-60"),L144-L146,L145-L146))</f>
        <v>1244.829</v>
      </c>
      <c r="M147" s="492">
        <f t="shared" si="19"/>
        <v>2877.883</v>
      </c>
      <c r="N147" s="492" t="str">
        <f t="shared" si="19"/>
        <v/>
      </c>
      <c r="O147" s="492" t="str">
        <f t="shared" si="19"/>
        <v/>
      </c>
      <c r="P147" s="492" t="str">
        <f t="shared" si="19"/>
        <v/>
      </c>
      <c r="Q147" s="492" t="str">
        <f t="shared" si="19"/>
        <v/>
      </c>
      <c r="S147" s="306"/>
      <c r="T147" s="306"/>
    </row>
    <row r="148" ht="12.45" customHeight="1" spans="1:20">
      <c r="A148" t="str">
        <f t="shared" si="6"/>
        <v>显示</v>
      </c>
      <c r="D148" s="482" t="str">
        <f>IF(计算方法=Inventory,"隐藏","显示")</f>
        <v>显示</v>
      </c>
      <c r="H148" s="80" t="str">
        <f>IF(计算方法=Delivery,P46,P47)</f>
        <v>Gross Observed Volume Received</v>
      </c>
      <c r="I148" s="47"/>
      <c r="J148" s="47"/>
      <c r="K148" s="507" t="str">
        <f>K150</f>
        <v>m³</v>
      </c>
      <c r="L148" s="508">
        <f>IF(AND(L147="",M147=""),"",IF(计算方法=Delivery,L147-M147,M147-L147))</f>
        <v>1633.054</v>
      </c>
      <c r="M148" s="509"/>
      <c r="N148" s="508" t="str">
        <f>IF(AND(N147="",O147=""),"",IF(计算方法=Delivery,N147-O147,O147-N147))</f>
        <v/>
      </c>
      <c r="O148" s="509"/>
      <c r="P148" s="508" t="str">
        <f>IF(AND(P147="",Q147=""),"",IF(计算方法=Delivery,P147-Q147,Q147-P147))</f>
        <v/>
      </c>
      <c r="Q148" s="509"/>
      <c r="S148" s="306"/>
      <c r="T148" s="306"/>
    </row>
    <row r="149" ht="12.45" customHeight="1" spans="1:20">
      <c r="A149" t="str">
        <f t="shared" si="6"/>
        <v>显示</v>
      </c>
      <c r="H149" s="499" t="str">
        <f>P1</f>
        <v>VCF Table</v>
      </c>
      <c r="I149" s="507" t="str">
        <f>vcfTab</f>
        <v>T-60B</v>
      </c>
      <c r="J149" s="95" t="str">
        <f>IF(Report_Language=$G$1,"(Version "&amp;vcfVersion&amp;")","("&amp;vcfVersion&amp;"版)")</f>
        <v>(Version 2004)</v>
      </c>
      <c r="K149" s="507"/>
      <c r="L149" s="510">
        <f>IF(L124="","",vcf(vcfTab,vcfVersion,L154,$K$124,L124,L108))</f>
        <v>0.99311</v>
      </c>
      <c r="M149" s="507">
        <f>IF(M124="","",vcf(vcfTab,vcfVersion,M154,$K$124,M124,M108))</f>
        <v>0.98895</v>
      </c>
      <c r="N149" s="510" t="str">
        <f>IF(N124="","",vcf(vcfTab,vcfVersion,N154,$K$124,N124,N108))</f>
        <v/>
      </c>
      <c r="O149" s="507" t="str">
        <f>IF(O124="","",vcf(vcfTab,vcfVersion,O154,$K$124,O124,O108))</f>
        <v/>
      </c>
      <c r="P149" s="510" t="str">
        <f>IF(P124="","",vcf(vcfTab,vcfVersion,P154,$K$124,P124,P108))</f>
        <v/>
      </c>
      <c r="Q149" s="507" t="str">
        <f>IF(Q124="","",vcf(vcfTab,vcfVersion,Q154,$K$124,Q124,Q108))</f>
        <v/>
      </c>
      <c r="S149" s="306"/>
      <c r="T149" s="306"/>
    </row>
    <row r="150" ht="12.45" customHeight="1" spans="1:20">
      <c r="A150" t="str">
        <f t="shared" si="6"/>
        <v>显示</v>
      </c>
      <c r="H150" s="499" t="str">
        <f>P41</f>
        <v>Gross Standard Volume</v>
      </c>
      <c r="I150" s="95"/>
      <c r="J150" s="95"/>
      <c r="K150" s="507" t="str">
        <f>IF(OR(LEFT(vcfTab,4)="T-54",LEFT(vcfTab,4)="T-60"),P16,P17)</f>
        <v>m³</v>
      </c>
      <c r="L150" s="507">
        <f t="shared" ref="L150:Q150" si="20">IF(L147="","",IF(OR(LEFT(vcfTab,4)="T-54",LEFT(vcfTab,4)="T-60"),ROUND(L147*L149,3),ROUND(L147*L149,2)))</f>
        <v>1236.252</v>
      </c>
      <c r="M150" s="507">
        <f t="shared" si="20"/>
        <v>2846.082</v>
      </c>
      <c r="N150" s="507" t="str">
        <f t="shared" si="20"/>
        <v/>
      </c>
      <c r="O150" s="507" t="str">
        <f t="shared" si="20"/>
        <v/>
      </c>
      <c r="P150" s="507" t="str">
        <f t="shared" si="20"/>
        <v/>
      </c>
      <c r="Q150" s="507" t="str">
        <f t="shared" si="20"/>
        <v/>
      </c>
      <c r="S150" s="306"/>
      <c r="T150" s="306"/>
    </row>
    <row r="151" ht="12.45" customHeight="1" spans="1:20">
      <c r="A151" t="str">
        <f t="shared" si="6"/>
        <v>显示</v>
      </c>
      <c r="D151" s="482" t="str">
        <f>IF(计算方法=Inventory,"隐藏","显示")</f>
        <v>显示</v>
      </c>
      <c r="G151">
        <f>SUM(L151,N151,P151)</f>
        <v>1609.83</v>
      </c>
      <c r="H151" s="499" t="str">
        <f>IF(计算方法=Delivery,P44,P45)</f>
        <v>Gross Standard Volume Received</v>
      </c>
      <c r="I151" s="95"/>
      <c r="J151" s="95"/>
      <c r="K151" s="507" t="str">
        <f>IF(OR(LEFT(vcfTab,4)="T-54",LEFT(vcfTab,4)="T-60"),P16,P17)</f>
        <v>m³</v>
      </c>
      <c r="L151" s="511">
        <f>IF(AND(L150="",M150=""),"",IF(计算方法=Delivery,L150-M150,M150-L150))</f>
        <v>1609.83</v>
      </c>
      <c r="M151" s="512"/>
      <c r="N151" s="511" t="str">
        <f>IF(AND(N150="",O150=""),"",IF(计算方法=Delivery,N150-O150,O150-N150))</f>
        <v/>
      </c>
      <c r="O151" s="512"/>
      <c r="P151" s="511" t="str">
        <f>IF(AND(P150="",Q150=""),"",IF(计算方法=Delivery,P150-Q150,Q150-P150))</f>
        <v/>
      </c>
      <c r="Q151" s="512"/>
      <c r="S151" s="306"/>
      <c r="T151" s="306"/>
    </row>
    <row r="152" ht="12.45" customHeight="1" spans="1:20">
      <c r="A152" t="str">
        <f t="shared" si="6"/>
        <v>隐藏</v>
      </c>
      <c r="E152" s="482" t="str">
        <f>IF(Cargo_type="A","显示","隐藏")</f>
        <v>隐藏</v>
      </c>
      <c r="H152" s="499" t="str">
        <f>P40</f>
        <v>Net Standard Volume</v>
      </c>
      <c r="I152" s="95"/>
      <c r="J152" s="95"/>
      <c r="K152" s="507" t="str">
        <f>IF(OR(LEFT(vcfTab,4)="T-54",LEFT(vcfTab,4)="T-60"),P16,P17)</f>
        <v>m³</v>
      </c>
      <c r="L152" s="507">
        <f t="shared" ref="L152:Q152" si="21">IF(L109="","",IF(OR(LEFT(vcfTab,4)="T-54",LEFT(vcfTab,4)="T-60"),ROUND(L150*(1-L109%),3),ROUND(L150*(1-L109%),2)))</f>
        <v>1233.347</v>
      </c>
      <c r="M152" s="507">
        <f t="shared" si="21"/>
        <v>2836.832</v>
      </c>
      <c r="N152" s="507" t="str">
        <f t="shared" si="21"/>
        <v/>
      </c>
      <c r="O152" s="507" t="str">
        <f t="shared" si="21"/>
        <v/>
      </c>
      <c r="P152" s="507" t="str">
        <f t="shared" si="21"/>
        <v/>
      </c>
      <c r="Q152" s="507" t="str">
        <f t="shared" si="21"/>
        <v/>
      </c>
      <c r="S152" s="306"/>
      <c r="T152" s="306"/>
    </row>
    <row r="153" ht="12.45" customHeight="1" spans="1:20">
      <c r="A153" t="str">
        <f t="shared" si="6"/>
        <v>隐藏</v>
      </c>
      <c r="D153" s="482" t="str">
        <f>IF(计算方法=Inventory,"隐藏","显示")</f>
        <v>显示</v>
      </c>
      <c r="E153" s="482" t="str">
        <f>IF(Cargo_type="A","显示","隐藏")</f>
        <v>隐藏</v>
      </c>
      <c r="H153" s="499" t="str">
        <f>IF(计算方法=Delivery,P42,P43)</f>
        <v>Net Standard Volume Received</v>
      </c>
      <c r="I153" s="95"/>
      <c r="J153" s="95"/>
      <c r="K153" s="507" t="str">
        <f>IF(OR(LEFT(vcfTab,4)="T-54",LEFT(vcfTab,4)="T-60"),P16,P17)</f>
        <v>m³</v>
      </c>
      <c r="L153" s="511">
        <f>IF(AND(L152="",M152=""),"",IF(计算方法=Delivery,L152-M152,M152-L152))</f>
        <v>1603.485</v>
      </c>
      <c r="M153" s="512"/>
      <c r="N153" s="511" t="str">
        <f>IF(AND(N152="",O152=""),"",IF(计算方法=Delivery,N152-O152,O152-N152))</f>
        <v/>
      </c>
      <c r="O153" s="512"/>
      <c r="P153" s="511" t="str">
        <f>IF(AND(P152="",Q152=""),"",IF(计算方法=Delivery,P152-Q152,Q152-P152))</f>
        <v/>
      </c>
      <c r="Q153" s="512"/>
      <c r="S153" s="306"/>
      <c r="T153" s="306"/>
    </row>
    <row r="154" ht="12.45" customHeight="1" spans="1:20">
      <c r="A154" t="str">
        <f t="shared" si="6"/>
        <v>显示</v>
      </c>
      <c r="H154" s="499" t="str">
        <f>IF(LEFT(vcfTab,4)="T-54",P34,IF(LEFT(vcfTab,4)="T-60",P35,IF(LEFT(vcfTab,4)="T-24",P37,P36)))</f>
        <v>Density@20℃</v>
      </c>
      <c r="I154" s="95"/>
      <c r="J154" s="95"/>
      <c r="K154" s="507" t="str">
        <f>IF(LEFT(vcfTab,4)="T-54",P38,IF(LEFT(vcfTab,4)="T-60",P38,IF(LEFT(vcfTab,4)="T-24","--",P39)))</f>
        <v>kg/m³</v>
      </c>
      <c r="L154" s="507">
        <f>IF(L107="","",Standard_Density(vcfTab,Cargo_type,Den_type,L107,L108))</f>
        <v>984.2</v>
      </c>
      <c r="M154" s="507">
        <f>IF(M107="","",Standard_Density(vcfTab,Cargo_type,Den_type,M107,M108))</f>
        <v>983.2</v>
      </c>
      <c r="N154" s="507" t="str">
        <f>IF(N107="","",Standard_Density(vcfTab,Cargo_type,Den_type,N107,N108))</f>
        <v/>
      </c>
      <c r="O154" s="507" t="str">
        <f>IF(O107="","",Standard_Density(vcfTab,Cargo_type,Den_type,O107,O108))</f>
        <v/>
      </c>
      <c r="P154" s="507" t="str">
        <f>IF(P107="","",Standard_Density(vcfTab,Cargo_type,Den_type,P107,P108))</f>
        <v/>
      </c>
      <c r="Q154" s="507" t="str">
        <f>IF(Q107="","",Standard_Density(vcfTab,Cargo_type,Den_type,Q107,Q108))</f>
        <v/>
      </c>
      <c r="S154" s="306"/>
      <c r="T154" s="306"/>
    </row>
    <row r="155" ht="12.45" customHeight="1" spans="1:20">
      <c r="A155" t="str">
        <f t="shared" si="6"/>
        <v>显示</v>
      </c>
      <c r="H155" s="499" t="str">
        <f>wcf(Report_Language,vcfTab,WCF_Standard)</f>
        <v>WCF MT(in air)/m³@20℃</v>
      </c>
      <c r="I155" s="95"/>
      <c r="J155" s="95"/>
      <c r="K155" s="507"/>
      <c r="L155" s="507">
        <f>IF(L107="","",IF(OR(LEFT(vcfTab,4)="T-54",LEFT(vcfTab,4)="T-60"),Factor_toMTair(vcfTab,WCF_Standard,L154),Factor_toLTair(vcfTab,WCF_Standard,L154)))</f>
        <v>0.9832</v>
      </c>
      <c r="M155" s="507">
        <f>IF(M107="","",IF(OR(LEFT(vcfTab,4)="T-54",LEFT(vcfTab,4)="T-60"),Factor_toMTair(vcfTab,WCF_Standard,M154),Factor_toLTair(vcfTab,WCF_Standard,M154)))</f>
        <v>0.9822</v>
      </c>
      <c r="N155" s="507" t="str">
        <f>IF(N107="","",IF(OR(LEFT(vcfTab,4)="T-54",LEFT(vcfTab,4)="T-60"),Factor_toMTair(vcfTab,WCF_Standard,N154),Factor_toLTair(vcfTab,WCF_Standard,N154)))</f>
        <v/>
      </c>
      <c r="O155" s="507" t="str">
        <f>IF(O107="","",IF(OR(LEFT(vcfTab,4)="T-54",LEFT(vcfTab,4)="T-60"),Factor_toMTair(vcfTab,WCF_Standard,O154),Factor_toLTair(vcfTab,WCF_Standard,O154)))</f>
        <v/>
      </c>
      <c r="P155" s="507" t="str">
        <f>IF(P107="","",IF(OR(LEFT(vcfTab,4)="T-54",LEFT(vcfTab,4)="T-60"),Factor_toMTair(vcfTab,WCF_Standard,P154),Factor_toLTair(vcfTab,WCF_Standard,P154)))</f>
        <v/>
      </c>
      <c r="Q155" s="507" t="str">
        <f>IF(Q107="","",IF(OR(LEFT(vcfTab,4)="T-54",LEFT(vcfTab,4)="T-60"),Factor_toMTair(vcfTab,WCF_Standard,Q154),Factor_toLTair(vcfTab,WCF_Standard,Q154)))</f>
        <v/>
      </c>
      <c r="S155" s="306"/>
      <c r="T155" s="306"/>
    </row>
    <row r="156" ht="12.45" customHeight="1" spans="1:20">
      <c r="A156" t="str">
        <f t="shared" si="6"/>
        <v>显示</v>
      </c>
      <c r="H156" s="499" t="str">
        <f>P33</f>
        <v>Gross Standard Weight (in air)</v>
      </c>
      <c r="I156" s="95"/>
      <c r="J156" s="95"/>
      <c r="K156" s="507" t="str">
        <f>IF(OR(LEFT(vcfTab,4)="T-54",LEFT(vcfTab,4)="T-60"),P28,P29)</f>
        <v>MT</v>
      </c>
      <c r="L156" s="513">
        <f t="shared" ref="L156:Q156" si="22">IF(L150="","",ROUND(L150*L155,3))</f>
        <v>1215.483</v>
      </c>
      <c r="M156" s="513">
        <f t="shared" si="22"/>
        <v>2795.422</v>
      </c>
      <c r="N156" s="513" t="str">
        <f t="shared" si="22"/>
        <v/>
      </c>
      <c r="O156" s="513" t="str">
        <f t="shared" si="22"/>
        <v/>
      </c>
      <c r="P156" s="513" t="str">
        <f t="shared" si="22"/>
        <v/>
      </c>
      <c r="Q156" s="513" t="str">
        <f t="shared" si="22"/>
        <v/>
      </c>
      <c r="S156" s="306"/>
      <c r="T156" s="306"/>
    </row>
    <row r="157" ht="12.45" customHeight="1" spans="1:20">
      <c r="A157" t="str">
        <f t="shared" si="6"/>
        <v>显示</v>
      </c>
      <c r="D157" s="482" t="str">
        <f>IF(计算方法=Inventory,"隐藏","显示")</f>
        <v>显示</v>
      </c>
      <c r="G157">
        <f>SUM(L157,N157,P157)</f>
        <v>1579.939</v>
      </c>
      <c r="H157" s="499" t="str">
        <f>IF(计算方法=Delivery,P30,P31)</f>
        <v>Gross Standard Weight Received (in air)</v>
      </c>
      <c r="I157" s="95"/>
      <c r="J157" s="95"/>
      <c r="K157" s="507" t="str">
        <f>IF(OR(LEFT(vcfTab,4)="T-54",LEFT(vcfTab,4)="T-60"),P28,P29)</f>
        <v>MT</v>
      </c>
      <c r="L157" s="514">
        <f>IF(L153="","",IF(计算方法=Delivery,L156-M156,M156-L156))</f>
        <v>1579.939</v>
      </c>
      <c r="M157" s="515"/>
      <c r="N157" s="514" t="str">
        <f>IF(N153="","",IF(计算方法=Delivery,N156-O156,O156-N156))</f>
        <v/>
      </c>
      <c r="O157" s="515"/>
      <c r="P157" s="514" t="str">
        <f>IF(P153="","",IF(计算方法=Delivery,P156-Q156,Q156-P156))</f>
        <v/>
      </c>
      <c r="Q157" s="515"/>
      <c r="S157" s="306"/>
      <c r="T157" s="306"/>
    </row>
    <row r="158" ht="12.45" customHeight="1" spans="1:20">
      <c r="A158" t="str">
        <f>IF(OR(B158="隐藏",C158="隐藏",D158="隐藏",E158="隐藏"),"隐藏","显示")</f>
        <v>隐藏</v>
      </c>
      <c r="E158" s="482" t="str">
        <f>IF(Cargo_type="A","显示","隐藏")</f>
        <v>隐藏</v>
      </c>
      <c r="H158" s="499" t="str">
        <f>P32</f>
        <v>Net Standard Weight (in air)</v>
      </c>
      <c r="I158" s="95"/>
      <c r="J158" s="95"/>
      <c r="K158" s="507" t="str">
        <f>IF(OR(LEFT(vcfTab,4)="T-54",LEFT(vcfTab,4)="T-60"),P28,P29)</f>
        <v>MT</v>
      </c>
      <c r="L158" s="513">
        <f t="shared" ref="L158:Q158" si="23">IF(L156="","",ROUND(L156*(1-L109%),3))</f>
        <v>1212.627</v>
      </c>
      <c r="M158" s="513">
        <f t="shared" si="23"/>
        <v>2786.337</v>
      </c>
      <c r="N158" s="513" t="str">
        <f t="shared" si="23"/>
        <v/>
      </c>
      <c r="O158" s="513" t="str">
        <f t="shared" si="23"/>
        <v/>
      </c>
      <c r="P158" s="513" t="str">
        <f t="shared" si="23"/>
        <v/>
      </c>
      <c r="Q158" s="515" t="str">
        <f t="shared" si="23"/>
        <v/>
      </c>
      <c r="S158" s="306"/>
      <c r="T158" s="306"/>
    </row>
    <row r="159" ht="12.45" customHeight="1" spans="1:20">
      <c r="A159" t="str">
        <f t="shared" si="6"/>
        <v>隐藏</v>
      </c>
      <c r="D159" s="482" t="str">
        <f>IF(计算方法=Inventory,"隐藏","显示")</f>
        <v>显示</v>
      </c>
      <c r="E159" s="482" t="str">
        <f>IF(Cargo_type="A","显示","隐藏")</f>
        <v>隐藏</v>
      </c>
      <c r="H159" s="499" t="str">
        <f>IF(计算方法=Delivery,P26,P27)</f>
        <v>Net Standard Weight Received (in air)</v>
      </c>
      <c r="I159" s="95"/>
      <c r="J159" s="95"/>
      <c r="K159" s="507" t="str">
        <f>IF(OR(LEFT(vcfTab,4)="T-54",LEFT(vcfTab,4)="T-60"),P28,P29)</f>
        <v>MT</v>
      </c>
      <c r="L159" s="516">
        <f>IF(AND(L158="",M158=""),"",IF(计算方法=Delivery,L158-M158,M158-L158))</f>
        <v>1573.71</v>
      </c>
      <c r="M159" s="517"/>
      <c r="N159" s="516" t="str">
        <f>IF(AND(N158="",O158=""),"",IF(计算方法=Delivery,N158-O158,O158-N158))</f>
        <v/>
      </c>
      <c r="O159" s="517"/>
      <c r="P159" s="516" t="str">
        <f>IF(AND(P158="",Q158=""),"",IF(计算方法=Delivery,P158-Q158,Q158-P158))</f>
        <v/>
      </c>
      <c r="Q159" s="517"/>
      <c r="S159" s="306"/>
      <c r="T159" s="306"/>
    </row>
    <row r="160" spans="1:20">
      <c r="A160" t="str">
        <f t="shared" si="6"/>
        <v>显示</v>
      </c>
      <c r="H160" s="80"/>
      <c r="I160" s="47"/>
      <c r="J160" s="47"/>
      <c r="K160" s="47"/>
      <c r="L160" s="47"/>
      <c r="M160" s="47"/>
      <c r="N160" s="47"/>
      <c r="O160" s="47"/>
      <c r="P160" s="47"/>
      <c r="Q160" s="47"/>
      <c r="S160" s="306"/>
      <c r="T160" s="306"/>
    </row>
    <row r="161" spans="1:20">
      <c r="A161" t="str">
        <f t="shared" si="6"/>
        <v>隐藏</v>
      </c>
      <c r="D161" s="482" t="str">
        <f>IF(计算方法=Inventory,"显示","隐藏")</f>
        <v>隐藏</v>
      </c>
      <c r="H161" s="86" t="str">
        <f>P18</f>
        <v>INVENTORY QUANTITY OF INDIVIDUAL TANK</v>
      </c>
      <c r="I161" s="47"/>
      <c r="J161" s="47"/>
      <c r="K161" s="47"/>
      <c r="L161" s="518"/>
      <c r="M161" s="518"/>
      <c r="N161" s="518"/>
      <c r="O161" s="518"/>
      <c r="P161" s="518"/>
      <c r="Q161" s="518"/>
      <c r="S161" s="306"/>
      <c r="T161" s="306"/>
    </row>
    <row r="162" ht="12.45" customHeight="1" spans="1:20">
      <c r="A162" t="str">
        <f>IF(OR(B162="隐藏",C162="隐藏",D162="隐藏",E162="隐藏"),"隐藏","显示")</f>
        <v>隐藏</v>
      </c>
      <c r="C162" s="482" t="str">
        <f t="shared" ref="C162:C172" si="24">IF(F162=FALSE,"隐藏","显示")</f>
        <v>隐藏</v>
      </c>
      <c r="D162" s="482" t="str">
        <f t="shared" ref="D162:D183" si="25">IF(计算方法=Inventory,"显示","隐藏")</f>
        <v>隐藏</v>
      </c>
      <c r="E162" s="482"/>
      <c r="F162" s="109" t="b">
        <v>0</v>
      </c>
      <c r="H162" s="80" t="str">
        <f t="shared" ref="H162:H172" si="26">$P$19&amp;" - "&amp;P5</f>
        <v>Gross - US Barrels (Obsd. Temp.)</v>
      </c>
      <c r="I162" s="47"/>
      <c r="J162" s="47"/>
      <c r="K162" s="47"/>
      <c r="L162" s="519" t="str">
        <f>IF($F$162=FALSE,"",IF(L147="","",ToBblsObsd(L147,$K$147)))</f>
        <v/>
      </c>
      <c r="M162" s="519" t="str">
        <f>IF($F$162=FALSE,"",IF(M147="","",ToBblsObsd(M147,$K$147)))</f>
        <v/>
      </c>
      <c r="N162" s="519" t="str">
        <f>IF($F$162=FALSE,"",IF(N147="","",ToBblsObsd(N147,$K$147)))</f>
        <v/>
      </c>
      <c r="O162" s="519" t="str">
        <f>IF($F$162=FALSE,"",IF(O147="","",ToBblsObsd(O147,$K$147)))</f>
        <v/>
      </c>
      <c r="P162" s="519" t="str">
        <f>IF($F$162=FALSE,"",IF(P147="","",ToBblsObsd(P147,$K$147)))</f>
        <v/>
      </c>
      <c r="Q162" s="519" t="str">
        <f>IF($F$162=FALSE,"",IF(Q147="","",ToBblsObsd(Q147,$K$147)))</f>
        <v/>
      </c>
      <c r="S162" s="306"/>
      <c r="T162" s="306"/>
    </row>
    <row r="163" ht="12.45" customHeight="1" spans="1:20">
      <c r="A163" t="str">
        <f t="shared" ref="A163:A219" si="27">IF(OR(B163="隐藏",C163="隐藏",D163="隐藏",E163="隐藏"),"隐藏","显示")</f>
        <v>隐藏</v>
      </c>
      <c r="C163" s="482" t="str">
        <f t="shared" si="24"/>
        <v>隐藏</v>
      </c>
      <c r="D163" s="482" t="str">
        <f t="shared" si="25"/>
        <v>隐藏</v>
      </c>
      <c r="E163" s="482"/>
      <c r="F163" s="109" t="b">
        <v>0</v>
      </c>
      <c r="H163" s="80" t="str">
        <f t="shared" si="26"/>
        <v>Gross - Cubic Meters (Obsd. Temp.)</v>
      </c>
      <c r="I163" s="47"/>
      <c r="J163" s="47"/>
      <c r="K163" s="47"/>
      <c r="L163" s="520" t="str">
        <f>IF($F$163=FALSE,"",IF(L147="","",ToCbmObsd(L147,$K$147)))</f>
        <v/>
      </c>
      <c r="M163" s="520" t="str">
        <f>IF($F$163=FALSE,"",IF(M147="","",ToCbmObsd(M147,$K$147)))</f>
        <v/>
      </c>
      <c r="N163" s="520" t="str">
        <f>IF($F$163=FALSE,"",IF(N147="","",ToCbmObsd(N147,$K$147)))</f>
        <v/>
      </c>
      <c r="O163" s="520" t="str">
        <f>IF($F$163=FALSE,"",IF(O147="","",ToCbmObsd(O147,$K$147)))</f>
        <v/>
      </c>
      <c r="P163" s="520" t="str">
        <f>IF($F$163=FALSE,"",IF(P147="","",ToCbmObsd(P147,$K$147)))</f>
        <v/>
      </c>
      <c r="Q163" s="520" t="str">
        <f>IF($F$163=FALSE,"",IF(Q147="","",ToCbmObsd(Q147,$K$147)))</f>
        <v/>
      </c>
      <c r="S163" s="306"/>
      <c r="T163" s="306"/>
    </row>
    <row r="164" ht="12.45" customHeight="1" spans="1:20">
      <c r="A164" t="str">
        <f t="shared" si="27"/>
        <v>隐藏</v>
      </c>
      <c r="C164" s="482" t="str">
        <f t="shared" si="24"/>
        <v>显示</v>
      </c>
      <c r="D164" s="482" t="str">
        <f t="shared" si="25"/>
        <v>隐藏</v>
      </c>
      <c r="E164" s="482"/>
      <c r="F164" s="109" t="b">
        <v>1</v>
      </c>
      <c r="H164" s="80" t="str">
        <f t="shared" si="26"/>
        <v>Gross - US Barrels (60℉)</v>
      </c>
      <c r="I164" s="47"/>
      <c r="J164" s="47"/>
      <c r="K164" s="47"/>
      <c r="L164" s="521">
        <f>IF($F$164=FALSE,"",IF(L150="","",ToBbls60F(vcfTab,WCF_Standard,Cargo_type,L150,L156,L154,L108)))</f>
        <v>7752.35</v>
      </c>
      <c r="M164" s="521">
        <f>IF($F$164=FALSE,"",IF(M150="","",ToBbls60F(vcfTab,WCF_Standard,Cargo_type,M150,M156,M154,M108)))</f>
        <v>17848.77</v>
      </c>
      <c r="N164" s="521" t="str">
        <f>IF($F$164=FALSE,"",IF(N150="","",ToBbls60F(vcfTab,WCF_Standard,Cargo_type,N150,N156,N154,N108)))</f>
        <v/>
      </c>
      <c r="O164" s="521" t="str">
        <f>IF($F$164=FALSE,"",IF(O150="","",ToBbls60F(vcfTab,WCF_Standard,Cargo_type,O150,O156,O154,O108)))</f>
        <v/>
      </c>
      <c r="P164" s="521" t="str">
        <f>IF($F$164=FALSE,"",IF(P150="","",ToBbls60F(vcfTab,WCF_Standard,Cargo_type,P150,P156,P154,P108)))</f>
        <v/>
      </c>
      <c r="Q164" s="521" t="str">
        <f>IF($F$164=FALSE,"",IF(Q150="","",ToBbls60F(vcfTab,WCF_Standard,Cargo_type,Q150,Q156,Q154,Q108)))</f>
        <v/>
      </c>
      <c r="S164" s="306"/>
      <c r="T164" s="306"/>
    </row>
    <row r="165" ht="12.45" customHeight="1" spans="1:20">
      <c r="A165" t="str">
        <f t="shared" si="27"/>
        <v>隐藏</v>
      </c>
      <c r="C165" s="482" t="str">
        <f t="shared" si="24"/>
        <v>隐藏</v>
      </c>
      <c r="D165" s="482" t="str">
        <f t="shared" si="25"/>
        <v>隐藏</v>
      </c>
      <c r="E165" s="482"/>
      <c r="F165" s="109" t="b">
        <v>0</v>
      </c>
      <c r="H165" s="80" t="str">
        <f t="shared" si="26"/>
        <v>Gross - US Gallon (60℉)</v>
      </c>
      <c r="I165" s="47"/>
      <c r="J165" s="47"/>
      <c r="K165" s="47"/>
      <c r="L165" s="522" t="str">
        <f t="shared" ref="L165:Q165" si="28">IF($F$165=FALSE,"",IF(L150="","",ROUND(L164*42,2)))</f>
        <v/>
      </c>
      <c r="M165" s="522" t="str">
        <f t="shared" si="28"/>
        <v/>
      </c>
      <c r="N165" s="522" t="str">
        <f t="shared" si="28"/>
        <v/>
      </c>
      <c r="O165" s="522" t="str">
        <f t="shared" si="28"/>
        <v/>
      </c>
      <c r="P165" s="522" t="str">
        <f t="shared" si="28"/>
        <v/>
      </c>
      <c r="Q165" s="522" t="str">
        <f t="shared" si="28"/>
        <v/>
      </c>
      <c r="S165" s="306"/>
      <c r="T165" s="306"/>
    </row>
    <row r="166" ht="12.45" customHeight="1" spans="1:20">
      <c r="A166" t="str">
        <f t="shared" si="27"/>
        <v>隐藏</v>
      </c>
      <c r="C166" s="482" t="str">
        <f t="shared" si="24"/>
        <v>隐藏</v>
      </c>
      <c r="D166" s="482" t="str">
        <f t="shared" si="25"/>
        <v>隐藏</v>
      </c>
      <c r="E166" s="482"/>
      <c r="F166" s="109" t="b">
        <v>0</v>
      </c>
      <c r="H166" s="80" t="str">
        <f t="shared" si="26"/>
        <v>Gross - Cubic Meters (15℃)</v>
      </c>
      <c r="I166" s="47"/>
      <c r="J166" s="47"/>
      <c r="K166" s="47"/>
      <c r="L166" s="521" t="str">
        <f>IF($F$166=FALSE,"",IF(L150="","",ToCbm15C(vcfTab,WCF_Standard,Cargo_type,L150,L154,L108)))</f>
        <v/>
      </c>
      <c r="M166" s="521" t="str">
        <f>IF($F$166=FALSE,"",IF(M150="","",ToCbm15C(vcfTab,WCF_Standard,Cargo_type,M150,M154,M108)))</f>
        <v/>
      </c>
      <c r="N166" s="521" t="str">
        <f>IF($F$166=FALSE,"",IF(N150="","",ToCbm15C(vcfTab,WCF_Standard,Cargo_type,N150,N154,N108)))</f>
        <v/>
      </c>
      <c r="O166" s="521" t="str">
        <f>IF($F$166=FALSE,"",IF(O150="","",ToCbm15C(vcfTab,WCF_Standard,Cargo_type,O150,O154,O108)))</f>
        <v/>
      </c>
      <c r="P166" s="521" t="str">
        <f>IF($F$166=FALSE,"",IF(P150="","",ToCbm15C(vcfTab,WCF_Standard,Cargo_type,P150,P154,P108)))</f>
        <v/>
      </c>
      <c r="Q166" s="521" t="str">
        <f>IF($F$166=FALSE,"",IF(Q150="","",ToCbm15C(vcfTab,WCF_Standard,Cargo_type,Q150,Q154,Q108)))</f>
        <v/>
      </c>
      <c r="S166" s="306"/>
      <c r="T166" s="306"/>
    </row>
    <row r="167" ht="12.45" customHeight="1" spans="1:20">
      <c r="A167" t="str">
        <f t="shared" si="27"/>
        <v>隐藏</v>
      </c>
      <c r="C167" s="482" t="str">
        <f t="shared" si="24"/>
        <v>显示</v>
      </c>
      <c r="D167" s="482" t="str">
        <f t="shared" si="25"/>
        <v>隐藏</v>
      </c>
      <c r="E167" s="482"/>
      <c r="F167" s="109" t="b">
        <v>1</v>
      </c>
      <c r="H167" s="80" t="str">
        <f t="shared" si="26"/>
        <v>Gross - Cubic Meters (20℃)</v>
      </c>
      <c r="I167" s="47"/>
      <c r="J167" s="47"/>
      <c r="K167" s="47"/>
      <c r="L167" s="521">
        <f>IF($F$167=FALSE,"",IF(L150="","",ToCbm20C(vcfTab,WCF_Standard,Cargo_type,L150,L154,L108)))</f>
        <v>1236.252</v>
      </c>
      <c r="M167" s="521">
        <f>IF($F$167=FALSE,"",IF(M150="","",ToCbm20C(vcfTab,WCF_Standard,Cargo_type,M150,M154,M108)))</f>
        <v>2846.082</v>
      </c>
      <c r="N167" s="521" t="str">
        <f>IF($F$167=FALSE,"",IF(N150="","",ToCbm20C(vcfTab,WCF_Standard,Cargo_type,N150,N154,N108)))</f>
        <v/>
      </c>
      <c r="O167" s="521" t="str">
        <f>IF($F$167=FALSE,"",IF(O150="","",ToCbm20C(vcfTab,WCF_Standard,Cargo_type,O150,O154,O108)))</f>
        <v/>
      </c>
      <c r="P167" s="521" t="str">
        <f>IF($F$167=FALSE,"",IF(P150="","",ToCbm20C(vcfTab,WCF_Standard,Cargo_type,P150,P154,P108)))</f>
        <v/>
      </c>
      <c r="Q167" s="521" t="str">
        <f>IF($F$167=FALSE,"",IF(Q150="","",ToCbm20C(vcfTab,WCF_Standard,Cargo_type,Q150,Q154,Q108)))</f>
        <v/>
      </c>
      <c r="S167" s="306"/>
      <c r="T167" s="306"/>
    </row>
    <row r="168" ht="12.45" customHeight="1" spans="1:20">
      <c r="A168" t="str">
        <f t="shared" si="27"/>
        <v>隐藏</v>
      </c>
      <c r="C168" s="482" t="str">
        <f t="shared" si="24"/>
        <v>隐藏</v>
      </c>
      <c r="D168" s="482" t="str">
        <f t="shared" si="25"/>
        <v>隐藏</v>
      </c>
      <c r="E168" s="482"/>
      <c r="F168" s="109" t="b">
        <v>0</v>
      </c>
      <c r="H168" s="80" t="str">
        <f t="shared" si="26"/>
        <v>Gross - Cubic Meters (30℃)</v>
      </c>
      <c r="I168" s="47"/>
      <c r="J168" s="47"/>
      <c r="K168" s="47"/>
      <c r="L168" s="521" t="str">
        <f>IF($F$168=FALSE,"",IF(L150="","",ToCbm30C(vcfTab,WCF_Standard,Cargo_type,L150,L154,L108)))</f>
        <v/>
      </c>
      <c r="M168" s="521" t="str">
        <f>IF($F$168=FALSE,"",IF(M150="","",ToCbm30C(vcfTab,WCF_Standard,Cargo_type,M150,M154,M108)))</f>
        <v/>
      </c>
      <c r="N168" s="521" t="str">
        <f>IF($F$168=FALSE,"",IF(N150="","",ToCbm30C(vcfTab,WCF_Standard,Cargo_type,N150,N154,N108)))</f>
        <v/>
      </c>
      <c r="O168" s="521" t="str">
        <f>IF($F$168=FALSE,"",IF(O150="","",ToCbm30C(vcfTab,WCF_Standard,Cargo_type,O150,O154,O108)))</f>
        <v/>
      </c>
      <c r="P168" s="521" t="str">
        <f>IF($F$168=FALSE,"",IF(P150="","",ToCbm30C(vcfTab,WCF_Standard,Cargo_type,P150,P154,P108)))</f>
        <v/>
      </c>
      <c r="Q168" s="521" t="str">
        <f>IF($F$168=FALSE,"",IF(Q150="","",ToCbm30C(vcfTab,WCF_Standard,Cargo_type,Q150,Q154,Q108)))</f>
        <v/>
      </c>
      <c r="S168" s="306"/>
      <c r="T168" s="306"/>
    </row>
    <row r="169" ht="12.45" customHeight="1" spans="1:20">
      <c r="A169" t="str">
        <f t="shared" si="27"/>
        <v>隐藏</v>
      </c>
      <c r="C169" s="482" t="str">
        <f t="shared" si="24"/>
        <v>隐藏</v>
      </c>
      <c r="D169" s="482" t="str">
        <f t="shared" si="25"/>
        <v>隐藏</v>
      </c>
      <c r="E169" s="482"/>
      <c r="F169" s="109" t="b">
        <v>0</v>
      </c>
      <c r="H169" s="80" t="str">
        <f t="shared" si="26"/>
        <v>Gross - Metric Tons (in vacuo)</v>
      </c>
      <c r="I169" s="47"/>
      <c r="J169" s="47"/>
      <c r="K169" s="47"/>
      <c r="L169" s="521" t="str">
        <f>IF($F$169=FALSE,"",IF(L150="","",ToMTvacuo(vcfTab,WCF_Standard,L150,L154)))</f>
        <v/>
      </c>
      <c r="M169" s="521" t="str">
        <f>IF($F$169=FALSE,"",IF(M150="","",ToMTvacuo(vcfTab,WCF_Standard,M150,M154)))</f>
        <v/>
      </c>
      <c r="N169" s="521" t="str">
        <f>IF($F$169=FALSE,"",IF(N150="","",ToMTvacuo(vcfTab,WCF_Standard,N150,N154)))</f>
        <v/>
      </c>
      <c r="O169" s="521" t="str">
        <f>IF($F$169=FALSE,"",IF(O150="","",ToMTvacuo(vcfTab,WCF_Standard,O150,O154)))</f>
        <v/>
      </c>
      <c r="P169" s="521" t="str">
        <f>IF($F$169=FALSE,"",IF(P150="","",ToMTvacuo(vcfTab,WCF_Standard,P150,P154)))</f>
        <v/>
      </c>
      <c r="Q169" s="521" t="str">
        <f>IF($F$169=FALSE,"",IF(Q150="","",ToMTvacuo(vcfTab,WCF_Standard,Q150,Q154)))</f>
        <v/>
      </c>
      <c r="S169" s="306"/>
      <c r="T169" s="306"/>
    </row>
    <row r="170" ht="12.45" customHeight="1" spans="1:20">
      <c r="A170" t="str">
        <f t="shared" si="27"/>
        <v>隐藏</v>
      </c>
      <c r="C170" s="482" t="str">
        <f t="shared" si="24"/>
        <v>显示</v>
      </c>
      <c r="D170" s="482" t="str">
        <f t="shared" si="25"/>
        <v>隐藏</v>
      </c>
      <c r="E170" s="482"/>
      <c r="F170" s="109" t="b">
        <v>1</v>
      </c>
      <c r="H170" s="80" t="str">
        <f t="shared" si="26"/>
        <v>Gross - Metric Tons (in air)</v>
      </c>
      <c r="I170" s="47"/>
      <c r="J170" s="47"/>
      <c r="K170" s="47"/>
      <c r="L170" s="521">
        <f>IF($F$170=FALSE,"",IF(L150="","",ToMTair(vcfTab,WCF_Standard,L150,L154)))</f>
        <v>1215.483</v>
      </c>
      <c r="M170" s="521">
        <f>IF($F$170=FALSE,"",IF(M150="","",ToMTair(vcfTab,WCF_Standard,M150,M154)))</f>
        <v>2795.422</v>
      </c>
      <c r="N170" s="521" t="str">
        <f>IF($F$170=FALSE,"",IF(N150="","",ToMTair(vcfTab,WCF_Standard,N150,N154)))</f>
        <v/>
      </c>
      <c r="O170" s="521" t="str">
        <f>IF($F$170=FALSE,"",IF(O150="","",ToMTair(vcfTab,WCF_Standard,O150,O154)))</f>
        <v/>
      </c>
      <c r="P170" s="521" t="str">
        <f>IF($F$170=FALSE,"",IF(P150="","",ToMTair(vcfTab,WCF_Standard,P150,P154)))</f>
        <v/>
      </c>
      <c r="Q170" s="521" t="str">
        <f>IF($F$170=FALSE,"",IF(Q150="","",ToMTair(vcfTab,WCF_Standard,Q150,Q154)))</f>
        <v/>
      </c>
      <c r="S170" s="306"/>
      <c r="T170" s="306"/>
    </row>
    <row r="171" ht="12.45" customHeight="1" spans="1:20">
      <c r="A171" t="str">
        <f t="shared" si="27"/>
        <v>隐藏</v>
      </c>
      <c r="C171" s="482" t="str">
        <f t="shared" si="24"/>
        <v>隐藏</v>
      </c>
      <c r="D171" s="482" t="str">
        <f t="shared" si="25"/>
        <v>隐藏</v>
      </c>
      <c r="E171" s="482"/>
      <c r="F171" s="109" t="b">
        <v>0</v>
      </c>
      <c r="H171" s="80" t="str">
        <f t="shared" si="26"/>
        <v>Gross - Long Tons (in vacuo)</v>
      </c>
      <c r="I171" s="47"/>
      <c r="J171" s="47"/>
      <c r="K171" s="47"/>
      <c r="L171" s="521" t="str">
        <f>IF($F$171=FALSE,"",IF(L150="","",ToLTvacuo(vcfTab,WCF_Standard,L150,L154)))</f>
        <v/>
      </c>
      <c r="M171" s="521" t="str">
        <f>IF($F$171=FALSE,"",IF(M150="","",ToLTvacuo(vcfTab,WCF_Standard,M150,M154)))</f>
        <v/>
      </c>
      <c r="N171" s="521" t="str">
        <f>IF($F$171=FALSE,"",IF(N150="","",ToLTvacuo(vcfTab,WCF_Standard,N150,N154)))</f>
        <v/>
      </c>
      <c r="O171" s="521" t="str">
        <f>IF($F$171=FALSE,"",IF(O150="","",ToLTvacuo(vcfTab,WCF_Standard,O150,O154)))</f>
        <v/>
      </c>
      <c r="P171" s="521" t="str">
        <f>IF($F$171=FALSE,"",IF(P150="","",ToLTvacuo(vcfTab,WCF_Standard,P150,P154)))</f>
        <v/>
      </c>
      <c r="Q171" s="521" t="str">
        <f>IF($F$171=FALSE,"",IF(Q150="","",ToLTvacuo(vcfTab,WCF_Standard,Q150,Q154)))</f>
        <v/>
      </c>
      <c r="S171" s="306"/>
      <c r="T171" s="306"/>
    </row>
    <row r="172" ht="12.45" customHeight="1" spans="1:20">
      <c r="A172" t="str">
        <f t="shared" si="27"/>
        <v>隐藏</v>
      </c>
      <c r="C172" s="482" t="str">
        <f t="shared" si="24"/>
        <v>显示</v>
      </c>
      <c r="D172" s="482" t="str">
        <f t="shared" si="25"/>
        <v>隐藏</v>
      </c>
      <c r="E172" s="482"/>
      <c r="F172" s="109" t="b">
        <v>1</v>
      </c>
      <c r="H172" s="80" t="str">
        <f t="shared" si="26"/>
        <v>Gross - Long Tons (in air)</v>
      </c>
      <c r="I172" s="47"/>
      <c r="J172" s="47"/>
      <c r="K172" s="47"/>
      <c r="L172" s="521">
        <f>IF($F$172=FALSE,"",IF(L150="","",ToLTair(vcfTab,WCF_Standard,L150,L154)))</f>
        <v>1196.286</v>
      </c>
      <c r="M172" s="521">
        <f>IF($F$172=FALSE,"",IF(M150="","",ToLTair(vcfTab,WCF_Standard,M150,M154)))</f>
        <v>2751.271</v>
      </c>
      <c r="N172" s="521" t="str">
        <f>IF($F$172=FALSE,"",IF(N150="","",ToLTair(vcfTab,WCF_Standard,N150,N154)))</f>
        <v/>
      </c>
      <c r="O172" s="521" t="str">
        <f>IF($F$172=FALSE,"",IF(O150="","",ToLTair(vcfTab,WCF_Standard,O150,O154)))</f>
        <v/>
      </c>
      <c r="P172" s="521" t="str">
        <f>IF($F$172=FALSE,"",IF(P150="","",ToLTair(vcfTab,WCF_Standard,P150,P154)))</f>
        <v/>
      </c>
      <c r="Q172" s="521" t="str">
        <f>IF($F$172=FALSE,"",IF(Q150="","",ToLTair(vcfTab,WCF_Standard,Q150,Q154)))</f>
        <v/>
      </c>
      <c r="S172" s="306"/>
      <c r="T172" s="306"/>
    </row>
    <row r="173" ht="12.45" customHeight="1" spans="1:20">
      <c r="A173" t="str">
        <f t="shared" si="27"/>
        <v>隐藏</v>
      </c>
      <c r="C173" s="482" t="str">
        <f>C162</f>
        <v>隐藏</v>
      </c>
      <c r="D173" s="482" t="str">
        <f t="shared" si="25"/>
        <v>隐藏</v>
      </c>
      <c r="E173" s="482" t="str">
        <f t="shared" ref="E173:E183" si="29">IF(Cargo_type="A","显示","隐藏")</f>
        <v>隐藏</v>
      </c>
      <c r="H173" s="80" t="str">
        <f t="shared" ref="H173:H183" si="30">$P$20&amp;" - "&amp;P5</f>
        <v>Net - US Barrels (Obsd. Temp.)</v>
      </c>
      <c r="I173" s="47"/>
      <c r="J173" s="47"/>
      <c r="K173" s="47"/>
      <c r="L173" s="521" t="str">
        <f t="shared" ref="L173:Q173" si="31">IF(L162="","",ROUND(L162*(1-$L$109%),2))</f>
        <v/>
      </c>
      <c r="M173" s="521" t="str">
        <f t="shared" si="31"/>
        <v/>
      </c>
      <c r="N173" s="521" t="str">
        <f t="shared" si="31"/>
        <v/>
      </c>
      <c r="O173" s="521" t="str">
        <f t="shared" si="31"/>
        <v/>
      </c>
      <c r="P173" s="521" t="str">
        <f t="shared" si="31"/>
        <v/>
      </c>
      <c r="Q173" s="521" t="str">
        <f t="shared" si="31"/>
        <v/>
      </c>
      <c r="S173" s="306"/>
      <c r="T173" s="306"/>
    </row>
    <row r="174" ht="12.45" customHeight="1" spans="1:20">
      <c r="A174" t="str">
        <f t="shared" si="27"/>
        <v>隐藏</v>
      </c>
      <c r="C174" s="482" t="str">
        <f t="shared" ref="C174:C183" si="32">C163</f>
        <v>隐藏</v>
      </c>
      <c r="D174" s="482" t="str">
        <f t="shared" si="25"/>
        <v>隐藏</v>
      </c>
      <c r="E174" s="482" t="str">
        <f t="shared" si="29"/>
        <v>隐藏</v>
      </c>
      <c r="H174" s="80" t="str">
        <f t="shared" si="30"/>
        <v>Net - Cubic Meters (Obsd. Temp.)</v>
      </c>
      <c r="I174" s="47"/>
      <c r="J174" s="47"/>
      <c r="K174" s="47"/>
      <c r="L174" s="521" t="str">
        <f t="shared" ref="L174:Q174" si="33">IF(L163="","",ROUND(L163*(1-$L$109%),3))</f>
        <v/>
      </c>
      <c r="M174" s="521" t="str">
        <f t="shared" si="33"/>
        <v/>
      </c>
      <c r="N174" s="521" t="str">
        <f t="shared" si="33"/>
        <v/>
      </c>
      <c r="O174" s="521" t="str">
        <f t="shared" si="33"/>
        <v/>
      </c>
      <c r="P174" s="521" t="str">
        <f t="shared" si="33"/>
        <v/>
      </c>
      <c r="Q174" s="521" t="str">
        <f t="shared" si="33"/>
        <v/>
      </c>
      <c r="S174" s="306"/>
      <c r="T174" s="306"/>
    </row>
    <row r="175" ht="12.45" customHeight="1" spans="1:20">
      <c r="A175" t="str">
        <f t="shared" si="27"/>
        <v>隐藏</v>
      </c>
      <c r="C175" s="482" t="str">
        <f t="shared" si="32"/>
        <v>显示</v>
      </c>
      <c r="D175" s="482" t="str">
        <f t="shared" si="25"/>
        <v>隐藏</v>
      </c>
      <c r="E175" s="482" t="str">
        <f t="shared" si="29"/>
        <v>隐藏</v>
      </c>
      <c r="H175" s="80" t="str">
        <f t="shared" si="30"/>
        <v>Net - US Barrels (60℉)</v>
      </c>
      <c r="I175" s="47"/>
      <c r="J175" s="47"/>
      <c r="K175" s="47"/>
      <c r="L175" s="521">
        <f t="shared" ref="L175:Q175" si="34">IF(L164="","",ROUND(L164*(1-$L$109%),2))</f>
        <v>7734.13</v>
      </c>
      <c r="M175" s="521">
        <f t="shared" si="34"/>
        <v>17806.83</v>
      </c>
      <c r="N175" s="521" t="str">
        <f t="shared" si="34"/>
        <v/>
      </c>
      <c r="O175" s="521" t="str">
        <f t="shared" si="34"/>
        <v/>
      </c>
      <c r="P175" s="521" t="str">
        <f t="shared" si="34"/>
        <v/>
      </c>
      <c r="Q175" s="521" t="str">
        <f t="shared" si="34"/>
        <v/>
      </c>
      <c r="S175" s="306"/>
      <c r="T175" s="306"/>
    </row>
    <row r="176" ht="12.45" customHeight="1" spans="1:20">
      <c r="A176" t="str">
        <f t="shared" si="27"/>
        <v>隐藏</v>
      </c>
      <c r="C176" s="482" t="str">
        <f t="shared" si="32"/>
        <v>隐藏</v>
      </c>
      <c r="D176" s="482" t="str">
        <f t="shared" si="25"/>
        <v>隐藏</v>
      </c>
      <c r="E176" s="482" t="str">
        <f t="shared" si="29"/>
        <v>隐藏</v>
      </c>
      <c r="H176" s="80" t="str">
        <f t="shared" si="30"/>
        <v>Net - US Gallon (60℉)</v>
      </c>
      <c r="I176" s="47"/>
      <c r="J176" s="47"/>
      <c r="K176" s="47"/>
      <c r="L176" s="521" t="str">
        <f t="shared" ref="L176:Q176" si="35">IF(L165="","",ROUND(L165*(1-$L$109%),0))</f>
        <v/>
      </c>
      <c r="M176" s="521" t="str">
        <f t="shared" si="35"/>
        <v/>
      </c>
      <c r="N176" s="521" t="str">
        <f t="shared" si="35"/>
        <v/>
      </c>
      <c r="O176" s="521" t="str">
        <f t="shared" si="35"/>
        <v/>
      </c>
      <c r="P176" s="521" t="str">
        <f t="shared" si="35"/>
        <v/>
      </c>
      <c r="Q176" s="521" t="str">
        <f t="shared" si="35"/>
        <v/>
      </c>
      <c r="S176" s="306"/>
      <c r="T176" s="306"/>
    </row>
    <row r="177" ht="12.45" customHeight="1" spans="1:20">
      <c r="A177" t="str">
        <f t="shared" si="27"/>
        <v>隐藏</v>
      </c>
      <c r="C177" s="482" t="str">
        <f t="shared" si="32"/>
        <v>隐藏</v>
      </c>
      <c r="D177" s="482" t="str">
        <f t="shared" si="25"/>
        <v>隐藏</v>
      </c>
      <c r="E177" s="482" t="str">
        <f t="shared" si="29"/>
        <v>隐藏</v>
      </c>
      <c r="H177" s="80" t="str">
        <f t="shared" si="30"/>
        <v>Net - Cubic Meters (15℃)</v>
      </c>
      <c r="I177" s="47"/>
      <c r="J177" s="47"/>
      <c r="K177" s="47"/>
      <c r="L177" s="521" t="str">
        <f>IF(L166="","",ROUND(L166*(1-$L$109%),3))</f>
        <v/>
      </c>
      <c r="M177" s="521" t="str">
        <f t="shared" ref="M177:M183" si="36">IF(M166="","",ROUND(M166*(1-$L$109%),3))</f>
        <v/>
      </c>
      <c r="N177" s="521" t="str">
        <f>IF(N166="","",ROUND(N166*(1-$L$109%),3))</f>
        <v/>
      </c>
      <c r="O177" s="521" t="str">
        <f t="shared" ref="O177:O183" si="37">IF(O166="","",ROUND(O166*(1-$L$109%),3))</f>
        <v/>
      </c>
      <c r="P177" s="521" t="str">
        <f>IF(P166="","",ROUND(P166*(1-$L$109%),3))</f>
        <v/>
      </c>
      <c r="Q177" s="521" t="str">
        <f t="shared" ref="Q177:Q183" si="38">IF(Q166="","",ROUND(Q166*(1-$L$109%),3))</f>
        <v/>
      </c>
      <c r="S177" s="306"/>
      <c r="T177" s="306"/>
    </row>
    <row r="178" ht="12.45" customHeight="1" spans="1:20">
      <c r="A178" t="str">
        <f t="shared" si="27"/>
        <v>隐藏</v>
      </c>
      <c r="C178" s="482" t="str">
        <f t="shared" si="32"/>
        <v>显示</v>
      </c>
      <c r="D178" s="482" t="str">
        <f t="shared" si="25"/>
        <v>隐藏</v>
      </c>
      <c r="E178" s="482" t="str">
        <f t="shared" si="29"/>
        <v>隐藏</v>
      </c>
      <c r="H178" s="80" t="str">
        <f t="shared" si="30"/>
        <v>Net - Cubic Meters (20℃)</v>
      </c>
      <c r="I178" s="47"/>
      <c r="J178" s="47"/>
      <c r="K178" s="47"/>
      <c r="L178" s="521">
        <f t="shared" ref="L178:L183" si="39">IF(L167="","",ROUND(L167*(1-$L$109%),3))</f>
        <v>1233.347</v>
      </c>
      <c r="M178" s="521">
        <f t="shared" si="36"/>
        <v>2839.394</v>
      </c>
      <c r="N178" s="521" t="str">
        <f t="shared" ref="N178:N183" si="40">IF(N167="","",ROUND(N167*(1-$L$109%),3))</f>
        <v/>
      </c>
      <c r="O178" s="521" t="str">
        <f t="shared" si="37"/>
        <v/>
      </c>
      <c r="P178" s="521" t="str">
        <f t="shared" ref="P178:P183" si="41">IF(P167="","",ROUND(P167*(1-$L$109%),3))</f>
        <v/>
      </c>
      <c r="Q178" s="521" t="str">
        <f t="shared" si="38"/>
        <v/>
      </c>
      <c r="S178" s="306"/>
      <c r="T178" s="306"/>
    </row>
    <row r="179" ht="12.45" customHeight="1" spans="1:20">
      <c r="A179" t="str">
        <f t="shared" si="27"/>
        <v>隐藏</v>
      </c>
      <c r="C179" s="482" t="str">
        <f t="shared" si="32"/>
        <v>隐藏</v>
      </c>
      <c r="D179" s="482" t="str">
        <f t="shared" si="25"/>
        <v>隐藏</v>
      </c>
      <c r="E179" s="482" t="str">
        <f t="shared" si="29"/>
        <v>隐藏</v>
      </c>
      <c r="H179" s="80" t="str">
        <f t="shared" si="30"/>
        <v>Net - Cubic Meters (30℃)</v>
      </c>
      <c r="I179" s="47"/>
      <c r="J179" s="47"/>
      <c r="K179" s="47"/>
      <c r="L179" s="521" t="str">
        <f t="shared" si="39"/>
        <v/>
      </c>
      <c r="M179" s="521" t="str">
        <f t="shared" si="36"/>
        <v/>
      </c>
      <c r="N179" s="521" t="str">
        <f t="shared" si="40"/>
        <v/>
      </c>
      <c r="O179" s="521" t="str">
        <f t="shared" si="37"/>
        <v/>
      </c>
      <c r="P179" s="521" t="str">
        <f t="shared" si="41"/>
        <v/>
      </c>
      <c r="Q179" s="521" t="str">
        <f t="shared" si="38"/>
        <v/>
      </c>
      <c r="S179" s="306"/>
      <c r="T179" s="306"/>
    </row>
    <row r="180" ht="12.45" customHeight="1" spans="1:20">
      <c r="A180" t="str">
        <f t="shared" si="27"/>
        <v>隐藏</v>
      </c>
      <c r="C180" s="482" t="str">
        <f t="shared" si="32"/>
        <v>隐藏</v>
      </c>
      <c r="D180" s="482" t="str">
        <f t="shared" si="25"/>
        <v>隐藏</v>
      </c>
      <c r="E180" s="482" t="str">
        <f t="shared" si="29"/>
        <v>隐藏</v>
      </c>
      <c r="H180" s="80" t="str">
        <f t="shared" si="30"/>
        <v>Net - Metric Tons (in vacuo)</v>
      </c>
      <c r="I180" s="47"/>
      <c r="J180" s="47"/>
      <c r="K180" s="47"/>
      <c r="L180" s="521" t="str">
        <f t="shared" si="39"/>
        <v/>
      </c>
      <c r="M180" s="521" t="str">
        <f t="shared" si="36"/>
        <v/>
      </c>
      <c r="N180" s="521" t="str">
        <f t="shared" si="40"/>
        <v/>
      </c>
      <c r="O180" s="521" t="str">
        <f t="shared" si="37"/>
        <v/>
      </c>
      <c r="P180" s="521" t="str">
        <f t="shared" si="41"/>
        <v/>
      </c>
      <c r="Q180" s="521" t="str">
        <f t="shared" si="38"/>
        <v/>
      </c>
      <c r="S180" s="306"/>
      <c r="T180" s="306"/>
    </row>
    <row r="181" ht="12.45" customHeight="1" spans="1:20">
      <c r="A181" t="str">
        <f t="shared" si="27"/>
        <v>隐藏</v>
      </c>
      <c r="C181" s="482" t="str">
        <f t="shared" si="32"/>
        <v>显示</v>
      </c>
      <c r="D181" s="482" t="str">
        <f t="shared" si="25"/>
        <v>隐藏</v>
      </c>
      <c r="E181" s="482" t="str">
        <f t="shared" si="29"/>
        <v>隐藏</v>
      </c>
      <c r="H181" s="80" t="str">
        <f t="shared" si="30"/>
        <v>Net - Metric Tons (in air)</v>
      </c>
      <c r="I181" s="47"/>
      <c r="J181" s="47"/>
      <c r="K181" s="47"/>
      <c r="L181" s="521">
        <f t="shared" si="39"/>
        <v>1212.627</v>
      </c>
      <c r="M181" s="521">
        <f t="shared" si="36"/>
        <v>2788.853</v>
      </c>
      <c r="N181" s="521" t="str">
        <f t="shared" si="40"/>
        <v/>
      </c>
      <c r="O181" s="521" t="str">
        <f t="shared" si="37"/>
        <v/>
      </c>
      <c r="P181" s="521" t="str">
        <f t="shared" si="41"/>
        <v/>
      </c>
      <c r="Q181" s="521" t="str">
        <f t="shared" si="38"/>
        <v/>
      </c>
      <c r="S181" s="306"/>
      <c r="T181" s="306"/>
    </row>
    <row r="182" ht="12.45" customHeight="1" spans="1:20">
      <c r="A182" t="str">
        <f t="shared" si="27"/>
        <v>隐藏</v>
      </c>
      <c r="C182" s="482" t="str">
        <f t="shared" si="32"/>
        <v>隐藏</v>
      </c>
      <c r="D182" s="482" t="str">
        <f t="shared" si="25"/>
        <v>隐藏</v>
      </c>
      <c r="E182" s="482" t="str">
        <f t="shared" si="29"/>
        <v>隐藏</v>
      </c>
      <c r="H182" s="80" t="str">
        <f t="shared" si="30"/>
        <v>Net - Long Tons (in vacuo)</v>
      </c>
      <c r="I182" s="47"/>
      <c r="J182" s="47"/>
      <c r="K182" s="47"/>
      <c r="L182" s="521" t="str">
        <f t="shared" si="39"/>
        <v/>
      </c>
      <c r="M182" s="521" t="str">
        <f t="shared" si="36"/>
        <v/>
      </c>
      <c r="N182" s="521" t="str">
        <f t="shared" si="40"/>
        <v/>
      </c>
      <c r="O182" s="521" t="str">
        <f t="shared" si="37"/>
        <v/>
      </c>
      <c r="P182" s="521" t="str">
        <f t="shared" si="41"/>
        <v/>
      </c>
      <c r="Q182" s="521" t="str">
        <f t="shared" si="38"/>
        <v/>
      </c>
      <c r="S182" s="306"/>
      <c r="T182" s="306"/>
    </row>
    <row r="183" ht="12.45" customHeight="1" spans="1:20">
      <c r="A183" t="str">
        <f t="shared" si="27"/>
        <v>隐藏</v>
      </c>
      <c r="C183" s="482" t="str">
        <f t="shared" si="32"/>
        <v>显示</v>
      </c>
      <c r="D183" s="482" t="str">
        <f t="shared" si="25"/>
        <v>隐藏</v>
      </c>
      <c r="E183" s="482" t="str">
        <f t="shared" si="29"/>
        <v>隐藏</v>
      </c>
      <c r="H183" s="80" t="str">
        <f t="shared" si="30"/>
        <v>Net - Long Tons (in air)</v>
      </c>
      <c r="I183" s="47"/>
      <c r="J183" s="47"/>
      <c r="K183" s="47"/>
      <c r="L183" s="523">
        <f t="shared" si="39"/>
        <v>1193.475</v>
      </c>
      <c r="M183" s="523">
        <f t="shared" si="36"/>
        <v>2744.806</v>
      </c>
      <c r="N183" s="523" t="str">
        <f t="shared" si="40"/>
        <v/>
      </c>
      <c r="O183" s="523" t="str">
        <f t="shared" si="37"/>
        <v/>
      </c>
      <c r="P183" s="523" t="str">
        <f t="shared" si="41"/>
        <v/>
      </c>
      <c r="Q183" s="523" t="str">
        <f t="shared" si="38"/>
        <v/>
      </c>
      <c r="S183" s="306"/>
      <c r="T183" s="306"/>
    </row>
    <row r="184" spans="1:20">
      <c r="A184" t="str">
        <f t="shared" si="27"/>
        <v>显示</v>
      </c>
      <c r="D184" s="482" t="str">
        <f t="shared" ref="D184:D195" si="42">IF(计算方法=Inventory,"隐藏","显示")</f>
        <v>显示</v>
      </c>
      <c r="E184" s="482"/>
      <c r="H184" s="86" t="str">
        <f>IF(计算方法=Delivery,P21,IF(计算方法=Received,P22,"需要隐藏"))</f>
        <v>RECEIVED QUANTITY OF INDIVIDUAL TANK</v>
      </c>
      <c r="I184" s="47"/>
      <c r="J184" s="47"/>
      <c r="K184" s="47"/>
      <c r="L184" s="524" t="str">
        <f>IF(Cargo_type="A",$P$19,"")</f>
        <v/>
      </c>
      <c r="M184" s="525" t="str">
        <f>IF(Cargo_type="A",$P$20,"")</f>
        <v/>
      </c>
      <c r="N184" s="524" t="str">
        <f>IF(Cargo_type="A",$P$19,"")</f>
        <v/>
      </c>
      <c r="O184" s="525" t="str">
        <f>IF(Cargo_type="A",$P$20,"")</f>
        <v/>
      </c>
      <c r="P184" s="524" t="str">
        <f>IF(Cargo_type="A",$P$19,"")</f>
        <v/>
      </c>
      <c r="Q184" s="525" t="str">
        <f>IF(Cargo_type="A",$P$20,"")</f>
        <v/>
      </c>
      <c r="S184" s="306"/>
      <c r="T184" s="306"/>
    </row>
    <row r="185" ht="12.45" customHeight="1" spans="1:20">
      <c r="A185" t="str">
        <f t="shared" si="27"/>
        <v>隐藏</v>
      </c>
      <c r="C185" s="482" t="str">
        <f>C162</f>
        <v>隐藏</v>
      </c>
      <c r="D185" s="482" t="str">
        <f t="shared" si="42"/>
        <v>显示</v>
      </c>
      <c r="E185" s="482"/>
      <c r="H185" s="80" t="str">
        <f t="shared" ref="H185:H195" si="43">P5</f>
        <v>US Barrels (Obsd. Temp.)</v>
      </c>
      <c r="I185" s="47"/>
      <c r="J185" s="47"/>
      <c r="K185" s="47"/>
      <c r="L185" s="83" t="str">
        <f t="shared" ref="L185:L195" si="44">IF(L162="","",IF(计算方法=Inventory,"需要隐藏",IF(计算方法=Received,M162-L162,L162-M162)))</f>
        <v/>
      </c>
      <c r="M185" s="83" t="str">
        <f t="shared" ref="M185:M195" si="45">IF(L173="","",IF(Cargo_type&lt;&gt;"A","",IF(计算方法=Inventory,"需要隐藏",IF(计算方法=Received,M173-L173,L173-M173))))</f>
        <v/>
      </c>
      <c r="N185" s="83" t="str">
        <f t="shared" ref="N185:N195" si="46">IF(N162="","",IF(计算方法=Inventory,"需要隐藏",IF(计算方法=Received,O162-N162,N162-O162)))</f>
        <v/>
      </c>
      <c r="O185" s="83" t="str">
        <f t="shared" ref="O185:O195" si="47">IF(N173="","",IF(Cargo_type&lt;&gt;"A","",IF(计算方法=Inventory,"需要隐藏",IF(计算方法=Received,O173-N173,N173-O173))))</f>
        <v/>
      </c>
      <c r="P185" s="83" t="str">
        <f t="shared" ref="P185:P195" si="48">IF(P162="","",IF(计算方法=Inventory,"需要隐藏",IF(计算方法=Received,Q162-P162,P162-Q162)))</f>
        <v/>
      </c>
      <c r="Q185" s="83" t="str">
        <f t="shared" ref="Q185:Q195" si="49">IF(P173="","",IF(Cargo_type&lt;&gt;"A","",IF(计算方法=Inventory,"需要隐藏",IF(计算方法=Received,Q173-P173,P173-Q173))))</f>
        <v/>
      </c>
      <c r="S185" s="306"/>
      <c r="T185" s="306"/>
    </row>
    <row r="186" ht="12.45" customHeight="1" spans="1:20">
      <c r="A186" t="str">
        <f t="shared" si="27"/>
        <v>隐藏</v>
      </c>
      <c r="C186" s="482" t="str">
        <f t="shared" ref="C186:C195" si="50">C163</f>
        <v>隐藏</v>
      </c>
      <c r="D186" s="482" t="str">
        <f t="shared" si="42"/>
        <v>显示</v>
      </c>
      <c r="E186" s="482"/>
      <c r="H186" s="80" t="str">
        <f t="shared" si="43"/>
        <v>Cubic Meters (Obsd. Temp.)</v>
      </c>
      <c r="I186" s="47"/>
      <c r="J186" s="47"/>
      <c r="K186" s="47"/>
      <c r="L186" s="83" t="str">
        <f t="shared" si="44"/>
        <v/>
      </c>
      <c r="M186" s="83" t="str">
        <f t="shared" si="45"/>
        <v/>
      </c>
      <c r="N186" s="83" t="str">
        <f t="shared" si="46"/>
        <v/>
      </c>
      <c r="O186" s="83" t="str">
        <f t="shared" si="47"/>
        <v/>
      </c>
      <c r="P186" s="83" t="str">
        <f t="shared" si="48"/>
        <v/>
      </c>
      <c r="Q186" s="83" t="str">
        <f t="shared" si="49"/>
        <v/>
      </c>
      <c r="S186" s="306"/>
      <c r="T186" s="306"/>
    </row>
    <row r="187" ht="12.45" customHeight="1" spans="1:20">
      <c r="A187" t="str">
        <f t="shared" si="27"/>
        <v>显示</v>
      </c>
      <c r="C187" s="482" t="str">
        <f t="shared" si="50"/>
        <v>显示</v>
      </c>
      <c r="D187" s="482" t="str">
        <f t="shared" si="42"/>
        <v>显示</v>
      </c>
      <c r="E187" s="482"/>
      <c r="H187" s="80" t="str">
        <f t="shared" si="43"/>
        <v>US Barrels (60℉)</v>
      </c>
      <c r="I187" s="47"/>
      <c r="J187" s="47"/>
      <c r="K187" s="47"/>
      <c r="L187" s="83">
        <f t="shared" si="44"/>
        <v>10096.42</v>
      </c>
      <c r="M187" s="83" t="str">
        <f t="shared" si="45"/>
        <v/>
      </c>
      <c r="N187" s="83" t="str">
        <f t="shared" si="46"/>
        <v/>
      </c>
      <c r="O187" s="83" t="str">
        <f t="shared" si="47"/>
        <v/>
      </c>
      <c r="P187" s="83" t="str">
        <f t="shared" si="48"/>
        <v/>
      </c>
      <c r="Q187" s="83" t="str">
        <f t="shared" si="49"/>
        <v/>
      </c>
      <c r="S187" s="306"/>
      <c r="T187" s="306"/>
    </row>
    <row r="188" ht="12.45" customHeight="1" spans="1:20">
      <c r="A188" t="str">
        <f t="shared" si="27"/>
        <v>隐藏</v>
      </c>
      <c r="C188" s="482" t="str">
        <f t="shared" si="50"/>
        <v>隐藏</v>
      </c>
      <c r="D188" s="482" t="str">
        <f t="shared" si="42"/>
        <v>显示</v>
      </c>
      <c r="E188" s="482"/>
      <c r="H188" s="80" t="str">
        <f t="shared" si="43"/>
        <v>US Gallon (60℉)</v>
      </c>
      <c r="I188" s="47"/>
      <c r="J188" s="47"/>
      <c r="K188" s="47"/>
      <c r="L188" s="83" t="str">
        <f t="shared" si="44"/>
        <v/>
      </c>
      <c r="M188" s="83" t="str">
        <f t="shared" si="45"/>
        <v/>
      </c>
      <c r="N188" s="83" t="str">
        <f t="shared" si="46"/>
        <v/>
      </c>
      <c r="O188" s="83" t="str">
        <f t="shared" si="47"/>
        <v/>
      </c>
      <c r="P188" s="83" t="str">
        <f t="shared" si="48"/>
        <v/>
      </c>
      <c r="Q188" s="83" t="str">
        <f t="shared" si="49"/>
        <v/>
      </c>
      <c r="S188" s="306"/>
      <c r="T188" s="306"/>
    </row>
    <row r="189" ht="12.45" customHeight="1" spans="1:20">
      <c r="A189" t="str">
        <f t="shared" si="27"/>
        <v>隐藏</v>
      </c>
      <c r="C189" s="482" t="str">
        <f t="shared" si="50"/>
        <v>隐藏</v>
      </c>
      <c r="D189" s="482" t="str">
        <f t="shared" si="42"/>
        <v>显示</v>
      </c>
      <c r="E189" s="482"/>
      <c r="H189" s="80" t="str">
        <f t="shared" si="43"/>
        <v>Cubic Meters (15℃)</v>
      </c>
      <c r="I189" s="47"/>
      <c r="J189" s="47"/>
      <c r="K189" s="47"/>
      <c r="L189" s="83" t="str">
        <f t="shared" si="44"/>
        <v/>
      </c>
      <c r="M189" s="83" t="str">
        <f t="shared" si="45"/>
        <v/>
      </c>
      <c r="N189" s="83" t="str">
        <f t="shared" si="46"/>
        <v/>
      </c>
      <c r="O189" s="83" t="str">
        <f t="shared" si="47"/>
        <v/>
      </c>
      <c r="P189" s="83" t="str">
        <f t="shared" si="48"/>
        <v/>
      </c>
      <c r="Q189" s="83" t="str">
        <f t="shared" si="49"/>
        <v/>
      </c>
      <c r="S189" s="306"/>
      <c r="T189" s="306"/>
    </row>
    <row r="190" ht="12.45" customHeight="1" spans="1:20">
      <c r="A190" t="str">
        <f t="shared" si="27"/>
        <v>显示</v>
      </c>
      <c r="C190" s="482" t="str">
        <f t="shared" si="50"/>
        <v>显示</v>
      </c>
      <c r="D190" s="482" t="str">
        <f t="shared" si="42"/>
        <v>显示</v>
      </c>
      <c r="E190" s="482"/>
      <c r="H190" s="80" t="str">
        <f t="shared" si="43"/>
        <v>Cubic Meters (20℃)</v>
      </c>
      <c r="I190" s="47"/>
      <c r="J190" s="47"/>
      <c r="K190" s="47"/>
      <c r="L190" s="83">
        <f t="shared" si="44"/>
        <v>1609.83</v>
      </c>
      <c r="M190" s="83" t="str">
        <f t="shared" si="45"/>
        <v/>
      </c>
      <c r="N190" s="83" t="str">
        <f t="shared" si="46"/>
        <v/>
      </c>
      <c r="O190" s="83" t="str">
        <f t="shared" si="47"/>
        <v/>
      </c>
      <c r="P190" s="83" t="str">
        <f t="shared" si="48"/>
        <v/>
      </c>
      <c r="Q190" s="83" t="str">
        <f t="shared" si="49"/>
        <v/>
      </c>
      <c r="S190" s="306"/>
      <c r="T190" s="306"/>
    </row>
    <row r="191" ht="12.45" customHeight="1" spans="1:20">
      <c r="A191" t="str">
        <f t="shared" si="27"/>
        <v>隐藏</v>
      </c>
      <c r="C191" s="482" t="str">
        <f t="shared" si="50"/>
        <v>隐藏</v>
      </c>
      <c r="D191" s="482" t="str">
        <f t="shared" si="42"/>
        <v>显示</v>
      </c>
      <c r="E191" s="482"/>
      <c r="H191" s="80" t="str">
        <f t="shared" si="43"/>
        <v>Cubic Meters (30℃)</v>
      </c>
      <c r="I191" s="47"/>
      <c r="J191" s="47"/>
      <c r="K191" s="47"/>
      <c r="L191" s="83" t="str">
        <f t="shared" si="44"/>
        <v/>
      </c>
      <c r="M191" s="83" t="str">
        <f t="shared" si="45"/>
        <v/>
      </c>
      <c r="N191" s="83" t="str">
        <f t="shared" si="46"/>
        <v/>
      </c>
      <c r="O191" s="83" t="str">
        <f t="shared" si="47"/>
        <v/>
      </c>
      <c r="P191" s="83" t="str">
        <f t="shared" si="48"/>
        <v/>
      </c>
      <c r="Q191" s="83" t="str">
        <f t="shared" si="49"/>
        <v/>
      </c>
      <c r="S191" s="306"/>
      <c r="T191" s="306"/>
    </row>
    <row r="192" ht="12.45" customHeight="1" spans="1:20">
      <c r="A192" t="str">
        <f t="shared" si="27"/>
        <v>隐藏</v>
      </c>
      <c r="C192" s="482" t="str">
        <f t="shared" si="50"/>
        <v>隐藏</v>
      </c>
      <c r="D192" s="482" t="str">
        <f t="shared" si="42"/>
        <v>显示</v>
      </c>
      <c r="E192" s="482"/>
      <c r="H192" s="80" t="str">
        <f t="shared" si="43"/>
        <v>Metric Tons (in vacuo)</v>
      </c>
      <c r="I192" s="47"/>
      <c r="J192" s="47"/>
      <c r="K192" s="47"/>
      <c r="L192" s="83" t="str">
        <f t="shared" si="44"/>
        <v/>
      </c>
      <c r="M192" s="83" t="str">
        <f t="shared" si="45"/>
        <v/>
      </c>
      <c r="N192" s="83" t="str">
        <f t="shared" si="46"/>
        <v/>
      </c>
      <c r="O192" s="83" t="str">
        <f t="shared" si="47"/>
        <v/>
      </c>
      <c r="P192" s="83" t="str">
        <f t="shared" si="48"/>
        <v/>
      </c>
      <c r="Q192" s="83" t="str">
        <f t="shared" si="49"/>
        <v/>
      </c>
      <c r="S192" s="306"/>
      <c r="T192" s="306"/>
    </row>
    <row r="193" ht="12.45" customHeight="1" spans="1:20">
      <c r="A193" t="str">
        <f t="shared" si="27"/>
        <v>显示</v>
      </c>
      <c r="C193" s="482" t="str">
        <f t="shared" si="50"/>
        <v>显示</v>
      </c>
      <c r="D193" s="482" t="str">
        <f t="shared" si="42"/>
        <v>显示</v>
      </c>
      <c r="E193" s="482"/>
      <c r="H193" s="80" t="str">
        <f t="shared" si="43"/>
        <v>Metric Tons (in air)</v>
      </c>
      <c r="I193" s="47"/>
      <c r="J193" s="47"/>
      <c r="K193" s="47"/>
      <c r="L193" s="83">
        <f t="shared" si="44"/>
        <v>1579.939</v>
      </c>
      <c r="M193" s="83" t="str">
        <f t="shared" si="45"/>
        <v/>
      </c>
      <c r="N193" s="83" t="str">
        <f t="shared" si="46"/>
        <v/>
      </c>
      <c r="O193" s="83" t="str">
        <f t="shared" si="47"/>
        <v/>
      </c>
      <c r="P193" s="83" t="str">
        <f t="shared" si="48"/>
        <v/>
      </c>
      <c r="Q193" s="83" t="str">
        <f t="shared" si="49"/>
        <v/>
      </c>
      <c r="S193" s="306"/>
      <c r="T193" s="306"/>
    </row>
    <row r="194" ht="12.45" customHeight="1" spans="1:20">
      <c r="A194" t="str">
        <f t="shared" si="27"/>
        <v>隐藏</v>
      </c>
      <c r="C194" s="482" t="str">
        <f t="shared" si="50"/>
        <v>隐藏</v>
      </c>
      <c r="D194" s="482" t="str">
        <f t="shared" si="42"/>
        <v>显示</v>
      </c>
      <c r="E194" s="482"/>
      <c r="H194" s="80" t="str">
        <f t="shared" si="43"/>
        <v>Long Tons (in vacuo)</v>
      </c>
      <c r="I194" s="47"/>
      <c r="J194" s="47"/>
      <c r="K194" s="47"/>
      <c r="L194" s="83" t="str">
        <f t="shared" si="44"/>
        <v/>
      </c>
      <c r="M194" s="83" t="str">
        <f t="shared" si="45"/>
        <v/>
      </c>
      <c r="N194" s="83" t="str">
        <f t="shared" si="46"/>
        <v/>
      </c>
      <c r="O194" s="83" t="str">
        <f t="shared" si="47"/>
        <v/>
      </c>
      <c r="P194" s="83" t="str">
        <f t="shared" si="48"/>
        <v/>
      </c>
      <c r="Q194" s="83" t="str">
        <f t="shared" si="49"/>
        <v/>
      </c>
      <c r="S194" s="306"/>
      <c r="T194" s="306"/>
    </row>
    <row r="195" ht="12.45" customHeight="1" spans="1:20">
      <c r="A195" t="str">
        <f t="shared" si="27"/>
        <v>显示</v>
      </c>
      <c r="C195" s="482" t="str">
        <f t="shared" si="50"/>
        <v>显示</v>
      </c>
      <c r="D195" s="482" t="str">
        <f t="shared" si="42"/>
        <v>显示</v>
      </c>
      <c r="E195" s="482"/>
      <c r="H195" s="80" t="str">
        <f t="shared" si="43"/>
        <v>Long Tons (in air)</v>
      </c>
      <c r="I195" s="47"/>
      <c r="J195" s="47"/>
      <c r="K195" s="47"/>
      <c r="L195" s="83">
        <f t="shared" si="44"/>
        <v>1554.985</v>
      </c>
      <c r="M195" s="83" t="str">
        <f t="shared" si="45"/>
        <v/>
      </c>
      <c r="N195" s="83" t="str">
        <f t="shared" si="46"/>
        <v/>
      </c>
      <c r="O195" s="83" t="str">
        <f t="shared" si="47"/>
        <v/>
      </c>
      <c r="P195" s="83" t="str">
        <f t="shared" si="48"/>
        <v/>
      </c>
      <c r="Q195" s="83" t="str">
        <f t="shared" si="49"/>
        <v/>
      </c>
      <c r="S195" s="306"/>
      <c r="T195" s="306"/>
    </row>
    <row r="196" spans="1:20">
      <c r="A196" t="str">
        <f t="shared" si="27"/>
        <v>显示</v>
      </c>
      <c r="H196" s="86" t="str">
        <f>IF(计算方法=Delivery,P24,IF(计算方法=Received,P25,P23))</f>
        <v>TOTAL RECEIVED QUANTITY</v>
      </c>
      <c r="I196" s="47"/>
      <c r="J196" s="47"/>
      <c r="K196" s="47"/>
      <c r="L196" s="525" t="str">
        <f>IF(Cargo_type="A",$P$19,"")</f>
        <v/>
      </c>
      <c r="M196" s="84" t="str">
        <f>IF(Cargo_type="A",$P$20,"")</f>
        <v/>
      </c>
      <c r="N196" s="142"/>
      <c r="O196" s="47"/>
      <c r="P196" s="142"/>
      <c r="Q196" s="47"/>
      <c r="S196" s="306"/>
      <c r="T196" s="306"/>
    </row>
    <row r="197" ht="13.05" customHeight="1" spans="1:20">
      <c r="A197" t="str">
        <f t="shared" si="27"/>
        <v>隐藏</v>
      </c>
      <c r="C197" s="482" t="str">
        <f>C185</f>
        <v>隐藏</v>
      </c>
      <c r="H197" s="80" t="str">
        <f>P5</f>
        <v>US Barrels (Obsd. Temp.)</v>
      </c>
      <c r="I197" s="47"/>
      <c r="J197" s="47"/>
      <c r="K197" s="47"/>
      <c r="L197" s="82">
        <f>IF(计算方法=Inventory,SUM(L162:Q162),SUM(L185,N185,P185))</f>
        <v>0</v>
      </c>
      <c r="M197" s="83" t="str">
        <f t="shared" ref="M197:M207" si="51">IF(Cargo_type&lt;&gt;"A","",IF(计算方法=Inventory,SUM(L173:Q173),SUM(M185,O185,Q185)))</f>
        <v/>
      </c>
      <c r="N197" s="47"/>
      <c r="O197" s="47"/>
      <c r="P197" s="47"/>
      <c r="Q197" s="47"/>
      <c r="S197" s="306"/>
      <c r="T197" s="306"/>
    </row>
    <row r="198" ht="13.05" customHeight="1" spans="1:20">
      <c r="A198" t="str">
        <f t="shared" si="27"/>
        <v>隐藏</v>
      </c>
      <c r="C198" s="482" t="str">
        <f t="shared" ref="C198:C207" si="52">C186</f>
        <v>隐藏</v>
      </c>
      <c r="H198" s="80" t="str">
        <f t="shared" ref="H198:H207" si="53">P6</f>
        <v>Cubic Meters (Obsd. Temp.)</v>
      </c>
      <c r="I198" s="47"/>
      <c r="J198" s="47"/>
      <c r="K198" s="47"/>
      <c r="L198" s="82">
        <f t="shared" ref="L198:L207" si="54">IF(计算方法=Inventory,SUM(L163:Q163),SUM(L186,N186,P186))</f>
        <v>0</v>
      </c>
      <c r="M198" s="83" t="str">
        <f t="shared" si="51"/>
        <v/>
      </c>
      <c r="N198" s="47"/>
      <c r="O198" s="47"/>
      <c r="P198" s="47"/>
      <c r="Q198" s="47"/>
      <c r="S198" s="306"/>
      <c r="T198" s="306"/>
    </row>
    <row r="199" ht="13.05" customHeight="1" spans="1:20">
      <c r="A199" t="str">
        <f t="shared" si="27"/>
        <v>显示</v>
      </c>
      <c r="C199" s="482" t="str">
        <f t="shared" si="52"/>
        <v>显示</v>
      </c>
      <c r="H199" s="80" t="str">
        <f t="shared" si="53"/>
        <v>US Barrels (60℉)</v>
      </c>
      <c r="I199" s="47"/>
      <c r="J199" s="47"/>
      <c r="K199" s="47"/>
      <c r="L199" s="82">
        <f t="shared" si="54"/>
        <v>10096.42</v>
      </c>
      <c r="M199" s="83" t="str">
        <f t="shared" si="51"/>
        <v/>
      </c>
      <c r="N199" s="47"/>
      <c r="O199" s="47"/>
      <c r="P199" s="47"/>
      <c r="Q199" s="47"/>
      <c r="S199" s="306"/>
      <c r="T199" s="306"/>
    </row>
    <row r="200" ht="13.05" customHeight="1" spans="1:20">
      <c r="A200" t="str">
        <f t="shared" si="27"/>
        <v>隐藏</v>
      </c>
      <c r="C200" s="482" t="str">
        <f t="shared" si="52"/>
        <v>隐藏</v>
      </c>
      <c r="H200" s="80" t="str">
        <f t="shared" si="53"/>
        <v>US Gallon (60℉)</v>
      </c>
      <c r="I200" s="47"/>
      <c r="J200" s="47"/>
      <c r="K200" s="47"/>
      <c r="L200" s="82">
        <f t="shared" si="54"/>
        <v>0</v>
      </c>
      <c r="M200" s="83" t="str">
        <f t="shared" si="51"/>
        <v/>
      </c>
      <c r="N200" s="47"/>
      <c r="O200" s="47"/>
      <c r="P200" s="47"/>
      <c r="Q200" s="47"/>
      <c r="S200" s="306"/>
      <c r="T200" s="306"/>
    </row>
    <row r="201" ht="13.05" customHeight="1" spans="1:20">
      <c r="A201" t="str">
        <f t="shared" si="27"/>
        <v>隐藏</v>
      </c>
      <c r="C201" s="482" t="str">
        <f t="shared" si="52"/>
        <v>隐藏</v>
      </c>
      <c r="H201" s="80" t="str">
        <f t="shared" si="53"/>
        <v>Cubic Meters (15℃)</v>
      </c>
      <c r="I201" s="47"/>
      <c r="J201" s="47"/>
      <c r="K201" s="47"/>
      <c r="L201" s="82">
        <f t="shared" si="54"/>
        <v>0</v>
      </c>
      <c r="M201" s="83" t="str">
        <f t="shared" si="51"/>
        <v/>
      </c>
      <c r="N201" s="47"/>
      <c r="O201" s="47"/>
      <c r="P201" s="47"/>
      <c r="Q201" s="47"/>
      <c r="S201" s="306"/>
      <c r="T201" s="306"/>
    </row>
    <row r="202" ht="13.05" customHeight="1" spans="1:20">
      <c r="A202" t="str">
        <f t="shared" si="27"/>
        <v>显示</v>
      </c>
      <c r="C202" s="482" t="str">
        <f t="shared" si="52"/>
        <v>显示</v>
      </c>
      <c r="H202" s="80" t="str">
        <f t="shared" si="53"/>
        <v>Cubic Meters (20℃)</v>
      </c>
      <c r="I202" s="47"/>
      <c r="J202" s="47"/>
      <c r="K202" s="47"/>
      <c r="L202" s="82">
        <f>IF(计算方法=Inventory,SUM(L167:Q167),SUM(L190,N190,P190))</f>
        <v>1609.83</v>
      </c>
      <c r="M202" s="83" t="str">
        <f t="shared" si="51"/>
        <v/>
      </c>
      <c r="N202" s="47"/>
      <c r="O202" s="47"/>
      <c r="P202" s="47"/>
      <c r="Q202" s="47"/>
      <c r="S202" s="306"/>
      <c r="T202" s="306"/>
    </row>
    <row r="203" ht="13.05" customHeight="1" spans="1:20">
      <c r="A203" t="str">
        <f t="shared" si="27"/>
        <v>隐藏</v>
      </c>
      <c r="C203" s="482" t="str">
        <f t="shared" si="52"/>
        <v>隐藏</v>
      </c>
      <c r="H203" s="80" t="str">
        <f t="shared" si="53"/>
        <v>Cubic Meters (30℃)</v>
      </c>
      <c r="I203" s="47"/>
      <c r="J203" s="47"/>
      <c r="K203" s="47"/>
      <c r="L203" s="82">
        <f t="shared" si="54"/>
        <v>0</v>
      </c>
      <c r="M203" s="83" t="str">
        <f t="shared" si="51"/>
        <v/>
      </c>
      <c r="N203" s="47"/>
      <c r="O203" s="47"/>
      <c r="P203" s="47"/>
      <c r="Q203" s="47"/>
      <c r="S203" s="306"/>
      <c r="T203" s="306"/>
    </row>
    <row r="204" ht="13.05" customHeight="1" spans="1:20">
      <c r="A204" t="str">
        <f t="shared" si="27"/>
        <v>隐藏</v>
      </c>
      <c r="C204" s="482" t="str">
        <f t="shared" si="52"/>
        <v>隐藏</v>
      </c>
      <c r="H204" s="80" t="str">
        <f t="shared" si="53"/>
        <v>Metric Tons (in vacuo)</v>
      </c>
      <c r="I204" s="47"/>
      <c r="J204" s="47"/>
      <c r="K204" s="47"/>
      <c r="L204" s="82">
        <f t="shared" si="54"/>
        <v>0</v>
      </c>
      <c r="M204" s="83" t="str">
        <f t="shared" si="51"/>
        <v/>
      </c>
      <c r="N204" s="47"/>
      <c r="O204" s="47"/>
      <c r="P204" s="47"/>
      <c r="Q204" s="47"/>
      <c r="S204" s="306"/>
      <c r="T204" s="306"/>
    </row>
    <row r="205" ht="13.05" customHeight="1" spans="1:20">
      <c r="A205" t="str">
        <f t="shared" si="27"/>
        <v>显示</v>
      </c>
      <c r="C205" s="482" t="str">
        <f t="shared" si="52"/>
        <v>显示</v>
      </c>
      <c r="H205" s="80" t="str">
        <f t="shared" si="53"/>
        <v>Metric Tons (in air)</v>
      </c>
      <c r="I205" s="47"/>
      <c r="J205" s="47"/>
      <c r="K205" s="47"/>
      <c r="L205" s="82">
        <f t="shared" si="54"/>
        <v>1579.939</v>
      </c>
      <c r="M205" s="83" t="str">
        <f t="shared" si="51"/>
        <v/>
      </c>
      <c r="N205" s="47"/>
      <c r="O205" s="47"/>
      <c r="P205" s="47"/>
      <c r="Q205" s="47"/>
      <c r="S205" s="306"/>
      <c r="T205" s="306"/>
    </row>
    <row r="206" ht="13.05" customHeight="1" spans="1:20">
      <c r="A206" t="str">
        <f t="shared" si="27"/>
        <v>隐藏</v>
      </c>
      <c r="C206" s="482" t="str">
        <f t="shared" si="52"/>
        <v>隐藏</v>
      </c>
      <c r="H206" s="80" t="str">
        <f t="shared" si="53"/>
        <v>Long Tons (in vacuo)</v>
      </c>
      <c r="I206" s="47"/>
      <c r="J206" s="47"/>
      <c r="K206" s="47"/>
      <c r="L206" s="82">
        <f t="shared" si="54"/>
        <v>0</v>
      </c>
      <c r="M206" s="83" t="str">
        <f t="shared" si="51"/>
        <v/>
      </c>
      <c r="N206" s="47"/>
      <c r="O206" s="47"/>
      <c r="P206" s="47"/>
      <c r="Q206" s="47"/>
      <c r="S206" s="306"/>
      <c r="T206" s="306"/>
    </row>
    <row r="207" ht="13.05" customHeight="1" spans="1:20">
      <c r="A207" t="str">
        <f t="shared" si="27"/>
        <v>显示</v>
      </c>
      <c r="C207" s="482" t="str">
        <f t="shared" si="52"/>
        <v>显示</v>
      </c>
      <c r="H207" s="80" t="str">
        <f t="shared" si="53"/>
        <v>Long Tons (in air)</v>
      </c>
      <c r="I207" s="47"/>
      <c r="J207" s="47"/>
      <c r="K207" s="47"/>
      <c r="L207" s="82">
        <f t="shared" si="54"/>
        <v>1554.985</v>
      </c>
      <c r="M207" s="83" t="str">
        <f t="shared" si="51"/>
        <v/>
      </c>
      <c r="N207" s="47"/>
      <c r="O207" s="47"/>
      <c r="P207" s="47"/>
      <c r="Q207" s="47"/>
      <c r="S207" s="306"/>
      <c r="T207" s="306"/>
    </row>
    <row r="208" spans="1:20">
      <c r="A208" t="str">
        <f t="shared" si="27"/>
        <v>显示</v>
      </c>
      <c r="H208" s="80" t="str">
        <f>S10</f>
        <v>Remark:</v>
      </c>
      <c r="I208" s="47"/>
      <c r="J208" s="47"/>
      <c r="K208" s="47"/>
      <c r="L208" s="47"/>
      <c r="M208" s="47"/>
      <c r="N208" s="47"/>
      <c r="O208" s="47"/>
      <c r="P208" s="47"/>
      <c r="Q208" s="47"/>
      <c r="S208" s="306"/>
      <c r="T208" s="306"/>
    </row>
    <row r="209" ht="12" customHeight="1" spans="1:20">
      <c r="A209" t="str">
        <f t="shared" si="27"/>
        <v>显示</v>
      </c>
      <c r="H209" s="80" t="str">
        <f>S11</f>
        <v>- Reference Standards: API MPMS Chapter 3, Chapter 7 (2012), Chapter 11.1 (R2012), Chapter 11.5(E2011), Chapter 12.1.1(E2015).</v>
      </c>
      <c r="I209" s="47"/>
      <c r="J209" s="47"/>
      <c r="K209" s="47"/>
      <c r="L209" s="47"/>
      <c r="M209" s="47"/>
      <c r="N209" s="47"/>
      <c r="O209" s="47"/>
      <c r="P209" s="47"/>
      <c r="Q209" s="47"/>
      <c r="S209" s="306"/>
      <c r="T209" s="306"/>
    </row>
    <row r="210" ht="12" customHeight="1" spans="1:17">
      <c r="A210" t="str">
        <f t="shared" si="27"/>
        <v>显示</v>
      </c>
      <c r="H210" s="80" t="str">
        <f>IF(Cargo_type="A",S13,S12)</f>
        <v>- Density Source:</v>
      </c>
      <c r="I210" s="47"/>
      <c r="J210" s="104"/>
      <c r="K210" s="104"/>
      <c r="L210" s="104"/>
      <c r="M210" s="104"/>
      <c r="N210" s="104"/>
      <c r="O210" s="104"/>
      <c r="P210" s="104"/>
      <c r="Q210" s="47"/>
    </row>
    <row r="211" ht="12" customHeight="1" spans="1:17">
      <c r="A211" t="str">
        <f t="shared" si="27"/>
        <v>显示</v>
      </c>
      <c r="H211" s="80" t="str">
        <f>S14</f>
        <v>- Free Water Determination:</v>
      </c>
      <c r="I211" s="47"/>
      <c r="J211" s="105"/>
      <c r="K211" s="105"/>
      <c r="L211" s="105"/>
      <c r="M211" s="105"/>
      <c r="N211" s="105"/>
      <c r="O211" s="105"/>
      <c r="P211" s="105"/>
      <c r="Q211" s="47"/>
    </row>
    <row r="212" spans="1:17">
      <c r="A212" t="str">
        <f t="shared" si="27"/>
        <v>显示</v>
      </c>
      <c r="H212" s="47"/>
      <c r="I212" s="47"/>
      <c r="J212" s="47"/>
      <c r="K212" s="47"/>
      <c r="L212" s="47"/>
      <c r="M212" s="47"/>
      <c r="N212" s="47"/>
      <c r="O212" s="47"/>
      <c r="P212" s="47"/>
      <c r="Q212" s="47"/>
    </row>
    <row r="213" spans="1:17">
      <c r="A213" t="str">
        <f t="shared" si="27"/>
        <v>隐藏</v>
      </c>
      <c r="D213" s="482" t="str">
        <f>IF(Report_type="正式报告 Official Report","隐藏","显示")</f>
        <v>隐藏</v>
      </c>
      <c r="E213" s="482"/>
      <c r="H213" s="47"/>
      <c r="I213" s="47" t="str">
        <f>I80</f>
        <v>Terminal Representative</v>
      </c>
      <c r="J213" s="47"/>
      <c r="K213" s="47"/>
      <c r="L213" s="47"/>
      <c r="M213" s="47"/>
      <c r="N213" s="47" t="str">
        <f>I81</f>
        <v>CCIC Surveyor</v>
      </c>
      <c r="O213" s="47"/>
      <c r="P213" s="47"/>
      <c r="Q213" s="47"/>
    </row>
    <row r="214" ht="15" customHeight="1" spans="1:17">
      <c r="A214" t="str">
        <f t="shared" si="27"/>
        <v>隐藏</v>
      </c>
      <c r="D214" s="482" t="str">
        <f>IF(Report_type="正式报告 Official Report","隐藏","显示")</f>
        <v>隐藏</v>
      </c>
      <c r="E214" s="482"/>
      <c r="H214" s="47"/>
      <c r="I214" s="47" t="str">
        <f>I82</f>
        <v>Name</v>
      </c>
      <c r="J214" s="104"/>
      <c r="K214" s="104"/>
      <c r="L214" s="47"/>
      <c r="M214" s="47"/>
      <c r="N214" s="47" t="str">
        <f>I82</f>
        <v>Name</v>
      </c>
      <c r="O214" s="107" t="s">
        <v>10</v>
      </c>
      <c r="P214" s="107"/>
      <c r="Q214" s="47"/>
    </row>
    <row r="215" ht="15" customHeight="1" spans="1:17">
      <c r="A215" t="str">
        <f t="shared" si="27"/>
        <v>隐藏</v>
      </c>
      <c r="D215" s="482" t="str">
        <f>IF(Report_type="正式报告 Official Report","隐藏","显示")</f>
        <v>隐藏</v>
      </c>
      <c r="E215" s="482"/>
      <c r="H215" s="47"/>
      <c r="I215" s="47" t="str">
        <f>I83</f>
        <v>Signature</v>
      </c>
      <c r="J215" s="105"/>
      <c r="K215" s="105"/>
      <c r="L215" s="47"/>
      <c r="M215" s="47"/>
      <c r="N215" s="47" t="str">
        <f>I83</f>
        <v>Signature</v>
      </c>
      <c r="O215" s="105"/>
      <c r="P215" s="105"/>
      <c r="Q215" s="47"/>
    </row>
    <row r="216" ht="31.2" customHeight="1" spans="1:17">
      <c r="A216" t="str">
        <f t="shared" si="27"/>
        <v>显示</v>
      </c>
      <c r="D216" s="482" t="str">
        <f>IF(Report_type="正式报告 Official Report","显示","隐藏")</f>
        <v>显示</v>
      </c>
      <c r="E216" s="482"/>
      <c r="H216" s="47"/>
      <c r="I216" s="47"/>
      <c r="J216" s="47"/>
      <c r="K216" s="47"/>
      <c r="L216" s="47"/>
      <c r="M216" s="47"/>
      <c r="N216" s="47"/>
      <c r="O216" s="47"/>
      <c r="P216" s="47"/>
      <c r="Q216" s="47"/>
    </row>
    <row r="217" spans="1:17">
      <c r="A217" t="str">
        <f t="shared" si="27"/>
        <v>显示</v>
      </c>
      <c r="D217" s="482" t="str">
        <f>IF(Report_type="正式报告 Official Report","显示","隐藏")</f>
        <v>显示</v>
      </c>
      <c r="E217" s="482"/>
      <c r="H217" s="47"/>
      <c r="I217" s="47"/>
      <c r="J217" s="47"/>
      <c r="K217" s="47"/>
      <c r="L217" s="47"/>
      <c r="M217" s="47"/>
      <c r="N217" s="108" t="str">
        <f>I84</f>
        <v>Authorized Signature (S)</v>
      </c>
      <c r="O217" s="108"/>
      <c r="P217" s="47"/>
      <c r="Q217" s="47"/>
    </row>
    <row r="218" ht="5.4" customHeight="1" spans="1:17">
      <c r="A218" t="str">
        <f t="shared" si="27"/>
        <v>显示</v>
      </c>
      <c r="H218" s="47"/>
      <c r="I218" s="47"/>
      <c r="J218" s="47"/>
      <c r="K218" s="47"/>
      <c r="L218" s="47"/>
      <c r="M218" s="47"/>
      <c r="N218" s="47"/>
      <c r="O218" s="47"/>
      <c r="P218" s="47"/>
      <c r="Q218" s="47"/>
    </row>
    <row r="219" ht="16.8" customHeight="1" spans="1:17">
      <c r="A219" t="str">
        <f t="shared" si="27"/>
        <v>显示</v>
      </c>
      <c r="H219" s="151" t="str">
        <f>I85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I219" s="151"/>
      <c r="J219" s="151"/>
      <c r="K219" s="151"/>
      <c r="L219" s="151"/>
      <c r="M219" s="151"/>
      <c r="N219" s="151"/>
      <c r="O219" s="151"/>
      <c r="P219" s="151"/>
      <c r="Q219" s="151"/>
    </row>
  </sheetData>
  <autoFilter ref="A88:A219">
    <extLst/>
  </autoFilter>
  <mergeCells count="31">
    <mergeCell ref="N93:Q93"/>
    <mergeCell ref="N94:Q94"/>
    <mergeCell ref="N95:Q95"/>
    <mergeCell ref="N96:Q96"/>
    <mergeCell ref="N97:Q97"/>
    <mergeCell ref="N98:Q98"/>
    <mergeCell ref="N99:Q99"/>
    <mergeCell ref="L113:M113"/>
    <mergeCell ref="N113:O113"/>
    <mergeCell ref="P113:Q113"/>
    <mergeCell ref="L116:M116"/>
    <mergeCell ref="N116:O116"/>
    <mergeCell ref="P116:Q116"/>
    <mergeCell ref="L148:M148"/>
    <mergeCell ref="N148:O148"/>
    <mergeCell ref="P148:Q148"/>
    <mergeCell ref="L151:M151"/>
    <mergeCell ref="N151:O151"/>
    <mergeCell ref="P151:Q151"/>
    <mergeCell ref="L153:M153"/>
    <mergeCell ref="N153:O153"/>
    <mergeCell ref="P153:Q153"/>
    <mergeCell ref="L157:M157"/>
    <mergeCell ref="N157:O157"/>
    <mergeCell ref="P157:Q157"/>
    <mergeCell ref="L159:M159"/>
    <mergeCell ref="N159:O159"/>
    <mergeCell ref="P159:Q159"/>
    <mergeCell ref="O214:P214"/>
    <mergeCell ref="H219:Q219"/>
    <mergeCell ref="H93:K99"/>
  </mergeCells>
  <conditionalFormatting sqref="N131:O131">
    <cfRule type="expression" dxfId="11" priority="3">
      <formula>AND(表体积单位&lt;&gt;$P$16)</formula>
    </cfRule>
    <cfRule type="expression" dxfId="12" priority="4">
      <formula>AND(表体积单位=$P$16)</formula>
    </cfRule>
  </conditionalFormatting>
  <conditionalFormatting sqref="P131:Q131">
    <cfRule type="expression" dxfId="11" priority="1">
      <formula>AND(表体积单位&lt;&gt;$P$16)</formula>
    </cfRule>
    <cfRule type="expression" dxfId="12" priority="2">
      <formula>AND(表体积单位=$P$16)</formula>
    </cfRule>
  </conditionalFormatting>
  <conditionalFormatting sqref="L156:Q156">
    <cfRule type="expression" dxfId="13" priority="22">
      <formula>IF(AND($K$13=3,$K$3=1),TRUE)</formula>
    </cfRule>
    <cfRule type="expression" dxfId="14" priority="24">
      <formula>IF(AND($K$13=3,$K$3&lt;&gt;1),TRUE)</formula>
    </cfRule>
  </conditionalFormatting>
  <conditionalFormatting sqref="L157:Q157">
    <cfRule type="expression" dxfId="14" priority="17">
      <formula>IF(OR($K$13&lt;&gt;3,$K$3&lt;&gt;1),TRUE)</formula>
    </cfRule>
  </conditionalFormatting>
  <conditionalFormatting sqref="L158:Q158">
    <cfRule type="expression" dxfId="14" priority="23">
      <formula>IF(AND($K$13=3,$K$3=1),TRUE)</formula>
    </cfRule>
  </conditionalFormatting>
  <conditionalFormatting sqref="L173:Q173">
    <cfRule type="expression" dxfId="15" priority="21">
      <formula>IF($K$3&lt;&gt;1,TRUE)</formula>
    </cfRule>
  </conditionalFormatting>
  <conditionalFormatting sqref="M197:M207">
    <cfRule type="expression" dxfId="7" priority="6">
      <formula>IF($K$3=1,TRUE)</formula>
    </cfRule>
  </conditionalFormatting>
  <conditionalFormatting sqref="L105:Q112 L114:Q115 L149:Q150 L152:Q152 L154:Q155 L117:Q147">
    <cfRule type="expression" dxfId="13" priority="27">
      <formula>IF($K$13=3,TRUE)</formula>
    </cfRule>
  </conditionalFormatting>
  <conditionalFormatting sqref="L105:L112 L114:L115 L117:L147 L149:L150 L152 L154:L155 N105:N112 N114:N115 N149:N150 N152 N154:N155 P105:P112 P114:P115 P149:P150 P152 P154:P155 N117:N147 P117:P147">
    <cfRule type="expression" dxfId="16" priority="26">
      <formula>IF($K$13&lt;&gt;3,TRUE)</formula>
    </cfRule>
  </conditionalFormatting>
  <conditionalFormatting sqref="M105:M112 M114:M115 M117:M147 M149:M150 M152 M154:M155 O105:O112 O114:O115 O149:O150 O152 O154:O155 Q105:Q112 Q114:Q115 Q149:Q150 Q152 Q154:Q155 O117:O147 Q117:Q147">
    <cfRule type="expression" dxfId="17" priority="25">
      <formula>IF($K$13&lt;&gt;3,TRUE)</formula>
    </cfRule>
  </conditionalFormatting>
  <conditionalFormatting sqref="L111:Q111 L124:Q125">
    <cfRule type="expression" dxfId="4" priority="169">
      <formula>AND($K$111=$P$65)</formula>
    </cfRule>
    <cfRule type="expression" dxfId="1" priority="170">
      <formula>AND($K$111=$P$64)</formula>
    </cfRule>
  </conditionalFormatting>
  <conditionalFormatting sqref="L126:M132">
    <cfRule type="expression" dxfId="11" priority="151">
      <formula>AND(表体积单位&lt;&gt;$P$16)</formula>
    </cfRule>
    <cfRule type="expression" dxfId="12" priority="152">
      <formula>AND(表体积单位=$P$16)</formula>
    </cfRule>
  </conditionalFormatting>
  <conditionalFormatting sqref="N126:O132">
    <cfRule type="expression" dxfId="11" priority="108">
      <formula>AND(表体积单位&lt;&gt;$P$16)</formula>
    </cfRule>
    <cfRule type="expression" dxfId="12" priority="109">
      <formula>AND(表体积单位=$P$16)</formula>
    </cfRule>
  </conditionalFormatting>
  <conditionalFormatting sqref="P126:Q132">
    <cfRule type="expression" dxfId="11" priority="65">
      <formula>AND(表体积单位&lt;&gt;$P$16)</formula>
    </cfRule>
    <cfRule type="expression" dxfId="12" priority="66">
      <formula>AND(表体积单位=$P$16)</formula>
    </cfRule>
  </conditionalFormatting>
  <conditionalFormatting sqref="L150:M153">
    <cfRule type="expression" dxfId="11" priority="207">
      <formula>AND(LEFT(vcfTab,4)&lt;&gt;"T-54",LEFT(vcfTab,4)&lt;&gt;"T-60")</formula>
    </cfRule>
    <cfRule type="expression" dxfId="12" priority="208">
      <formula>OR(LEFT(vcfTab,4)="T-54",LEFT(vcfTab,4)="T-60")</formula>
    </cfRule>
  </conditionalFormatting>
  <conditionalFormatting sqref="N150:O153">
    <cfRule type="expression" dxfId="11" priority="140">
      <formula>AND(LEFT(vcfTab,4)&lt;&gt;"T-54",LEFT(vcfTab,4)&lt;&gt;"T-60")</formula>
    </cfRule>
    <cfRule type="expression" dxfId="12" priority="141">
      <formula>OR(LEFT(vcfTab,4)="T-54",LEFT(vcfTab,4)="T-60")</formula>
    </cfRule>
  </conditionalFormatting>
  <conditionalFormatting sqref="P150:Q153">
    <cfRule type="expression" dxfId="11" priority="97">
      <formula>AND(LEFT(vcfTab,4)&lt;&gt;"T-54",LEFT(vcfTab,4)&lt;&gt;"T-60")</formula>
    </cfRule>
    <cfRule type="expression" dxfId="12" priority="98">
      <formula>OR(LEFT(vcfTab,4)="T-54",LEFT(vcfTab,4)="T-60")</formula>
    </cfRule>
  </conditionalFormatting>
  <conditionalFormatting sqref="L156 N156 P156">
    <cfRule type="expression" dxfId="16" priority="20">
      <formula>IF($K$13&lt;&gt;3,TRUE)</formula>
    </cfRule>
  </conditionalFormatting>
  <conditionalFormatting sqref="M156 O156 Q156">
    <cfRule type="expression" dxfId="17" priority="19">
      <formula>IF($K$13&lt;&gt;3,TRUE)</formula>
    </cfRule>
  </conditionalFormatting>
  <conditionalFormatting sqref="L158 N158 P158">
    <cfRule type="expression" dxfId="16" priority="18">
      <formula>IF($K$13&lt;&gt;3,TRUE)</formula>
    </cfRule>
  </conditionalFormatting>
  <conditionalFormatting sqref="M184 O184 Q184">
    <cfRule type="expression" dxfId="18" priority="16">
      <formula>IF($K$3=1,TRUE)</formula>
    </cfRule>
  </conditionalFormatting>
  <conditionalFormatting sqref="P185 N185 L185">
    <cfRule type="expression" dxfId="19" priority="10">
      <formula>IF($K$3=1,TRUE)</formula>
    </cfRule>
  </conditionalFormatting>
  <conditionalFormatting sqref="L185 N185 P185">
    <cfRule type="expression" dxfId="8" priority="9">
      <formula>IF($K$3&lt;&gt;1,TRUE)</formula>
    </cfRule>
  </conditionalFormatting>
  <conditionalFormatting sqref="Q185 Q195">
    <cfRule type="expression" dxfId="20" priority="5">
      <formula>IF(Cargo_type="A",TRUE)</formula>
    </cfRule>
  </conditionalFormatting>
  <conditionalFormatting sqref="L186:L194 N186:N194 P186:P194">
    <cfRule type="expression" dxfId="16" priority="12">
      <formula>IF($K$3=1,TRUE)</formula>
    </cfRule>
    <cfRule type="expression" dxfId="8" priority="13">
      <formula>IF($K$3&lt;&gt;1,TRUE)</formula>
    </cfRule>
  </conditionalFormatting>
  <conditionalFormatting sqref="M186:M194 O186:O194 Q186:Q194">
    <cfRule type="expression" dxfId="17" priority="11">
      <formula>IF($K$3=1,TRUE)</formula>
    </cfRule>
  </conditionalFormatting>
  <conditionalFormatting sqref="L195 N195 P195">
    <cfRule type="expression" dxfId="8" priority="7">
      <formula>IF($K$3&lt;&gt;1,TRUE)</formula>
    </cfRule>
    <cfRule type="expression" dxfId="21" priority="8">
      <formula>IF($K$3=1,TRUE)</formula>
    </cfRule>
  </conditionalFormatting>
  <conditionalFormatting sqref="M196 O196 Q196">
    <cfRule type="expression" dxfId="22" priority="15">
      <formula>IF($K$3=1,TRUE)</formula>
    </cfRule>
  </conditionalFormatting>
  <dataValidations count="4">
    <dataValidation type="list" allowBlank="1" showInputMessage="1" showErrorMessage="1" sqref="L110:Q110">
      <formula1>$P$72:$P$73</formula1>
    </dataValidation>
    <dataValidation type="list" allowBlank="1" showInputMessage="1" showErrorMessage="1" sqref="K109">
      <formula1>$P$68:$P$69</formula1>
    </dataValidation>
    <dataValidation type="list" allowBlank="1" showInputMessage="1" showErrorMessage="1" sqref="K111 K124">
      <formula1>$P$64:$P$65</formula1>
    </dataValidation>
    <dataValidation type="list" allowBlank="1" showInputMessage="1" showErrorMessage="1" sqref="L120:Q120">
      <formula1>$P$76:$P$77</formula1>
    </dataValidation>
  </dataValidations>
  <pageMargins left="0.236220472440945" right="0.236220472440945" top="0.31496062992126" bottom="0.393700787401575" header="0.31496062992126" footer="0.31496062992126"/>
  <pageSetup paperSize="9" orientation="portrait"/>
  <headerFooter>
    <oddHeader>&amp;L&amp;G</oddHeader>
  </headerFooter>
  <drawing r:id="rId1"/>
  <legacyDrawing r:id="rId2"/>
  <legacyDrawingHF r:id="rId6"/>
  <mc:AlternateContent xmlns:mc="http://schemas.openxmlformats.org/markup-compatibility/2006">
    <mc:Choice Requires="x14">
      <controls>
        <mc:AlternateContent xmlns:mc="http://schemas.openxmlformats.org/markup-compatibility/2006">
          <mc:Choice Requires="x14">
            <control shapeId="3110" name="Button 38" r:id="rId3">
              <controlPr print="0" defaultSize="0">
                <anchor moveWithCells="1">
                  <from>
                    <xdr:col>17</xdr:col>
                    <xdr:colOff>311150</xdr:colOff>
                    <xdr:row>93</xdr:row>
                    <xdr:rowOff>31750</xdr:rowOff>
                  </from>
                  <to>
                    <xdr:col>21</xdr:col>
                    <xdr:colOff>212090</xdr:colOff>
                    <xdr:row>94</xdr:row>
                    <xdr:rowOff>108585</xdr:rowOff>
                  </to>
                </anchor>
              </controlPr>
            </control>
          </mc:Choice>
        </mc:AlternateContent>
        <mc:AlternateContent xmlns:mc="http://schemas.openxmlformats.org/markup-compatibility/2006">
          <mc:Choice Requires="x14">
            <control shapeId="3111" name="Button 39" r:id="rId4">
              <controlPr print="0" defaultSize="0">
                <anchor moveWithCells="1">
                  <from>
                    <xdr:col>17</xdr:col>
                    <xdr:colOff>311150</xdr:colOff>
                    <xdr:row>90</xdr:row>
                    <xdr:rowOff>53340</xdr:rowOff>
                  </from>
                  <to>
                    <xdr:col>21</xdr:col>
                    <xdr:colOff>212090</xdr:colOff>
                    <xdr:row>92</xdr:row>
                    <xdr:rowOff>99695</xdr:rowOff>
                  </to>
                </anchor>
              </controlPr>
            </control>
          </mc:Choice>
        </mc:AlternateContent>
        <mc:AlternateContent xmlns:mc="http://schemas.openxmlformats.org/markup-compatibility/2006">
          <mc:Choice Requires="x14">
            <control shapeId="3112" name="Button 40" r:id="rId5">
              <controlPr print="0" defaultSize="0">
                <anchor moveWithCells="1">
                  <from>
                    <xdr:col>17</xdr:col>
                    <xdr:colOff>311150</xdr:colOff>
                    <xdr:row>88</xdr:row>
                    <xdr:rowOff>50800</xdr:rowOff>
                  </from>
                  <to>
                    <xdr:col>21</xdr:col>
                    <xdr:colOff>212090</xdr:colOff>
                    <xdr:row>89</xdr:row>
                    <xdr:rowOff>121285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12"/>
  <dimension ref="A1:W219"/>
  <sheetViews>
    <sheetView showGridLines="0" zoomScale="90" zoomScaleNormal="90" topLeftCell="H89" workbookViewId="0">
      <selection activeCell="H149" sqref="H149"/>
    </sheetView>
  </sheetViews>
  <sheetFormatPr defaultColWidth="9" defaultRowHeight="14.25"/>
  <cols>
    <col min="1" max="3" width="8.88333333333333" hidden="1" customWidth="1"/>
    <col min="4" max="5" width="9.10833333333333" hidden="1" customWidth="1"/>
    <col min="6" max="6" width="8.88333333333333" hidden="1" customWidth="1"/>
    <col min="7" max="7" width="9.33333333333333" hidden="1" customWidth="1"/>
    <col min="8" max="8" width="12.6666666666667" customWidth="1"/>
    <col min="9" max="9" width="6.775" customWidth="1"/>
    <col min="10" max="10" width="8.55833333333333" customWidth="1"/>
    <col min="11" max="11" width="8.88333333333333"/>
    <col min="12" max="17" width="10" customWidth="1"/>
    <col min="18" max="16384" width="8.88333333333333"/>
  </cols>
  <sheetData>
    <row r="1" hidden="1" spans="7:19">
      <c r="G1" s="466" t="s">
        <v>823</v>
      </c>
      <c r="H1" s="466" t="s">
        <v>824</v>
      </c>
      <c r="I1" s="467"/>
      <c r="J1" s="474" t="s">
        <v>825</v>
      </c>
      <c r="K1" s="474">
        <v>1</v>
      </c>
      <c r="L1" s="474" t="str">
        <f>INDEX(J1:J2,K1,0)</f>
        <v>英文 English</v>
      </c>
      <c r="M1" s="474"/>
      <c r="N1" s="474" t="s">
        <v>826</v>
      </c>
      <c r="O1" s="474" t="s">
        <v>827</v>
      </c>
      <c r="P1" s="474" t="str">
        <f t="shared" ref="P1:P58" si="0">IF(Report_Language=$G$1,N1,O1)</f>
        <v>VCF Table</v>
      </c>
      <c r="Q1" s="474" t="s">
        <v>828</v>
      </c>
      <c r="R1" s="474" t="s">
        <v>829</v>
      </c>
      <c r="S1" s="474" t="str">
        <f t="shared" ref="S1:S14" si="1">IF(Report_Language=$G$1,Q1,R1)</f>
        <v>Temp. Unit :</v>
      </c>
    </row>
    <row r="2" hidden="1" spans="7:19">
      <c r="G2" s="467" t="s">
        <v>15</v>
      </c>
      <c r="H2" s="467" t="s">
        <v>830</v>
      </c>
      <c r="I2" s="467" t="str">
        <f>IF(Report_Language=$G$1,G2,H2)</f>
        <v>JOB NO.</v>
      </c>
      <c r="J2" s="474" t="s">
        <v>831</v>
      </c>
      <c r="K2" s="474">
        <v>2</v>
      </c>
      <c r="L2" s="474" t="str">
        <f>INDEX(J26:J27,K2,0)</f>
        <v>正式报告 Official Report</v>
      </c>
      <c r="M2" s="474"/>
      <c r="N2" s="474" t="s">
        <v>832</v>
      </c>
      <c r="O2" s="474" t="s">
        <v>833</v>
      </c>
      <c r="P2" s="474" t="str">
        <f t="shared" si="0"/>
        <v>Delivery Quantity</v>
      </c>
      <c r="Q2" s="474" t="s">
        <v>834</v>
      </c>
      <c r="R2" s="474" t="s">
        <v>835</v>
      </c>
      <c r="S2" s="474" t="str">
        <f t="shared" si="1"/>
        <v>Table Volume of Static Pressure Corr.</v>
      </c>
    </row>
    <row r="3" hidden="1" spans="7:19">
      <c r="G3" s="467" t="s">
        <v>17</v>
      </c>
      <c r="H3" s="467" t="s">
        <v>836</v>
      </c>
      <c r="I3" s="467" t="str">
        <f t="shared" ref="I3:I33" si="2">IF(Report_Language=$G$1,G3,H3)</f>
        <v>DATE OF REPORT</v>
      </c>
      <c r="J3" s="475" t="s">
        <v>88</v>
      </c>
      <c r="K3" s="474">
        <v>2</v>
      </c>
      <c r="L3" s="474" t="str">
        <f>INDEX(J28:J31,K3,0)</f>
        <v>B--成品油 Refined Products</v>
      </c>
      <c r="M3" s="474" t="str">
        <f>LEFT(L3,1)</f>
        <v>B</v>
      </c>
      <c r="N3" s="474" t="s">
        <v>837</v>
      </c>
      <c r="O3" s="474" t="s">
        <v>838</v>
      </c>
      <c r="P3" s="474" t="str">
        <f t="shared" si="0"/>
        <v>Received Quantity</v>
      </c>
      <c r="Q3" s="474" t="s">
        <v>839</v>
      </c>
      <c r="R3" s="478" t="s">
        <v>840</v>
      </c>
      <c r="S3" s="474" t="str">
        <f t="shared" si="1"/>
        <v>Volume Unit :</v>
      </c>
    </row>
    <row r="4" hidden="1" spans="7:19">
      <c r="G4" s="468" t="s">
        <v>20</v>
      </c>
      <c r="H4" s="468" t="s">
        <v>841</v>
      </c>
      <c r="I4" s="468" t="str">
        <f t="shared" si="2"/>
        <v>APPLICANT</v>
      </c>
      <c r="J4" s="475" t="s">
        <v>91</v>
      </c>
      <c r="K4" s="474">
        <v>14</v>
      </c>
      <c r="L4" s="474" t="str">
        <f>INDEX(J3:J20,K4,0)</f>
        <v>T-60B</v>
      </c>
      <c r="M4" s="474"/>
      <c r="N4" s="474" t="s">
        <v>842</v>
      </c>
      <c r="O4" s="474" t="s">
        <v>843</v>
      </c>
      <c r="P4" s="474" t="str">
        <f t="shared" si="0"/>
        <v>Inventory Quantity</v>
      </c>
      <c r="Q4" s="474" t="s">
        <v>844</v>
      </c>
      <c r="R4" s="474" t="s">
        <v>845</v>
      </c>
      <c r="S4" s="474" t="str">
        <f t="shared" si="1"/>
        <v>Table Volume of dm</v>
      </c>
    </row>
    <row r="5" hidden="1" spans="7:19">
      <c r="G5" s="468" t="s">
        <v>23</v>
      </c>
      <c r="H5" s="468" t="s">
        <v>846</v>
      </c>
      <c r="I5" s="468" t="str">
        <f t="shared" si="2"/>
        <v>CLIENT'S REF. NO.</v>
      </c>
      <c r="J5" s="475" t="s">
        <v>92</v>
      </c>
      <c r="K5" s="474">
        <v>3</v>
      </c>
      <c r="L5" s="474">
        <f>INDEX(J23:J25,K5,0)</f>
        <v>2004</v>
      </c>
      <c r="M5" s="474"/>
      <c r="N5" s="474" t="s">
        <v>411</v>
      </c>
      <c r="O5" s="474" t="s">
        <v>412</v>
      </c>
      <c r="P5" s="474" t="str">
        <f t="shared" si="0"/>
        <v>US Barrels (Obsd. Temp.)</v>
      </c>
      <c r="Q5" s="474" t="s">
        <v>847</v>
      </c>
      <c r="R5" s="474" t="s">
        <v>848</v>
      </c>
      <c r="S5" s="474" t="str">
        <f t="shared" si="1"/>
        <v>Table Volume of cm</v>
      </c>
    </row>
    <row r="6" hidden="1" spans="7:19">
      <c r="G6" s="468" t="s">
        <v>25</v>
      </c>
      <c r="H6" s="468" t="s">
        <v>849</v>
      </c>
      <c r="I6" s="468" t="str">
        <f t="shared" si="2"/>
        <v>COMMODITY</v>
      </c>
      <c r="J6" s="475" t="s">
        <v>95</v>
      </c>
      <c r="K6" s="474">
        <v>1</v>
      </c>
      <c r="L6" s="474" t="str">
        <f>INDEX(J21:J22,K6,0)</f>
        <v>ASTM D1250-1980</v>
      </c>
      <c r="M6" s="474"/>
      <c r="N6" s="474" t="s">
        <v>381</v>
      </c>
      <c r="O6" s="474" t="s">
        <v>382</v>
      </c>
      <c r="P6" s="474" t="str">
        <f t="shared" si="0"/>
        <v>Cubic Meters (Obsd. Temp.)</v>
      </c>
      <c r="Q6" s="474" t="s">
        <v>850</v>
      </c>
      <c r="R6" s="474" t="s">
        <v>851</v>
      </c>
      <c r="S6" s="474" t="str">
        <f t="shared" si="1"/>
        <v>Table Volume of mm</v>
      </c>
    </row>
    <row r="7" hidden="1" spans="7:19">
      <c r="G7" s="468" t="s">
        <v>28</v>
      </c>
      <c r="H7" s="468" t="s">
        <v>852</v>
      </c>
      <c r="I7" s="468" t="str">
        <f t="shared" si="2"/>
        <v>VESSEL</v>
      </c>
      <c r="J7" s="475" t="s">
        <v>98</v>
      </c>
      <c r="K7" s="474">
        <v>1</v>
      </c>
      <c r="L7" s="474" t="str">
        <f>IF(K7=1,"Den15",IF(K7=2,"Den20",IF(K7=3,"API","SG")))</f>
        <v>Den15</v>
      </c>
      <c r="M7" s="474" t="str">
        <f>INDEX(P34:P37,K7,0)</f>
        <v>Density@15℃</v>
      </c>
      <c r="N7" s="474" t="s">
        <v>413</v>
      </c>
      <c r="O7" s="474" t="s">
        <v>414</v>
      </c>
      <c r="P7" s="474" t="str">
        <f t="shared" si="0"/>
        <v>US Barrels (60℉)</v>
      </c>
      <c r="Q7" s="474" t="s">
        <v>853</v>
      </c>
      <c r="R7" s="474" t="s">
        <v>854</v>
      </c>
      <c r="S7" s="474" t="str">
        <f t="shared" si="1"/>
        <v>Table Volume of Free Water</v>
      </c>
    </row>
    <row r="8" hidden="1" spans="7:19">
      <c r="G8" s="468" t="s">
        <v>31</v>
      </c>
      <c r="H8" s="468" t="s">
        <v>855</v>
      </c>
      <c r="I8" s="468" t="str">
        <f t="shared" si="2"/>
        <v>PORT</v>
      </c>
      <c r="J8" s="475" t="s">
        <v>101</v>
      </c>
      <c r="K8" s="474" t="s">
        <v>856</v>
      </c>
      <c r="L8" s="474" t="s">
        <v>857</v>
      </c>
      <c r="M8" s="474" t="str">
        <f>IF(Report_Language=$G$1,K8,L8)</f>
        <v>g/cm³</v>
      </c>
      <c r="N8" s="474" t="s">
        <v>415</v>
      </c>
      <c r="O8" s="474" t="s">
        <v>416</v>
      </c>
      <c r="P8" s="474" t="str">
        <f t="shared" si="0"/>
        <v>US Gallon (60℉)</v>
      </c>
      <c r="Q8" s="474" t="s">
        <v>858</v>
      </c>
      <c r="R8" s="474" t="s">
        <v>859</v>
      </c>
      <c r="S8" s="474" t="str">
        <f t="shared" si="1"/>
        <v>Liquid Level</v>
      </c>
    </row>
    <row r="9" hidden="1" spans="7:19">
      <c r="G9" s="469" t="s">
        <v>34</v>
      </c>
      <c r="H9" s="468" t="s">
        <v>860</v>
      </c>
      <c r="I9" s="468" t="str">
        <f t="shared" si="2"/>
        <v>TERMINAL</v>
      </c>
      <c r="J9" s="475" t="s">
        <v>104</v>
      </c>
      <c r="K9" s="474" t="s">
        <v>861</v>
      </c>
      <c r="L9" s="474" t="s">
        <v>861</v>
      </c>
      <c r="M9" s="474" t="str">
        <f>IF(Report_Language=$G$1,K9,L9)</f>
        <v>°API</v>
      </c>
      <c r="N9" s="474" t="s">
        <v>385</v>
      </c>
      <c r="O9" s="474" t="s">
        <v>386</v>
      </c>
      <c r="P9" s="474" t="str">
        <f t="shared" si="0"/>
        <v>Cubic Meters (15℃)</v>
      </c>
      <c r="Q9" s="474" t="s">
        <v>862</v>
      </c>
      <c r="R9" s="478" t="s">
        <v>863</v>
      </c>
      <c r="S9" s="474" t="str">
        <f t="shared" si="1"/>
        <v>SHORE TANK MEASUREMENT REPORT</v>
      </c>
    </row>
    <row r="10" hidden="1" spans="7:19">
      <c r="G10" s="468" t="s">
        <v>36</v>
      </c>
      <c r="H10" s="468" t="s">
        <v>864</v>
      </c>
      <c r="I10" s="468" t="str">
        <f t="shared" si="2"/>
        <v>DATE OF INSPECTION</v>
      </c>
      <c r="J10" s="475" t="s">
        <v>107</v>
      </c>
      <c r="K10" s="474">
        <v>2</v>
      </c>
      <c r="L10" s="474" t="str">
        <f>INDEX(P16:P17,TOV单位序号,0)</f>
        <v>Bbls</v>
      </c>
      <c r="M10" s="474" t="str">
        <f>INDEX(I20:I23,输入密度序号,0)</f>
        <v>Density@15℃ (g/cm³)</v>
      </c>
      <c r="N10" s="474" t="s">
        <v>389</v>
      </c>
      <c r="O10" s="474" t="s">
        <v>390</v>
      </c>
      <c r="P10" s="474" t="str">
        <f t="shared" si="0"/>
        <v>Cubic Meters (20℃)</v>
      </c>
      <c r="Q10" s="474" t="s">
        <v>447</v>
      </c>
      <c r="R10" s="474" t="s">
        <v>448</v>
      </c>
      <c r="S10" s="474" t="str">
        <f t="shared" si="1"/>
        <v>Remark:</v>
      </c>
    </row>
    <row r="11" hidden="1" spans="7:19">
      <c r="G11" s="468" t="s">
        <v>44</v>
      </c>
      <c r="H11" s="468" t="str">
        <f>G11</f>
        <v>SG0020031202-I</v>
      </c>
      <c r="I11" s="468" t="s">
        <v>45</v>
      </c>
      <c r="J11" s="475" t="s">
        <v>110</v>
      </c>
      <c r="M11" s="474"/>
      <c r="N11" s="474" t="s">
        <v>393</v>
      </c>
      <c r="O11" s="474" t="s">
        <v>394</v>
      </c>
      <c r="P11" s="474" t="str">
        <f t="shared" si="0"/>
        <v>Cubic Meters (30℃)</v>
      </c>
      <c r="Q11" s="474" t="s">
        <v>696</v>
      </c>
      <c r="R11" s="474" t="s">
        <v>697</v>
      </c>
      <c r="S11" s="474" t="str">
        <f t="shared" si="1"/>
        <v>- Reference Standards: API MPMS Chapter 3, Chapter 7 (2012), Chapter 11.1 (R2012), Chapter 11.5(E2011), Chapter 12.1.1(E2015).</v>
      </c>
    </row>
    <row r="12" hidden="1" spans="7:19">
      <c r="G12" s="470" t="s">
        <v>46</v>
      </c>
      <c r="H12" s="468" t="str">
        <f>G12</f>
        <v>YYYY-MM-DD</v>
      </c>
      <c r="I12" s="468" t="s">
        <v>46</v>
      </c>
      <c r="J12" s="475" t="s">
        <v>113</v>
      </c>
      <c r="M12" s="474"/>
      <c r="N12" s="474" t="s">
        <v>417</v>
      </c>
      <c r="O12" s="474" t="s">
        <v>418</v>
      </c>
      <c r="P12" s="474" t="str">
        <f t="shared" si="0"/>
        <v>Metric Tons (in vacuo)</v>
      </c>
      <c r="Q12" s="792" t="s">
        <v>865</v>
      </c>
      <c r="R12" s="792" t="s">
        <v>866</v>
      </c>
      <c r="S12" s="474" t="str">
        <f t="shared" si="1"/>
        <v>- Density Source:</v>
      </c>
    </row>
    <row r="13" hidden="1" spans="7:19">
      <c r="G13" s="468" t="s">
        <v>48</v>
      </c>
      <c r="H13" s="468" t="s">
        <v>49</v>
      </c>
      <c r="I13" s="468" t="str">
        <f t="shared" si="2"/>
        <v>PETROCHINA </v>
      </c>
      <c r="J13" s="475" t="s">
        <v>116</v>
      </c>
      <c r="K13" s="474">
        <v>1</v>
      </c>
      <c r="L13" s="474" t="str">
        <f>INDEX(P2:P4,K13,0)</f>
        <v>Delivery Quantity</v>
      </c>
      <c r="M13" s="474"/>
      <c r="N13" s="474" t="s">
        <v>419</v>
      </c>
      <c r="O13" s="474" t="s">
        <v>420</v>
      </c>
      <c r="P13" s="474" t="str">
        <f t="shared" si="0"/>
        <v>Metric Tons (in air)</v>
      </c>
      <c r="Q13" s="792" t="s">
        <v>867</v>
      </c>
      <c r="R13" s="792" t="s">
        <v>868</v>
      </c>
      <c r="S13" s="474" t="str">
        <f t="shared" si="1"/>
        <v>- Density, S&amp;W Source:</v>
      </c>
    </row>
    <row r="14" hidden="1" spans="7:19">
      <c r="G14" s="468" t="s">
        <v>50</v>
      </c>
      <c r="H14" s="468" t="s">
        <v>117</v>
      </c>
      <c r="I14" s="468" t="s">
        <v>51</v>
      </c>
      <c r="J14" s="475" t="s">
        <v>120</v>
      </c>
      <c r="K14" s="474"/>
      <c r="L14" s="474"/>
      <c r="M14" s="474"/>
      <c r="N14" s="474" t="s">
        <v>421</v>
      </c>
      <c r="O14" s="474" t="s">
        <v>422</v>
      </c>
      <c r="P14" s="474" t="str">
        <f t="shared" si="0"/>
        <v>Long Tons (in vacuo)</v>
      </c>
      <c r="Q14" s="792" t="s">
        <v>869</v>
      </c>
      <c r="R14" s="792" t="s">
        <v>870</v>
      </c>
      <c r="S14" s="474" t="str">
        <f t="shared" si="1"/>
        <v>- Free Water Determination:</v>
      </c>
    </row>
    <row r="15" hidden="1" spans="7:19">
      <c r="G15" s="468" t="s">
        <v>52</v>
      </c>
      <c r="H15" s="468" t="s">
        <v>53</v>
      </c>
      <c r="I15" s="468" t="str">
        <f t="shared" si="2"/>
        <v>Crude Oil6658</v>
      </c>
      <c r="J15" s="475" t="s">
        <v>123</v>
      </c>
      <c r="K15" s="474"/>
      <c r="L15" s="474"/>
      <c r="M15" s="474"/>
      <c r="N15" s="474" t="s">
        <v>423</v>
      </c>
      <c r="O15" s="474" t="s">
        <v>424</v>
      </c>
      <c r="P15" s="474" t="str">
        <f t="shared" si="0"/>
        <v>Long Tons (in air)</v>
      </c>
      <c r="Q15" s="474"/>
      <c r="R15" s="474"/>
      <c r="S15" s="474"/>
    </row>
    <row r="16" hidden="1" spans="7:19">
      <c r="G16" s="468" t="s">
        <v>54</v>
      </c>
      <c r="H16" s="468" t="s">
        <v>55</v>
      </c>
      <c r="I16" s="468" t="str">
        <f t="shared" si="2"/>
        <v>MT ZhenYuanefdasdf</v>
      </c>
      <c r="J16" s="475" t="s">
        <v>126</v>
      </c>
      <c r="K16" s="474"/>
      <c r="L16" s="474"/>
      <c r="M16" s="474"/>
      <c r="N16" s="474" t="s">
        <v>491</v>
      </c>
      <c r="O16" s="474" t="s">
        <v>492</v>
      </c>
      <c r="P16" s="474" t="str">
        <f t="shared" si="0"/>
        <v>m³</v>
      </c>
      <c r="Q16" s="474"/>
      <c r="R16" s="474"/>
      <c r="S16" s="474"/>
    </row>
    <row r="17" hidden="1" spans="7:19">
      <c r="G17" s="468" t="s">
        <v>56</v>
      </c>
      <c r="H17" s="468" t="s">
        <v>57</v>
      </c>
      <c r="I17" s="468" t="str">
        <f t="shared" si="2"/>
        <v>Dalian, Chinafsadfa</v>
      </c>
      <c r="J17" s="475" t="s">
        <v>129</v>
      </c>
      <c r="K17" s="474"/>
      <c r="L17" s="474"/>
      <c r="M17" s="474"/>
      <c r="N17" s="474" t="s">
        <v>871</v>
      </c>
      <c r="O17" s="474" t="s">
        <v>494</v>
      </c>
      <c r="P17" s="474" t="str">
        <f t="shared" si="0"/>
        <v>Bbls</v>
      </c>
      <c r="Q17" s="474"/>
      <c r="R17" s="474"/>
      <c r="S17" s="474"/>
    </row>
    <row r="18" hidden="1" spans="7:19">
      <c r="G18" s="468" t="s">
        <v>58</v>
      </c>
      <c r="H18" s="468" t="s">
        <v>59</v>
      </c>
      <c r="I18" s="468" t="str">
        <f t="shared" si="2"/>
        <v>Dalian Chinaoil, China1325415</v>
      </c>
      <c r="J18" s="475" t="s">
        <v>132</v>
      </c>
      <c r="K18" s="474"/>
      <c r="L18" s="474"/>
      <c r="M18" s="474"/>
      <c r="N18" s="474" t="s">
        <v>872</v>
      </c>
      <c r="O18" s="474" t="s">
        <v>873</v>
      </c>
      <c r="P18" s="474" t="str">
        <f t="shared" si="0"/>
        <v>INVENTORY QUANTITY OF INDIVIDUAL TANK</v>
      </c>
      <c r="Q18" s="474"/>
      <c r="R18" s="474"/>
      <c r="S18" s="474"/>
    </row>
    <row r="19" hidden="1" spans="7:19">
      <c r="G19" s="471" t="s">
        <v>133</v>
      </c>
      <c r="H19" s="471" t="str">
        <f>G19</f>
        <v>YYYY-MM-DD -- YYYY-MM-DD</v>
      </c>
      <c r="I19" s="468" t="s">
        <v>60</v>
      </c>
      <c r="J19" s="476" t="s">
        <v>136</v>
      </c>
      <c r="K19" s="474"/>
      <c r="L19" s="474"/>
      <c r="M19" s="474"/>
      <c r="N19" s="474" t="s">
        <v>874</v>
      </c>
      <c r="O19" s="474" t="s">
        <v>377</v>
      </c>
      <c r="P19" s="474" t="str">
        <f t="shared" si="0"/>
        <v>Gross</v>
      </c>
      <c r="Q19" s="474"/>
      <c r="R19" s="474"/>
      <c r="S19" s="474"/>
    </row>
    <row r="20" hidden="1" spans="7:19">
      <c r="G20" s="468" t="s">
        <v>875</v>
      </c>
      <c r="H20" s="468" t="s">
        <v>876</v>
      </c>
      <c r="I20" s="468" t="str">
        <f t="shared" si="2"/>
        <v>Density@15℃ (g/cm³)</v>
      </c>
      <c r="J20" s="475" t="s">
        <v>141</v>
      </c>
      <c r="K20" s="474"/>
      <c r="L20" s="474"/>
      <c r="M20" s="474"/>
      <c r="N20" s="474" t="s">
        <v>877</v>
      </c>
      <c r="O20" s="474" t="s">
        <v>378</v>
      </c>
      <c r="P20" s="474" t="str">
        <f t="shared" si="0"/>
        <v>Net</v>
      </c>
      <c r="Q20" s="474"/>
      <c r="R20" s="474"/>
      <c r="S20" s="474"/>
    </row>
    <row r="21" hidden="1" spans="7:19">
      <c r="G21" s="468" t="s">
        <v>878</v>
      </c>
      <c r="H21" s="468" t="s">
        <v>879</v>
      </c>
      <c r="I21" s="468" t="str">
        <f t="shared" si="2"/>
        <v>Density@20℃ (g/cm³)</v>
      </c>
      <c r="J21" s="475" t="s">
        <v>5</v>
      </c>
      <c r="K21" s="474"/>
      <c r="L21" s="474"/>
      <c r="M21" s="474"/>
      <c r="N21" s="474" t="s">
        <v>880</v>
      </c>
      <c r="O21" s="474" t="s">
        <v>881</v>
      </c>
      <c r="P21" s="474" t="str">
        <f t="shared" si="0"/>
        <v>DELIVERED QUANTITY OF INDIVIDUAL TANK </v>
      </c>
      <c r="Q21" s="474"/>
      <c r="R21" s="474"/>
      <c r="S21" s="474"/>
    </row>
    <row r="22" hidden="1" spans="7:19">
      <c r="G22" s="468" t="s">
        <v>882</v>
      </c>
      <c r="H22" s="468" t="s">
        <v>882</v>
      </c>
      <c r="I22" s="468" t="str">
        <f t="shared" si="2"/>
        <v>API@60℉</v>
      </c>
      <c r="J22" s="475" t="s">
        <v>6</v>
      </c>
      <c r="K22" s="474"/>
      <c r="L22" s="474"/>
      <c r="M22" s="474"/>
      <c r="N22" s="474" t="s">
        <v>883</v>
      </c>
      <c r="O22" s="474" t="s">
        <v>884</v>
      </c>
      <c r="P22" s="474" t="str">
        <f t="shared" si="0"/>
        <v>RECEIVED QUANTITY OF INDIVIDUAL TANK</v>
      </c>
      <c r="Q22" s="474"/>
      <c r="R22" s="474"/>
      <c r="S22" s="474"/>
    </row>
    <row r="23" hidden="1" spans="7:19">
      <c r="G23" s="468" t="s">
        <v>885</v>
      </c>
      <c r="H23" s="468" t="s">
        <v>886</v>
      </c>
      <c r="I23" s="468" t="str">
        <f t="shared" si="2"/>
        <v>S.G.@60℉/60℉</v>
      </c>
      <c r="J23" s="476">
        <v>1952</v>
      </c>
      <c r="K23" s="474"/>
      <c r="L23" s="474"/>
      <c r="M23" s="474"/>
      <c r="N23" s="474" t="s">
        <v>887</v>
      </c>
      <c r="O23" s="474" t="s">
        <v>888</v>
      </c>
      <c r="P23" s="474" t="str">
        <f t="shared" si="0"/>
        <v>TOTAL QUANTITY OF INVENTORY</v>
      </c>
      <c r="Q23" s="474"/>
      <c r="R23" s="474"/>
      <c r="S23" s="474"/>
    </row>
    <row r="24" hidden="1" spans="7:16">
      <c r="G24" s="468" t="s">
        <v>889</v>
      </c>
      <c r="H24" s="468" t="s">
        <v>890</v>
      </c>
      <c r="I24" s="468" t="str">
        <f t="shared" si="2"/>
        <v>α60℉ (1/℉)</v>
      </c>
      <c r="J24" s="476">
        <v>1980</v>
      </c>
      <c r="K24" s="474"/>
      <c r="L24" s="474"/>
      <c r="M24" s="474"/>
      <c r="N24" s="474" t="s">
        <v>891</v>
      </c>
      <c r="O24" s="474" t="s">
        <v>892</v>
      </c>
      <c r="P24" s="474" t="str">
        <f t="shared" si="0"/>
        <v>TOTAL DELIVED QUANTITY</v>
      </c>
    </row>
    <row r="25" hidden="1" spans="7:16">
      <c r="G25" s="468" t="s">
        <v>893</v>
      </c>
      <c r="H25" s="468" t="s">
        <v>894</v>
      </c>
      <c r="I25" s="468" t="str">
        <f t="shared" si="2"/>
        <v>α60℉ (1/℃)</v>
      </c>
      <c r="J25" s="476">
        <v>2004</v>
      </c>
      <c r="K25" s="474"/>
      <c r="L25" s="474"/>
      <c r="M25" s="474"/>
      <c r="N25" s="474" t="s">
        <v>895</v>
      </c>
      <c r="O25" s="474" t="s">
        <v>896</v>
      </c>
      <c r="P25" s="474" t="str">
        <f t="shared" si="0"/>
        <v>TOTAL RECEIVED QUANTITY</v>
      </c>
    </row>
    <row r="26" hidden="1" spans="7:16">
      <c r="G26" s="468" t="s">
        <v>897</v>
      </c>
      <c r="H26" s="468" t="s">
        <v>898</v>
      </c>
      <c r="I26" s="468" t="str">
        <f t="shared" si="2"/>
        <v>Density@15℃ (kg/m³)</v>
      </c>
      <c r="J26" s="475" t="s">
        <v>899</v>
      </c>
      <c r="K26" s="474"/>
      <c r="L26" s="474"/>
      <c r="M26" s="474"/>
      <c r="N26" s="474" t="s">
        <v>900</v>
      </c>
      <c r="O26" s="474" t="s">
        <v>901</v>
      </c>
      <c r="P26" s="474" t="str">
        <f t="shared" si="0"/>
        <v>Net Standard Weight Delivered (in air)</v>
      </c>
    </row>
    <row r="27" hidden="1" spans="7:16">
      <c r="G27" s="468" t="s">
        <v>902</v>
      </c>
      <c r="H27" s="468" t="s">
        <v>903</v>
      </c>
      <c r="I27" s="468" t="str">
        <f t="shared" si="2"/>
        <v>Density@20℃ (kg/m³)</v>
      </c>
      <c r="J27" s="477" t="s">
        <v>904</v>
      </c>
      <c r="K27" s="474"/>
      <c r="L27" s="474"/>
      <c r="M27" s="474"/>
      <c r="N27" s="474" t="s">
        <v>905</v>
      </c>
      <c r="O27" s="474" t="s">
        <v>906</v>
      </c>
      <c r="P27" s="474" t="str">
        <f t="shared" si="0"/>
        <v>Net Standard Weight Received (in air)</v>
      </c>
    </row>
    <row r="28" hidden="1" spans="7:16">
      <c r="G28" s="468" t="s">
        <v>882</v>
      </c>
      <c r="H28" s="468" t="s">
        <v>907</v>
      </c>
      <c r="I28" s="468" t="str">
        <f t="shared" si="2"/>
        <v>API@60℉</v>
      </c>
      <c r="J28" s="475" t="s">
        <v>908</v>
      </c>
      <c r="K28" s="474"/>
      <c r="L28" s="474"/>
      <c r="M28" s="474"/>
      <c r="N28" s="474" t="s">
        <v>909</v>
      </c>
      <c r="O28" s="474" t="s">
        <v>910</v>
      </c>
      <c r="P28" s="474" t="str">
        <f t="shared" si="0"/>
        <v>MT</v>
      </c>
    </row>
    <row r="29" hidden="1" spans="7:16">
      <c r="G29" s="468" t="s">
        <v>885</v>
      </c>
      <c r="H29" s="468" t="s">
        <v>911</v>
      </c>
      <c r="I29" s="468" t="str">
        <f t="shared" si="2"/>
        <v>S.G.@60℉/60℉</v>
      </c>
      <c r="J29" s="475" t="s">
        <v>912</v>
      </c>
      <c r="K29" s="474"/>
      <c r="L29" s="474"/>
      <c r="M29" s="474"/>
      <c r="N29" s="474" t="s">
        <v>913</v>
      </c>
      <c r="O29" s="474" t="s">
        <v>914</v>
      </c>
      <c r="P29" s="474" t="str">
        <f t="shared" si="0"/>
        <v>LT</v>
      </c>
    </row>
    <row r="30" hidden="1" spans="7:16">
      <c r="G30" s="469" t="s">
        <v>915</v>
      </c>
      <c r="H30" s="469" t="s">
        <v>916</v>
      </c>
      <c r="I30" s="468" t="str">
        <f t="shared" si="2"/>
        <v>WCF MT(in air)/m³@15℃ [T-56]</v>
      </c>
      <c r="J30" s="475" t="s">
        <v>917</v>
      </c>
      <c r="K30" s="474"/>
      <c r="L30" s="474"/>
      <c r="M30" s="474"/>
      <c r="N30" s="474" t="s">
        <v>918</v>
      </c>
      <c r="O30" s="474" t="s">
        <v>919</v>
      </c>
      <c r="P30" s="474" t="str">
        <f t="shared" si="0"/>
        <v>Gross Standard Weight Delivered (in air)</v>
      </c>
    </row>
    <row r="31" hidden="1" spans="7:16">
      <c r="G31" s="469" t="s">
        <v>920</v>
      </c>
      <c r="H31" s="469" t="s">
        <v>921</v>
      </c>
      <c r="I31" s="468" t="str">
        <f t="shared" si="2"/>
        <v>WCF MT(in air)/m³@15℃</v>
      </c>
      <c r="J31" s="475" t="s">
        <v>922</v>
      </c>
      <c r="K31" s="474"/>
      <c r="L31" s="474"/>
      <c r="M31" s="474"/>
      <c r="N31" s="474" t="s">
        <v>923</v>
      </c>
      <c r="O31" s="474" t="s">
        <v>924</v>
      </c>
      <c r="P31" s="474" t="str">
        <f t="shared" si="0"/>
        <v>Gross Standard Weight Received (in air)</v>
      </c>
    </row>
    <row r="32" hidden="1" spans="7:16">
      <c r="G32" s="469" t="s">
        <v>925</v>
      </c>
      <c r="H32" s="469" t="s">
        <v>926</v>
      </c>
      <c r="I32" s="468" t="str">
        <f t="shared" si="2"/>
        <v>WCF MT(in air)/m³@20℃</v>
      </c>
      <c r="J32" s="474"/>
      <c r="K32" s="474"/>
      <c r="L32" s="474"/>
      <c r="M32" s="474"/>
      <c r="N32" s="474" t="s">
        <v>927</v>
      </c>
      <c r="O32" s="474" t="s">
        <v>928</v>
      </c>
      <c r="P32" s="474" t="str">
        <f t="shared" si="0"/>
        <v>Net Standard Weight (in air)</v>
      </c>
    </row>
    <row r="33" hidden="1" spans="7:16">
      <c r="G33" s="469" t="s">
        <v>196</v>
      </c>
      <c r="H33" s="469" t="s">
        <v>929</v>
      </c>
      <c r="I33" s="468" t="str">
        <f t="shared" si="2"/>
        <v>MT/LT [T-1] </v>
      </c>
      <c r="J33" s="474"/>
      <c r="K33" s="474"/>
      <c r="L33" s="474"/>
      <c r="M33" s="474"/>
      <c r="N33" s="474" t="s">
        <v>930</v>
      </c>
      <c r="O33" s="474" t="s">
        <v>931</v>
      </c>
      <c r="P33" s="474" t="str">
        <f t="shared" si="0"/>
        <v>Gross Standard Weight (in air)</v>
      </c>
    </row>
    <row r="34" hidden="1" spans="7:16">
      <c r="G34" s="469" t="s">
        <v>201</v>
      </c>
      <c r="H34" s="472" t="s">
        <v>932</v>
      </c>
      <c r="I34" s="468" t="str">
        <f t="shared" ref="I34:I65" si="3">IF(Report_Language=$G$1,G34,H34)</f>
        <v>MT/LT</v>
      </c>
      <c r="L34" s="474"/>
      <c r="M34" s="474"/>
      <c r="N34" s="474" t="s">
        <v>933</v>
      </c>
      <c r="O34" s="474" t="s">
        <v>934</v>
      </c>
      <c r="P34" s="474" t="str">
        <f t="shared" si="0"/>
        <v>Density@15℃</v>
      </c>
    </row>
    <row r="35" hidden="1" spans="7:16">
      <c r="G35" s="469" t="s">
        <v>935</v>
      </c>
      <c r="H35" s="469" t="s">
        <v>936</v>
      </c>
      <c r="I35" s="468" t="str">
        <f t="shared" si="3"/>
        <v>WCF MT(in air)/bbls@60℉ [T-13]</v>
      </c>
      <c r="L35" s="474"/>
      <c r="M35" s="474"/>
      <c r="N35" s="474" t="s">
        <v>937</v>
      </c>
      <c r="O35" s="474" t="s">
        <v>938</v>
      </c>
      <c r="P35" s="474" t="str">
        <f t="shared" si="0"/>
        <v>Density@20℃</v>
      </c>
    </row>
    <row r="36" hidden="1" spans="7:16">
      <c r="G36" s="469" t="s">
        <v>939</v>
      </c>
      <c r="H36" s="469" t="s">
        <v>940</v>
      </c>
      <c r="I36" s="468" t="str">
        <f t="shared" si="3"/>
        <v>WCF MT(in air)/bbls@60℉</v>
      </c>
      <c r="L36" s="474"/>
      <c r="M36" s="474"/>
      <c r="N36" s="474" t="s">
        <v>146</v>
      </c>
      <c r="O36" s="474" t="s">
        <v>941</v>
      </c>
      <c r="P36" s="474" t="str">
        <f t="shared" si="0"/>
        <v>API@60℉</v>
      </c>
    </row>
    <row r="37" hidden="1" spans="7:16">
      <c r="G37" s="468" t="s">
        <v>942</v>
      </c>
      <c r="H37" s="468" t="s">
        <v>943</v>
      </c>
      <c r="I37" s="468" t="str">
        <f t="shared" si="3"/>
        <v>Density@15℃ MT(Vacuo)/m³</v>
      </c>
      <c r="L37" s="474"/>
      <c r="M37" s="474"/>
      <c r="N37" s="474" t="s">
        <v>149</v>
      </c>
      <c r="O37" s="474" t="s">
        <v>944</v>
      </c>
      <c r="P37" s="474" t="str">
        <f t="shared" si="0"/>
        <v>S.G.@60℉/60℉</v>
      </c>
    </row>
    <row r="38" hidden="1" spans="7:16">
      <c r="G38" s="468" t="s">
        <v>945</v>
      </c>
      <c r="H38" s="468" t="s">
        <v>946</v>
      </c>
      <c r="I38" s="468" t="str">
        <f t="shared" si="3"/>
        <v>Density@20℃ MT(Vacuo)/m³</v>
      </c>
      <c r="J38" s="474"/>
      <c r="K38" s="474"/>
      <c r="L38" s="474"/>
      <c r="M38" s="474"/>
      <c r="N38" s="474" t="s">
        <v>947</v>
      </c>
      <c r="O38" s="474" t="s">
        <v>948</v>
      </c>
      <c r="P38" s="474" t="str">
        <f t="shared" si="0"/>
        <v>kg/m³</v>
      </c>
    </row>
    <row r="39" hidden="1" spans="7:16">
      <c r="G39" s="469" t="s">
        <v>949</v>
      </c>
      <c r="H39" s="469" t="s">
        <v>950</v>
      </c>
      <c r="I39" s="468" t="str">
        <f t="shared" si="3"/>
        <v>WCF MT(in vacuo)/bbls@60℉ [T-13]</v>
      </c>
      <c r="J39" s="474"/>
      <c r="K39" s="474"/>
      <c r="L39" s="474"/>
      <c r="M39" s="474"/>
      <c r="N39" s="474" t="s">
        <v>861</v>
      </c>
      <c r="O39" s="474" t="s">
        <v>861</v>
      </c>
      <c r="P39" s="474" t="str">
        <f t="shared" si="0"/>
        <v>°API</v>
      </c>
    </row>
    <row r="40" hidden="1" spans="7:16">
      <c r="G40" s="469" t="s">
        <v>951</v>
      </c>
      <c r="H40" s="469" t="s">
        <v>952</v>
      </c>
      <c r="I40" s="468" t="str">
        <f t="shared" si="3"/>
        <v>WCF MT(in vacuo)/bbls@60℉</v>
      </c>
      <c r="J40" s="474"/>
      <c r="K40" s="474"/>
      <c r="L40" s="474"/>
      <c r="M40" s="474"/>
      <c r="N40" s="474" t="s">
        <v>953</v>
      </c>
      <c r="O40" s="474" t="s">
        <v>954</v>
      </c>
      <c r="P40" s="474" t="str">
        <f t="shared" si="0"/>
        <v>Net Standard Volume</v>
      </c>
    </row>
    <row r="41" hidden="1" spans="7:16">
      <c r="G41" s="469" t="s">
        <v>196</v>
      </c>
      <c r="H41" s="469" t="s">
        <v>929</v>
      </c>
      <c r="I41" s="468" t="str">
        <f t="shared" si="3"/>
        <v>MT/LT [T-1] </v>
      </c>
      <c r="J41" s="474"/>
      <c r="K41" s="474"/>
      <c r="L41" s="474"/>
      <c r="M41" s="474"/>
      <c r="N41" s="474" t="s">
        <v>549</v>
      </c>
      <c r="O41" s="474" t="s">
        <v>550</v>
      </c>
      <c r="P41" s="474" t="str">
        <f t="shared" si="0"/>
        <v>Gross Standard Volume</v>
      </c>
    </row>
    <row r="42" hidden="1" spans="7:16">
      <c r="G42" s="469" t="s">
        <v>201</v>
      </c>
      <c r="H42" s="472" t="s">
        <v>932</v>
      </c>
      <c r="I42" s="468" t="str">
        <f t="shared" si="3"/>
        <v>MT/LT</v>
      </c>
      <c r="J42" s="474"/>
      <c r="K42" s="474"/>
      <c r="L42" s="474"/>
      <c r="M42" s="474"/>
      <c r="N42" s="474" t="s">
        <v>955</v>
      </c>
      <c r="O42" s="474" t="s">
        <v>956</v>
      </c>
      <c r="P42" s="474" t="str">
        <f t="shared" si="0"/>
        <v>Net Standard Volume Delivered</v>
      </c>
    </row>
    <row r="43" hidden="1" spans="7:16">
      <c r="G43" s="469" t="s">
        <v>957</v>
      </c>
      <c r="H43" s="469" t="s">
        <v>958</v>
      </c>
      <c r="I43" s="468" t="str">
        <f t="shared" si="3"/>
        <v>WCF LT(in air)/m³@15℃ [T-57]</v>
      </c>
      <c r="J43" s="474"/>
      <c r="K43" s="474"/>
      <c r="L43" s="474"/>
      <c r="M43" s="474"/>
      <c r="N43" s="474" t="s">
        <v>959</v>
      </c>
      <c r="O43" s="474" t="s">
        <v>960</v>
      </c>
      <c r="P43" s="474" t="str">
        <f t="shared" si="0"/>
        <v>Net Standard Volume Received</v>
      </c>
    </row>
    <row r="44" hidden="1" spans="7:16">
      <c r="G44" s="469" t="s">
        <v>961</v>
      </c>
      <c r="H44" s="469" t="s">
        <v>962</v>
      </c>
      <c r="I44" s="468" t="str">
        <f t="shared" si="3"/>
        <v>WCF LT(in air)/m³@15℃</v>
      </c>
      <c r="J44" s="474"/>
      <c r="K44" s="474"/>
      <c r="L44" s="474"/>
      <c r="M44" s="474"/>
      <c r="N44" s="474" t="s">
        <v>963</v>
      </c>
      <c r="O44" s="474" t="s">
        <v>964</v>
      </c>
      <c r="P44" s="474" t="str">
        <f t="shared" si="0"/>
        <v>Gross Standard Volume Delivered</v>
      </c>
    </row>
    <row r="45" hidden="1" spans="7:16">
      <c r="G45" s="469" t="s">
        <v>240</v>
      </c>
      <c r="H45" s="469" t="s">
        <v>965</v>
      </c>
      <c r="I45" s="468" t="str">
        <f t="shared" si="3"/>
        <v>LT/MT [T-1] </v>
      </c>
      <c r="J45" s="474"/>
      <c r="K45" s="474"/>
      <c r="L45" s="474"/>
      <c r="M45" s="474"/>
      <c r="N45" s="474" t="s">
        <v>966</v>
      </c>
      <c r="O45" s="474" t="s">
        <v>967</v>
      </c>
      <c r="P45" s="474" t="str">
        <f t="shared" si="0"/>
        <v>Gross Standard Volume Received</v>
      </c>
    </row>
    <row r="46" hidden="1" spans="7:16">
      <c r="G46" s="469" t="s">
        <v>244</v>
      </c>
      <c r="H46" s="469" t="s">
        <v>968</v>
      </c>
      <c r="I46" s="468" t="str">
        <f t="shared" si="3"/>
        <v>LT/MT</v>
      </c>
      <c r="J46" s="474"/>
      <c r="K46" s="474"/>
      <c r="L46" s="474"/>
      <c r="M46" s="474"/>
      <c r="N46" s="474" t="s">
        <v>969</v>
      </c>
      <c r="O46" s="474" t="s">
        <v>970</v>
      </c>
      <c r="P46" s="474" t="str">
        <f t="shared" si="0"/>
        <v>Gross Observed Volume Delivered</v>
      </c>
    </row>
    <row r="47" hidden="1" spans="7:16">
      <c r="G47" s="469" t="s">
        <v>971</v>
      </c>
      <c r="H47" s="469" t="s">
        <v>972</v>
      </c>
      <c r="I47" s="468" t="str">
        <f t="shared" si="3"/>
        <v>WCF LT(in air)/bbls@60℉ [T-29] </v>
      </c>
      <c r="J47" s="474"/>
      <c r="K47" s="474"/>
      <c r="L47" s="474"/>
      <c r="M47" s="474"/>
      <c r="N47" s="474" t="s">
        <v>973</v>
      </c>
      <c r="O47" s="474" t="s">
        <v>974</v>
      </c>
      <c r="P47" s="474" t="str">
        <f t="shared" si="0"/>
        <v>Gross Observed Volume Received</v>
      </c>
    </row>
    <row r="48" hidden="1" spans="7:16">
      <c r="G48" s="469" t="s">
        <v>975</v>
      </c>
      <c r="H48" s="469" t="s">
        <v>976</v>
      </c>
      <c r="I48" s="468" t="str">
        <f t="shared" si="3"/>
        <v>WCF LT(in air)/bbls@60℉</v>
      </c>
      <c r="J48" s="474"/>
      <c r="K48" s="474"/>
      <c r="L48" s="474"/>
      <c r="M48" s="474"/>
      <c r="N48" s="474" t="s">
        <v>545</v>
      </c>
      <c r="O48" s="474" t="s">
        <v>546</v>
      </c>
      <c r="P48" s="474" t="str">
        <f t="shared" si="0"/>
        <v>Gross Observed Volume</v>
      </c>
    </row>
    <row r="49" hidden="1" spans="7:16">
      <c r="G49" s="469" t="s">
        <v>977</v>
      </c>
      <c r="H49" s="469" t="s">
        <v>978</v>
      </c>
      <c r="I49" s="468" t="str">
        <f t="shared" si="3"/>
        <v>WCF LT(in air)/bbls@60℉ [T-11] </v>
      </c>
      <c r="J49" s="474"/>
      <c r="K49" s="474"/>
      <c r="L49" s="474"/>
      <c r="M49" s="474"/>
      <c r="N49" s="474" t="s">
        <v>979</v>
      </c>
      <c r="O49" s="474" t="s">
        <v>980</v>
      </c>
      <c r="P49" s="474" t="str">
        <f t="shared" si="0"/>
        <v>Pipeline volume</v>
      </c>
    </row>
    <row r="50" hidden="1" spans="7:16">
      <c r="G50" s="469" t="s">
        <v>975</v>
      </c>
      <c r="H50" s="469" t="s">
        <v>976</v>
      </c>
      <c r="I50" s="468" t="str">
        <f t="shared" si="3"/>
        <v>WCF LT(in air)/bbls@60℉</v>
      </c>
      <c r="J50" s="474"/>
      <c r="K50" s="474"/>
      <c r="L50" s="474"/>
      <c r="M50" s="474"/>
      <c r="N50" s="474" t="s">
        <v>981</v>
      </c>
      <c r="O50" s="474" t="s">
        <v>982</v>
      </c>
      <c r="P50" s="474" t="str">
        <f t="shared" si="0"/>
        <v>Correction for Temp. of Tank Shell</v>
      </c>
    </row>
    <row r="51" hidden="1" spans="7:16">
      <c r="G51" s="469" t="s">
        <v>983</v>
      </c>
      <c r="H51" s="469" t="s">
        <v>984</v>
      </c>
      <c r="I51" s="468" t="str">
        <f t="shared" si="3"/>
        <v>WCF LT(in vacuo)/m³@15℃ [T-57]</v>
      </c>
      <c r="J51" s="474"/>
      <c r="K51" s="474"/>
      <c r="L51" s="474"/>
      <c r="M51" s="474"/>
      <c r="N51" s="474" t="s">
        <v>985</v>
      </c>
      <c r="O51" s="474" t="s">
        <v>986</v>
      </c>
      <c r="P51" s="474" t="str">
        <f t="shared" si="0"/>
        <v>Floating Roof Correction</v>
      </c>
    </row>
    <row r="52" hidden="1" spans="7:16">
      <c r="G52" s="469" t="s">
        <v>987</v>
      </c>
      <c r="H52" s="469" t="s">
        <v>988</v>
      </c>
      <c r="I52" s="468" t="str">
        <f t="shared" si="3"/>
        <v>WCF LT(in vacuo)/m³@15℃</v>
      </c>
      <c r="J52" s="474"/>
      <c r="K52" s="474"/>
      <c r="L52" s="474"/>
      <c r="M52" s="474"/>
      <c r="N52" s="474" t="s">
        <v>539</v>
      </c>
      <c r="O52" s="474" t="s">
        <v>989</v>
      </c>
      <c r="P52" s="474" t="str">
        <f t="shared" si="0"/>
        <v>Total Observed Volume</v>
      </c>
    </row>
    <row r="53" hidden="1" spans="7:16">
      <c r="G53" s="469" t="s">
        <v>240</v>
      </c>
      <c r="H53" s="469" t="s">
        <v>965</v>
      </c>
      <c r="I53" s="468" t="str">
        <f t="shared" si="3"/>
        <v>LT/MT [T-1] </v>
      </c>
      <c r="J53" s="474"/>
      <c r="K53" s="474"/>
      <c r="L53" s="474"/>
      <c r="M53" s="474"/>
      <c r="N53" s="474" t="s">
        <v>990</v>
      </c>
      <c r="O53" s="474" t="s">
        <v>991</v>
      </c>
      <c r="P53" s="474" t="str">
        <f t="shared" si="0"/>
        <v>Free Water Volume</v>
      </c>
    </row>
    <row r="54" hidden="1" spans="7:16">
      <c r="G54" s="469" t="s">
        <v>244</v>
      </c>
      <c r="H54" s="469" t="s">
        <v>968</v>
      </c>
      <c r="I54" s="468" t="str">
        <f t="shared" si="3"/>
        <v>LT/MT</v>
      </c>
      <c r="J54" s="474"/>
      <c r="K54" s="474"/>
      <c r="L54" s="474"/>
      <c r="M54" s="474"/>
      <c r="N54" s="474" t="s">
        <v>992</v>
      </c>
      <c r="O54" s="474" t="s">
        <v>993</v>
      </c>
      <c r="P54" s="474" t="str">
        <f t="shared" si="0"/>
        <v>Liquid Temperature (Average)</v>
      </c>
    </row>
    <row r="55" hidden="1" spans="7:16">
      <c r="G55" s="469" t="s">
        <v>994</v>
      </c>
      <c r="H55" s="469" t="s">
        <v>995</v>
      </c>
      <c r="I55" s="468" t="str">
        <f t="shared" si="3"/>
        <v>WCF LT(in vacuo)/bbls@60℉ [T-29]</v>
      </c>
      <c r="J55" s="474"/>
      <c r="K55" s="474"/>
      <c r="L55" s="474"/>
      <c r="M55" s="474"/>
      <c r="N55" s="474" t="s">
        <v>996</v>
      </c>
      <c r="O55" s="474" t="s">
        <v>997</v>
      </c>
      <c r="P55" s="474" t="str">
        <f t="shared" si="0"/>
        <v>Ambient Air Temperature (Average)</v>
      </c>
    </row>
    <row r="56" hidden="1" spans="7:16">
      <c r="G56" s="469" t="s">
        <v>998</v>
      </c>
      <c r="H56" s="469" t="s">
        <v>999</v>
      </c>
      <c r="I56" s="468" t="str">
        <f t="shared" si="3"/>
        <v>WCF LT(in vacuo)/bbls@60℉</v>
      </c>
      <c r="J56" s="474"/>
      <c r="K56" s="474"/>
      <c r="L56" s="474"/>
      <c r="M56" s="474"/>
      <c r="N56" s="474" t="s">
        <v>524</v>
      </c>
      <c r="O56" s="474" t="s">
        <v>1000</v>
      </c>
      <c r="P56" s="474" t="str">
        <f t="shared" si="0"/>
        <v>Tank No.</v>
      </c>
    </row>
    <row r="57" hidden="1" spans="7:16">
      <c r="G57" s="469" t="s">
        <v>1001</v>
      </c>
      <c r="H57" s="469" t="s">
        <v>1002</v>
      </c>
      <c r="I57" s="468" t="str">
        <f t="shared" si="3"/>
        <v>WCF LT(in vacuo)/bbls@60℉ [T-11]</v>
      </c>
      <c r="J57" s="474"/>
      <c r="K57" s="474"/>
      <c r="L57" s="474"/>
      <c r="M57" s="474"/>
      <c r="N57" s="474" t="s">
        <v>1003</v>
      </c>
      <c r="O57" s="474" t="s">
        <v>1004</v>
      </c>
      <c r="P57" s="474" t="str">
        <f t="shared" si="0"/>
        <v>Open</v>
      </c>
    </row>
    <row r="58" hidden="1" spans="7:16">
      <c r="G58" s="469" t="s">
        <v>998</v>
      </c>
      <c r="H58" s="469" t="s">
        <v>999</v>
      </c>
      <c r="I58" s="468" t="str">
        <f t="shared" si="3"/>
        <v>WCF LT(in vacuo)/bbls@60℉</v>
      </c>
      <c r="J58" s="474"/>
      <c r="K58" s="474"/>
      <c r="L58" s="474"/>
      <c r="M58" s="474"/>
      <c r="N58" s="474" t="s">
        <v>1005</v>
      </c>
      <c r="O58" s="474" t="s">
        <v>1006</v>
      </c>
      <c r="P58" s="474" t="str">
        <f t="shared" si="0"/>
        <v>Close</v>
      </c>
    </row>
    <row r="59" hidden="1" spans="7:16">
      <c r="G59" s="473" t="s">
        <v>1007</v>
      </c>
      <c r="H59" s="472" t="s">
        <v>1008</v>
      </c>
      <c r="I59" s="468" t="str">
        <f t="shared" si="3"/>
        <v>bbls@60℉/m³@15℃ [T-52]</v>
      </c>
      <c r="J59" s="474"/>
      <c r="K59" s="474"/>
      <c r="L59" s="474"/>
      <c r="M59" s="474"/>
      <c r="N59" s="474" t="s">
        <v>208</v>
      </c>
      <c r="O59" s="474" t="s">
        <v>209</v>
      </c>
      <c r="P59" s="474" t="str">
        <f t="shared" ref="P59:P84" si="4">IF(Report_Language=$G$1,N59,O59)</f>
        <v>Date</v>
      </c>
    </row>
    <row r="60" hidden="1" spans="7:16">
      <c r="G60" s="473" t="s">
        <v>1009</v>
      </c>
      <c r="H60" s="472" t="s">
        <v>1010</v>
      </c>
      <c r="I60" s="468" t="str">
        <f t="shared" si="3"/>
        <v>bbls@60℉/m³@15℃</v>
      </c>
      <c r="J60" s="474"/>
      <c r="K60" s="474"/>
      <c r="L60" s="474"/>
      <c r="M60" s="474"/>
      <c r="N60" s="474" t="s">
        <v>212</v>
      </c>
      <c r="O60" s="474" t="s">
        <v>213</v>
      </c>
      <c r="P60" s="474" t="str">
        <f t="shared" si="4"/>
        <v>Time</v>
      </c>
    </row>
    <row r="61" hidden="1" spans="7:16">
      <c r="G61" s="469" t="s">
        <v>1011</v>
      </c>
      <c r="H61" s="469" t="s">
        <v>1012</v>
      </c>
      <c r="I61" s="468" t="str">
        <f t="shared" si="3"/>
        <v>bbls@60℉/MT(in air)</v>
      </c>
      <c r="J61" s="474"/>
      <c r="K61" s="474"/>
      <c r="L61" s="474"/>
      <c r="M61" s="474"/>
      <c r="N61" s="474" t="s">
        <v>1013</v>
      </c>
      <c r="O61" s="474" t="s">
        <v>1014</v>
      </c>
      <c r="P61" s="474" t="str">
        <f t="shared" si="4"/>
        <v>Reference Height</v>
      </c>
    </row>
    <row r="62" hidden="1" spans="7:16">
      <c r="G62" s="468" t="s">
        <v>294</v>
      </c>
      <c r="H62" s="468" t="s">
        <v>1015</v>
      </c>
      <c r="I62" s="468" t="str">
        <f t="shared" si="3"/>
        <v>Standard Volume</v>
      </c>
      <c r="J62" s="474"/>
      <c r="K62" s="474"/>
      <c r="L62" s="474"/>
      <c r="M62" s="474"/>
      <c r="N62" s="474" t="s">
        <v>1016</v>
      </c>
      <c r="O62" s="474" t="s">
        <v>1017</v>
      </c>
      <c r="P62" s="474" t="str">
        <f t="shared" si="4"/>
        <v>Observed Reference Height</v>
      </c>
    </row>
    <row r="63" hidden="1" spans="7:16">
      <c r="G63" s="468" t="s">
        <v>1018</v>
      </c>
      <c r="H63" s="468" t="s">
        <v>1019</v>
      </c>
      <c r="I63" s="468" t="str">
        <f t="shared" si="3"/>
        <v>m³@15℃/m³@20℃ [1/VCF(15℃)]</v>
      </c>
      <c r="J63" s="474"/>
      <c r="K63" s="474"/>
      <c r="L63" s="474"/>
      <c r="M63" s="474"/>
      <c r="N63" s="474" t="s">
        <v>1020</v>
      </c>
      <c r="O63" s="474" t="s">
        <v>1021</v>
      </c>
      <c r="P63" s="474" t="str">
        <f t="shared" si="4"/>
        <v>Floating Roof weight (in air)</v>
      </c>
    </row>
    <row r="64" hidden="1" spans="7:16">
      <c r="G64" s="473" t="s">
        <v>1022</v>
      </c>
      <c r="H64" s="472" t="s">
        <v>1023</v>
      </c>
      <c r="I64" s="468" t="str">
        <f t="shared" si="3"/>
        <v>m³@15℃/bbls@60℉ [T-22]</v>
      </c>
      <c r="J64" s="474"/>
      <c r="K64" s="474"/>
      <c r="L64" s="474"/>
      <c r="M64" s="474"/>
      <c r="N64" s="474" t="s">
        <v>495</v>
      </c>
      <c r="O64" s="474" t="s">
        <v>495</v>
      </c>
      <c r="P64" s="474" t="str">
        <f t="shared" si="4"/>
        <v>℃</v>
      </c>
    </row>
    <row r="65" hidden="1" spans="7:16">
      <c r="G65" s="473" t="s">
        <v>1024</v>
      </c>
      <c r="H65" s="469" t="s">
        <v>1025</v>
      </c>
      <c r="I65" s="468" t="str">
        <f t="shared" si="3"/>
        <v>m³@15℃/bbls@60℉</v>
      </c>
      <c r="J65" s="474"/>
      <c r="K65" s="474"/>
      <c r="L65" s="474"/>
      <c r="M65" s="474"/>
      <c r="N65" s="474" t="s">
        <v>496</v>
      </c>
      <c r="O65" s="474" t="s">
        <v>496</v>
      </c>
      <c r="P65" s="474" t="str">
        <f t="shared" si="4"/>
        <v>℉</v>
      </c>
    </row>
    <row r="66" hidden="1" spans="7:16">
      <c r="G66" s="473" t="s">
        <v>1026</v>
      </c>
      <c r="H66" s="472" t="s">
        <v>1027</v>
      </c>
      <c r="I66" s="468" t="str">
        <f t="shared" ref="I66:I85" si="5">IF(Report_Language=$G$1,G66,H66)</f>
        <v>m³@15℃/bbls@60℉ [T-4] </v>
      </c>
      <c r="J66" s="474"/>
      <c r="K66" s="474"/>
      <c r="L66" s="474"/>
      <c r="M66" s="474"/>
      <c r="N66" s="474" t="s">
        <v>1028</v>
      </c>
      <c r="O66" s="474" t="s">
        <v>1029</v>
      </c>
      <c r="P66" s="474" t="str">
        <f t="shared" si="4"/>
        <v>Thermal expansion coefficient α60℉ </v>
      </c>
    </row>
    <row r="67" hidden="1" spans="7:16">
      <c r="G67" s="473" t="s">
        <v>1024</v>
      </c>
      <c r="H67" s="472" t="s">
        <v>1030</v>
      </c>
      <c r="I67" s="468" t="str">
        <f t="shared" si="5"/>
        <v>m³@15℃/bbls@60℉</v>
      </c>
      <c r="J67" s="474"/>
      <c r="K67" s="474"/>
      <c r="L67" s="474"/>
      <c r="M67" s="474"/>
      <c r="N67" s="5" t="s">
        <v>682</v>
      </c>
      <c r="O67" s="483" t="s">
        <v>683</v>
      </c>
      <c r="P67" s="474" t="str">
        <f t="shared" si="4"/>
        <v>S&amp;W</v>
      </c>
    </row>
    <row r="68" hidden="1" spans="7:16">
      <c r="G68" s="469" t="s">
        <v>1031</v>
      </c>
      <c r="H68" s="469" t="s">
        <v>1032</v>
      </c>
      <c r="I68" s="468" t="str">
        <f t="shared" si="5"/>
        <v>m³@20℃/m³@15℃ [1/VCF(20℃)]</v>
      </c>
      <c r="J68" s="474"/>
      <c r="K68" s="474"/>
      <c r="L68" s="474"/>
      <c r="M68" s="474"/>
      <c r="N68" s="5" t="s">
        <v>1033</v>
      </c>
      <c r="O68" s="5" t="s">
        <v>1033</v>
      </c>
      <c r="P68" s="474" t="str">
        <f t="shared" si="4"/>
        <v>%(V/V)</v>
      </c>
    </row>
    <row r="69" hidden="1" spans="7:16">
      <c r="G69" s="469" t="s">
        <v>1034</v>
      </c>
      <c r="H69" s="469" t="s">
        <v>1035</v>
      </c>
      <c r="I69" s="468" t="str">
        <f t="shared" si="5"/>
        <v>m³@20℃/bbls@60℉ [T-4] x VCF(59℉)/VCF(68℉)</v>
      </c>
      <c r="J69" s="474"/>
      <c r="K69" s="474"/>
      <c r="L69" s="474"/>
      <c r="M69" s="474"/>
      <c r="N69" s="5" t="s">
        <v>1036</v>
      </c>
      <c r="O69" s="5" t="s">
        <v>1036</v>
      </c>
      <c r="P69" s="474" t="str">
        <f t="shared" si="4"/>
        <v>%(m/m)</v>
      </c>
    </row>
    <row r="70" hidden="1" spans="7:16">
      <c r="G70" s="469" t="s">
        <v>1037</v>
      </c>
      <c r="H70" s="469" t="s">
        <v>1038</v>
      </c>
      <c r="I70" s="468" t="str">
        <f t="shared" si="5"/>
        <v>m³@20℃/bbls@60℉</v>
      </c>
      <c r="J70" s="474"/>
      <c r="K70" s="474"/>
      <c r="L70" s="474"/>
      <c r="M70" s="474"/>
      <c r="N70" s="474" t="s">
        <v>489</v>
      </c>
      <c r="O70" s="474" t="s">
        <v>490</v>
      </c>
      <c r="P70" s="474" t="str">
        <f t="shared" si="4"/>
        <v>m</v>
      </c>
    </row>
    <row r="71" hidden="1" spans="7:16">
      <c r="G71" s="469" t="s">
        <v>1039</v>
      </c>
      <c r="H71" s="469" t="s">
        <v>1040</v>
      </c>
      <c r="I71" s="468" t="str">
        <f t="shared" si="5"/>
        <v>m³@20℃/bbls@60℉ [T-22] x VCF(59℉)/VCF(68℉)</v>
      </c>
      <c r="J71" s="474"/>
      <c r="K71" s="474"/>
      <c r="L71" s="474"/>
      <c r="M71" s="474"/>
      <c r="N71" s="474" t="s">
        <v>1041</v>
      </c>
      <c r="O71" s="474" t="s">
        <v>1042</v>
      </c>
      <c r="P71" s="474" t="str">
        <f t="shared" si="4"/>
        <v>Construction of Tank Shell</v>
      </c>
    </row>
    <row r="72" hidden="1" spans="7:16">
      <c r="G72" s="469" t="s">
        <v>1037</v>
      </c>
      <c r="H72" s="469" t="s">
        <v>1038</v>
      </c>
      <c r="I72" s="468" t="str">
        <f t="shared" si="5"/>
        <v>m³@20℃/bbls@60℉</v>
      </c>
      <c r="J72" s="474"/>
      <c r="K72" s="474"/>
      <c r="L72" s="474"/>
      <c r="M72" s="474"/>
      <c r="N72" s="474" t="s">
        <v>1043</v>
      </c>
      <c r="O72" s="474" t="s">
        <v>1044</v>
      </c>
      <c r="P72" s="474" t="str">
        <f t="shared" si="4"/>
        <v>Insulated</v>
      </c>
    </row>
    <row r="73" hidden="1" spans="7:16">
      <c r="G73" s="469" t="s">
        <v>1045</v>
      </c>
      <c r="H73" s="472" t="s">
        <v>1046</v>
      </c>
      <c r="I73" s="468" t="str">
        <f t="shared" si="5"/>
        <v>m³@30℃/m³@15℃ [1/VCF(30℃)]</v>
      </c>
      <c r="J73" s="474"/>
      <c r="K73" s="474"/>
      <c r="L73" s="474"/>
      <c r="M73" s="474"/>
      <c r="N73" s="474" t="s">
        <v>1047</v>
      </c>
      <c r="O73" s="474" t="s">
        <v>1048</v>
      </c>
      <c r="P73" s="474" t="str">
        <f t="shared" si="4"/>
        <v>Non-Insulated</v>
      </c>
    </row>
    <row r="74" hidden="1" spans="7:16">
      <c r="G74" s="469" t="s">
        <v>1049</v>
      </c>
      <c r="H74" s="472" t="s">
        <v>1050</v>
      </c>
      <c r="I74" s="468" t="str">
        <f t="shared" si="5"/>
        <v>m³@30℃/m³@20℃ [1/VCF(30℃)]</v>
      </c>
      <c r="J74" s="474"/>
      <c r="K74" s="474"/>
      <c r="L74" s="474"/>
      <c r="M74" s="474"/>
      <c r="N74" s="474" t="s">
        <v>1051</v>
      </c>
      <c r="O74" s="474" t="s">
        <v>1052</v>
      </c>
      <c r="P74" s="474" t="str">
        <f t="shared" si="4"/>
        <v>Tank Shell Reference Temperature</v>
      </c>
    </row>
    <row r="75" hidden="1" spans="7:16">
      <c r="G75" s="469" t="s">
        <v>1053</v>
      </c>
      <c r="H75" s="469" t="s">
        <v>1054</v>
      </c>
      <c r="I75" s="468" t="str">
        <f t="shared" si="5"/>
        <v>m³@30℃/bbls@60℉ [T-4] x VCF(59℉)/VCF(86℉)</v>
      </c>
      <c r="J75" s="474"/>
      <c r="K75" s="474"/>
      <c r="L75" s="474"/>
      <c r="M75" s="474"/>
      <c r="N75" s="474" t="s">
        <v>1055</v>
      </c>
      <c r="O75" s="474" t="s">
        <v>1056</v>
      </c>
      <c r="P75" s="474" t="str">
        <f t="shared" si="4"/>
        <v>Gauge Method</v>
      </c>
    </row>
    <row r="76" hidden="1" spans="7:16">
      <c r="G76" s="469" t="s">
        <v>1057</v>
      </c>
      <c r="H76" s="469" t="s">
        <v>1058</v>
      </c>
      <c r="I76" s="468" t="str">
        <f t="shared" si="5"/>
        <v>m³@30℃/bbls@60℉</v>
      </c>
      <c r="J76" s="474"/>
      <c r="K76" s="474"/>
      <c r="L76" s="474"/>
      <c r="M76" s="474"/>
      <c r="N76" s="474" t="s">
        <v>1059</v>
      </c>
      <c r="O76" s="474" t="s">
        <v>1060</v>
      </c>
      <c r="P76" s="474" t="str">
        <f t="shared" si="4"/>
        <v>Ullage</v>
      </c>
    </row>
    <row r="77" hidden="1" spans="7:16">
      <c r="G77" s="469" t="s">
        <v>1061</v>
      </c>
      <c r="H77" s="469" t="s">
        <v>1062</v>
      </c>
      <c r="I77" s="468" t="str">
        <f t="shared" si="5"/>
        <v>m³@30℃/bbls@60℉ [T-22] x VCF(59℉)/VCF(86℉)</v>
      </c>
      <c r="J77" s="474"/>
      <c r="K77" s="474"/>
      <c r="L77" s="474"/>
      <c r="M77" s="474"/>
      <c r="N77" s="474" t="s">
        <v>1063</v>
      </c>
      <c r="O77" s="474" t="s">
        <v>1064</v>
      </c>
      <c r="P77" s="474" t="str">
        <f t="shared" si="4"/>
        <v>Innage</v>
      </c>
    </row>
    <row r="78" hidden="1" spans="7:16">
      <c r="G78" s="469" t="s">
        <v>1057</v>
      </c>
      <c r="H78" s="469" t="s">
        <v>1058</v>
      </c>
      <c r="I78" s="468" t="str">
        <f t="shared" si="5"/>
        <v>m³@30℃/bbls@60℉</v>
      </c>
      <c r="J78" s="474"/>
      <c r="K78" s="474"/>
      <c r="L78" s="474"/>
      <c r="M78" s="474"/>
      <c r="N78" s="474" t="s">
        <v>1065</v>
      </c>
      <c r="O78" s="474" t="s">
        <v>1066</v>
      </c>
      <c r="P78" s="474" t="str">
        <f t="shared" si="4"/>
        <v>Linear Coefficient of Expansion of TSh</v>
      </c>
    </row>
    <row r="79" hidden="1" spans="7:16">
      <c r="G79" s="479" t="s">
        <v>353</v>
      </c>
      <c r="H79" s="479" t="s">
        <v>1067</v>
      </c>
      <c r="I79" s="468" t="str">
        <f t="shared" si="5"/>
        <v>US Gallon/US Barrels [T-1]</v>
      </c>
      <c r="J79" s="474"/>
      <c r="K79" s="474"/>
      <c r="L79" s="474"/>
      <c r="M79" s="474"/>
      <c r="N79" s="474" t="s">
        <v>1068</v>
      </c>
      <c r="O79" s="474" t="s">
        <v>1069</v>
      </c>
      <c r="P79" s="474" t="str">
        <f t="shared" si="4"/>
        <v>Critical Zone</v>
      </c>
    </row>
    <row r="80" hidden="1" spans="7:16">
      <c r="G80" s="480" t="s">
        <v>1070</v>
      </c>
      <c r="H80" s="480" t="s">
        <v>1071</v>
      </c>
      <c r="I80" s="468" t="str">
        <f t="shared" si="5"/>
        <v>Terminal Representative</v>
      </c>
      <c r="J80" s="474"/>
      <c r="K80" s="474"/>
      <c r="L80" s="474"/>
      <c r="M80" s="474"/>
      <c r="N80" s="474" t="s">
        <v>1072</v>
      </c>
      <c r="O80" s="474" t="s">
        <v>1073</v>
      </c>
      <c r="P80" s="474" t="str">
        <f t="shared" si="4"/>
        <v>Upper Limit</v>
      </c>
    </row>
    <row r="81" hidden="1" spans="7:16">
      <c r="G81" s="480" t="s">
        <v>357</v>
      </c>
      <c r="H81" s="480" t="s">
        <v>1074</v>
      </c>
      <c r="I81" s="468" t="str">
        <f t="shared" si="5"/>
        <v>CCIC Surveyor</v>
      </c>
      <c r="J81" s="474"/>
      <c r="K81" s="474"/>
      <c r="L81" s="474"/>
      <c r="M81" s="474"/>
      <c r="N81" s="474" t="s">
        <v>1075</v>
      </c>
      <c r="O81" s="474" t="s">
        <v>1076</v>
      </c>
      <c r="P81" s="474" t="str">
        <f t="shared" si="4"/>
        <v>Lower Limit</v>
      </c>
    </row>
    <row r="82" hidden="1" spans="7:16">
      <c r="G82" s="480" t="s">
        <v>359</v>
      </c>
      <c r="H82" s="480" t="s">
        <v>1077</v>
      </c>
      <c r="I82" s="468" t="str">
        <f t="shared" si="5"/>
        <v>Name</v>
      </c>
      <c r="J82" s="474"/>
      <c r="K82" s="474"/>
      <c r="L82" s="474"/>
      <c r="M82" s="474"/>
      <c r="N82" s="474" t="s">
        <v>1078</v>
      </c>
      <c r="O82" s="474" t="s">
        <v>1079</v>
      </c>
      <c r="P82" s="474" t="str">
        <f t="shared" si="4"/>
        <v>Gauge Unit :</v>
      </c>
    </row>
    <row r="83" hidden="1" spans="7:16">
      <c r="G83" s="480" t="s">
        <v>361</v>
      </c>
      <c r="H83" s="480" t="s">
        <v>1080</v>
      </c>
      <c r="I83" s="468" t="str">
        <f t="shared" si="5"/>
        <v>Signature</v>
      </c>
      <c r="J83" s="474"/>
      <c r="K83" s="474"/>
      <c r="L83" s="474"/>
      <c r="M83" s="474"/>
      <c r="N83" s="474" t="s">
        <v>1081</v>
      </c>
      <c r="O83" s="474" t="s">
        <v>1082</v>
      </c>
      <c r="P83" s="474" t="str">
        <f t="shared" si="4"/>
        <v>Gauge Value</v>
      </c>
    </row>
    <row r="84" hidden="1" spans="7:16">
      <c r="G84" s="480" t="s">
        <v>363</v>
      </c>
      <c r="H84" s="480" t="s">
        <v>1083</v>
      </c>
      <c r="I84" s="468" t="str">
        <f t="shared" si="5"/>
        <v>Authorized Signature (S)</v>
      </c>
      <c r="J84" s="474"/>
      <c r="K84" s="474"/>
      <c r="L84" s="474"/>
      <c r="M84" s="474"/>
      <c r="N84" s="474" t="s">
        <v>1084</v>
      </c>
      <c r="O84" s="474" t="s">
        <v>1085</v>
      </c>
      <c r="P84" s="474" t="str">
        <f t="shared" si="4"/>
        <v>Water Dip</v>
      </c>
    </row>
    <row r="85" hidden="1" spans="7:16">
      <c r="G85" s="480" t="s">
        <v>74</v>
      </c>
      <c r="H85" s="480" t="s">
        <v>1086</v>
      </c>
      <c r="I85" s="468" t="str">
        <f t="shared" si="5"/>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85" s="474"/>
      <c r="K85" s="474"/>
      <c r="L85" s="474"/>
      <c r="M85" s="474"/>
      <c r="N85" s="474"/>
      <c r="O85" s="474"/>
      <c r="P85" s="474"/>
    </row>
    <row r="86" hidden="1" spans="7:16">
      <c r="G86" s="480"/>
      <c r="H86" s="480"/>
      <c r="I86" s="468"/>
      <c r="J86" s="474"/>
      <c r="K86" s="474"/>
      <c r="L86" s="474"/>
      <c r="M86" s="474"/>
      <c r="N86" s="474"/>
      <c r="O86" s="474"/>
      <c r="P86" s="474"/>
    </row>
    <row r="87" hidden="1" spans="7:16">
      <c r="G87" s="480"/>
      <c r="H87" s="480"/>
      <c r="I87" s="468"/>
      <c r="J87" s="474"/>
      <c r="K87" s="474"/>
      <c r="L87" s="474"/>
      <c r="M87" s="474"/>
      <c r="N87" s="474"/>
      <c r="O87" s="474"/>
      <c r="P87" s="474"/>
    </row>
    <row r="88" hidden="1" spans="1:1">
      <c r="A88" t="str">
        <f t="shared" ref="A88:A161" si="6">IF(OR(B88="隐藏",C88="隐藏",D88="隐藏",E88="隐藏"),"隐藏","显示")</f>
        <v>显示</v>
      </c>
    </row>
    <row r="89" spans="1:17">
      <c r="A89" t="str">
        <f t="shared" si="6"/>
        <v>显示</v>
      </c>
      <c r="B89" t="s">
        <v>1087</v>
      </c>
      <c r="H89" s="47"/>
      <c r="I89" s="47"/>
      <c r="J89" s="47"/>
      <c r="K89" s="47"/>
      <c r="L89" s="47"/>
      <c r="O89" s="46" t="str">
        <f>I2</f>
        <v>JOB NO.</v>
      </c>
      <c r="P89" s="80" t="str">
        <f>单号</f>
        <v>这就是爱</v>
      </c>
      <c r="Q89" s="47"/>
    </row>
    <row r="90" spans="1:17">
      <c r="A90" t="str">
        <f t="shared" si="6"/>
        <v>显示</v>
      </c>
      <c r="C90" t="s">
        <v>1088</v>
      </c>
      <c r="H90" s="47"/>
      <c r="I90" s="47"/>
      <c r="J90" s="47"/>
      <c r="K90" s="47"/>
      <c r="L90" s="47"/>
      <c r="O90" s="46" t="str">
        <f>I3</f>
        <v>DATE OF REPORT</v>
      </c>
      <c r="P90" s="80" t="str">
        <f>报告日期</f>
        <v>YYYY-MM-DD</v>
      </c>
      <c r="Q90" s="47"/>
    </row>
    <row r="91" ht="8.4" customHeight="1" spans="1:17">
      <c r="A91" t="str">
        <f t="shared" si="6"/>
        <v>显示</v>
      </c>
      <c r="D91" t="s">
        <v>1089</v>
      </c>
      <c r="H91" s="47"/>
      <c r="I91" s="47"/>
      <c r="J91" s="47"/>
      <c r="K91" s="47"/>
      <c r="L91" s="47"/>
      <c r="M91" s="47"/>
      <c r="N91" s="47"/>
      <c r="O91" s="47"/>
      <c r="P91" s="47"/>
      <c r="Q91" s="47"/>
    </row>
    <row r="92" ht="7.8" customHeight="1" spans="1:17">
      <c r="A92" t="str">
        <f t="shared" si="6"/>
        <v>显示</v>
      </c>
      <c r="E92" t="s">
        <v>1090</v>
      </c>
      <c r="H92" s="47"/>
      <c r="I92" s="47"/>
      <c r="J92" s="47"/>
      <c r="K92" s="47"/>
      <c r="L92" s="47"/>
      <c r="M92" s="47"/>
      <c r="N92" s="47"/>
      <c r="O92" s="47"/>
      <c r="P92" s="47"/>
      <c r="Q92" s="47"/>
    </row>
    <row r="93" spans="1:17">
      <c r="A93" t="str">
        <f t="shared" si="6"/>
        <v>显示</v>
      </c>
      <c r="B93" s="376" t="str">
        <f>IF(隐藏客户名称,"隐藏","显示")</f>
        <v>显示</v>
      </c>
      <c r="C93" s="481" t="b">
        <v>0</v>
      </c>
      <c r="H93" s="73" t="str">
        <f>S9</f>
        <v>SHORE TANK MEASUREMENT REPORT</v>
      </c>
      <c r="I93" s="73"/>
      <c r="J93" s="73"/>
      <c r="K93" s="74"/>
      <c r="L93" s="120" t="str">
        <f>I4</f>
        <v>APPLICANT</v>
      </c>
      <c r="M93" s="76"/>
      <c r="N93" s="88" t="str">
        <f>客户名</f>
        <v>PETROCHINA </v>
      </c>
      <c r="O93" s="89"/>
      <c r="P93" s="89"/>
      <c r="Q93" s="90"/>
    </row>
    <row r="94" ht="13.8" customHeight="1" spans="1:17">
      <c r="A94" t="str">
        <f t="shared" si="6"/>
        <v>显示</v>
      </c>
      <c r="B94" s="376" t="str">
        <f>IF(隐藏客户编号,"隐藏","显示")</f>
        <v>显示</v>
      </c>
      <c r="C94" s="481" t="b">
        <v>0</v>
      </c>
      <c r="H94" s="73"/>
      <c r="I94" s="73"/>
      <c r="J94" s="73"/>
      <c r="K94" s="74"/>
      <c r="L94" s="120" t="str">
        <f t="shared" ref="L94:L99" si="7">I5</f>
        <v>CLIENT'S REF. NO.</v>
      </c>
      <c r="M94" s="76"/>
      <c r="N94" s="91" t="str">
        <f>客户编号</f>
        <v>说也说不清楚</v>
      </c>
      <c r="O94" s="92"/>
      <c r="P94" s="92"/>
      <c r="Q94" s="93"/>
    </row>
    <row r="95" ht="13.8" customHeight="1" spans="1:17">
      <c r="A95" t="str">
        <f t="shared" si="6"/>
        <v>显示</v>
      </c>
      <c r="B95" s="376"/>
      <c r="C95" s="481"/>
      <c r="H95" s="73"/>
      <c r="I95" s="73"/>
      <c r="J95" s="73"/>
      <c r="K95" s="74"/>
      <c r="L95" s="120" t="str">
        <f t="shared" si="7"/>
        <v>COMMODITY</v>
      </c>
      <c r="M95" s="76"/>
      <c r="N95" s="91" t="str">
        <f>品名</f>
        <v>Crude Oil6658</v>
      </c>
      <c r="O95" s="92"/>
      <c r="P95" s="92"/>
      <c r="Q95" s="93"/>
    </row>
    <row r="96" ht="13.8" customHeight="1" spans="1:17">
      <c r="A96" t="str">
        <f t="shared" si="6"/>
        <v>显示</v>
      </c>
      <c r="B96" s="376" t="str">
        <f>IF(隐藏船名,"隐藏","显示")</f>
        <v>显示</v>
      </c>
      <c r="C96" s="481" t="b">
        <v>0</v>
      </c>
      <c r="H96" s="73"/>
      <c r="I96" s="73"/>
      <c r="J96" s="73"/>
      <c r="K96" s="74"/>
      <c r="L96" s="120" t="str">
        <f t="shared" si="7"/>
        <v>VESSEL</v>
      </c>
      <c r="M96" s="76"/>
      <c r="N96" s="91" t="str">
        <f>船名</f>
        <v>MT ZhenYuanefdasdf</v>
      </c>
      <c r="O96" s="92"/>
      <c r="P96" s="92"/>
      <c r="Q96" s="93"/>
    </row>
    <row r="97" ht="13.8" customHeight="1" spans="1:17">
      <c r="A97" t="str">
        <f t="shared" si="6"/>
        <v>显示</v>
      </c>
      <c r="B97" s="376" t="str">
        <f>IF(隐藏港口名称,"隐藏","显示")</f>
        <v>显示</v>
      </c>
      <c r="C97" s="481" t="b">
        <v>0</v>
      </c>
      <c r="H97" s="73"/>
      <c r="I97" s="73"/>
      <c r="J97" s="73"/>
      <c r="K97" s="74"/>
      <c r="L97" s="120" t="str">
        <f t="shared" si="7"/>
        <v>PORT</v>
      </c>
      <c r="M97" s="76"/>
      <c r="N97" s="91" t="str">
        <f>港口名</f>
        <v>Dalian, Chinafsadfa</v>
      </c>
      <c r="O97" s="92"/>
      <c r="P97" s="92"/>
      <c r="Q97" s="93"/>
    </row>
    <row r="98" ht="13.8" customHeight="1" spans="1:17">
      <c r="A98" t="str">
        <f t="shared" si="6"/>
        <v>显示</v>
      </c>
      <c r="B98" s="376" t="str">
        <f>IF(隐藏油库名称,"隐藏","显示")</f>
        <v>显示</v>
      </c>
      <c r="C98" s="481" t="b">
        <v>0</v>
      </c>
      <c r="H98" s="73"/>
      <c r="I98" s="73"/>
      <c r="J98" s="73"/>
      <c r="K98" s="74"/>
      <c r="L98" s="120" t="str">
        <f t="shared" si="7"/>
        <v>TERMINAL</v>
      </c>
      <c r="M98" s="76"/>
      <c r="N98" s="91" t="str">
        <f>油库名</f>
        <v>Dalian Chinaoil, China1325415</v>
      </c>
      <c r="O98" s="92"/>
      <c r="P98" s="92"/>
      <c r="Q98" s="93"/>
    </row>
    <row r="99" ht="13.8" customHeight="1" spans="1:17">
      <c r="A99" t="str">
        <f t="shared" si="6"/>
        <v>显示</v>
      </c>
      <c r="H99" s="73"/>
      <c r="I99" s="73"/>
      <c r="J99" s="73"/>
      <c r="K99" s="74"/>
      <c r="L99" s="120" t="str">
        <f t="shared" si="7"/>
        <v>DATE OF INSPECTION</v>
      </c>
      <c r="M99" s="76"/>
      <c r="N99" s="91" t="str">
        <f>检验日期</f>
        <v>YYYY-MM-DD To YYYY-MM-DD</v>
      </c>
      <c r="O99" s="92"/>
      <c r="P99" s="92"/>
      <c r="Q99" s="93"/>
    </row>
    <row r="100" spans="1:17">
      <c r="A100" t="str">
        <f t="shared" si="6"/>
        <v>显示</v>
      </c>
      <c r="H100" s="47"/>
      <c r="I100" s="47"/>
      <c r="J100" s="47"/>
      <c r="K100" s="47"/>
      <c r="L100" s="47"/>
      <c r="M100" s="47"/>
      <c r="N100" s="47"/>
      <c r="O100" s="47"/>
      <c r="P100" s="47"/>
      <c r="Q100" s="47"/>
    </row>
    <row r="101" ht="12.45" customHeight="1" spans="1:17">
      <c r="A101" t="str">
        <f t="shared" si="6"/>
        <v>显示</v>
      </c>
      <c r="D101" s="482" t="str">
        <f>IF(计算方法=Inventory,"隐藏","显示")</f>
        <v>显示</v>
      </c>
      <c r="H101" s="80"/>
      <c r="I101" s="47"/>
      <c r="J101" s="47"/>
      <c r="K101" s="83"/>
      <c r="L101" s="484" t="str">
        <f>$P$56</f>
        <v>Tank No.</v>
      </c>
      <c r="M101" s="485" t="s">
        <v>1091</v>
      </c>
      <c r="N101" s="484" t="str">
        <f>$P$56</f>
        <v>Tank No.</v>
      </c>
      <c r="O101" s="485" t="s">
        <v>1091</v>
      </c>
      <c r="P101" s="484" t="str">
        <f>$P$56</f>
        <v>Tank No.</v>
      </c>
      <c r="Q101" s="485" t="s">
        <v>1091</v>
      </c>
    </row>
    <row r="102" ht="12.45" customHeight="1" spans="1:17">
      <c r="A102" t="str">
        <f t="shared" si="6"/>
        <v>显示</v>
      </c>
      <c r="D102" s="482" t="str">
        <f>IF(计算方法=Inventory,"隐藏","显示")</f>
        <v>显示</v>
      </c>
      <c r="H102" s="80"/>
      <c r="I102" s="47"/>
      <c r="J102" s="95"/>
      <c r="K102" s="83"/>
      <c r="L102" s="486" t="str">
        <f>$P$57</f>
        <v>Open</v>
      </c>
      <c r="M102" s="487" t="str">
        <f>$P$58</f>
        <v>Close</v>
      </c>
      <c r="N102" s="486" t="str">
        <f>$P$57</f>
        <v>Open</v>
      </c>
      <c r="O102" s="487" t="str">
        <f>$P$58</f>
        <v>Close</v>
      </c>
      <c r="P102" s="486" t="str">
        <f>$P$57</f>
        <v>Open</v>
      </c>
      <c r="Q102" s="487" t="str">
        <f>$P$58</f>
        <v>Close</v>
      </c>
    </row>
    <row r="103" ht="12.45" hidden="1" customHeight="1" spans="1:17">
      <c r="A103" t="str">
        <f t="shared" si="6"/>
        <v>隐藏</v>
      </c>
      <c r="D103" s="482" t="str">
        <f>IF(计算方法=Inventory,"显示","隐藏")</f>
        <v>隐藏</v>
      </c>
      <c r="H103" s="47"/>
      <c r="I103" s="47"/>
      <c r="J103" s="47"/>
      <c r="K103" s="83"/>
      <c r="L103" s="488" t="str">
        <f t="shared" ref="L103:Q103" si="8">$P$56</f>
        <v>Tank No.</v>
      </c>
      <c r="M103" s="488" t="str">
        <f t="shared" si="8"/>
        <v>Tank No.</v>
      </c>
      <c r="N103" s="488" t="str">
        <f t="shared" si="8"/>
        <v>Tank No.</v>
      </c>
      <c r="O103" s="488" t="str">
        <f t="shared" si="8"/>
        <v>Tank No.</v>
      </c>
      <c r="P103" s="488" t="str">
        <f t="shared" si="8"/>
        <v>Tank No.</v>
      </c>
      <c r="Q103" s="488" t="str">
        <f t="shared" si="8"/>
        <v>Tank No.</v>
      </c>
    </row>
    <row r="104" ht="12.45" hidden="1" customHeight="1" spans="1:17">
      <c r="A104" t="str">
        <f t="shared" si="6"/>
        <v>隐藏</v>
      </c>
      <c r="D104" s="482" t="str">
        <f>IF(计算方法=Inventory,"显示","隐藏")</f>
        <v>隐藏</v>
      </c>
      <c r="H104" s="47"/>
      <c r="I104" s="47"/>
      <c r="J104" s="47"/>
      <c r="K104" s="83"/>
      <c r="L104" s="489" t="s">
        <v>1091</v>
      </c>
      <c r="M104" s="489" t="s">
        <v>1091</v>
      </c>
      <c r="N104" s="489"/>
      <c r="O104" s="489"/>
      <c r="P104" s="489"/>
      <c r="Q104" s="489"/>
    </row>
    <row r="105" ht="12.45" customHeight="1" spans="1:17">
      <c r="A105" t="str">
        <f t="shared" si="6"/>
        <v>显示</v>
      </c>
      <c r="H105" s="80" t="str">
        <f>P59</f>
        <v>Date</v>
      </c>
      <c r="I105" s="47"/>
      <c r="J105" s="47"/>
      <c r="K105" s="83"/>
      <c r="L105" s="490">
        <v>44188</v>
      </c>
      <c r="M105" s="490">
        <v>44189</v>
      </c>
      <c r="N105" s="490"/>
      <c r="O105" s="490"/>
      <c r="P105" s="490"/>
      <c r="Q105" s="490"/>
    </row>
    <row r="106" ht="12.45" customHeight="1" spans="1:17">
      <c r="A106" t="str">
        <f t="shared" si="6"/>
        <v>显示</v>
      </c>
      <c r="H106" s="80" t="str">
        <f>P60</f>
        <v>Time</v>
      </c>
      <c r="I106" s="47"/>
      <c r="J106" s="47"/>
      <c r="K106" s="83"/>
      <c r="L106" s="491" t="s">
        <v>1093</v>
      </c>
      <c r="M106" s="491" t="s">
        <v>1094</v>
      </c>
      <c r="N106" s="491"/>
      <c r="O106" s="491"/>
      <c r="P106" s="491"/>
      <c r="Q106" s="491"/>
    </row>
    <row r="107" ht="12.45" customHeight="1" spans="1:17">
      <c r="A107" t="str">
        <f t="shared" si="6"/>
        <v>显示</v>
      </c>
      <c r="H107" s="80" t="str">
        <f>M7</f>
        <v>Density@15℃</v>
      </c>
      <c r="I107" s="47"/>
      <c r="K107" s="83" t="str">
        <f>IF(OR($H$107=$P$34,$H$107=$P$35),$M$8,IF($H$107=$P$36,$M$9,"--"))</f>
        <v>g/cm³</v>
      </c>
      <c r="L107" s="492">
        <v>0.9876</v>
      </c>
      <c r="M107" s="492">
        <v>0.9866</v>
      </c>
      <c r="N107" s="492"/>
      <c r="O107" s="492"/>
      <c r="P107" s="492"/>
      <c r="Q107" s="492"/>
    </row>
    <row r="108" ht="12.45" hidden="1" customHeight="1" spans="1:17">
      <c r="A108" t="str">
        <f t="shared" si="6"/>
        <v>隐藏</v>
      </c>
      <c r="B108" s="482" t="str">
        <f>IF(Cargo_type="C","显示","隐藏")</f>
        <v>隐藏</v>
      </c>
      <c r="H108" s="80" t="str">
        <f>P66</f>
        <v>Thermal expansion coefficient α60℉ </v>
      </c>
      <c r="I108" s="47"/>
      <c r="J108" s="47"/>
      <c r="K108" s="83" t="str">
        <f>IF(OR(vcfTab="T-54C",vcfTab="T-60C"),"1/℃","1/℉")</f>
        <v>1/℉</v>
      </c>
      <c r="L108" s="493">
        <v>0.00046</v>
      </c>
      <c r="M108" s="493">
        <v>0.00051</v>
      </c>
      <c r="N108" s="493"/>
      <c r="O108" s="493"/>
      <c r="P108" s="493"/>
      <c r="Q108" s="493"/>
    </row>
    <row r="109" ht="12.45" customHeight="1" spans="1:17">
      <c r="A109" t="str">
        <f t="shared" si="6"/>
        <v>显示</v>
      </c>
      <c r="H109" s="80" t="str">
        <f>$P$67</f>
        <v>S&amp;W</v>
      </c>
      <c r="I109" s="47"/>
      <c r="J109" s="46"/>
      <c r="K109" s="492" t="s">
        <v>1033</v>
      </c>
      <c r="L109" s="494">
        <v>0.235</v>
      </c>
      <c r="M109" s="494">
        <v>0.325</v>
      </c>
      <c r="N109" s="494"/>
      <c r="O109" s="494"/>
      <c r="P109" s="494"/>
      <c r="Q109" s="494"/>
    </row>
    <row r="110" ht="12.45" hidden="1" customHeight="1" spans="1:17">
      <c r="A110" t="str">
        <f t="shared" si="6"/>
        <v>隐藏</v>
      </c>
      <c r="B110" t="s">
        <v>1096</v>
      </c>
      <c r="H110" s="80" t="str">
        <f>罐壁材质</f>
        <v>Construction of Tank Shell</v>
      </c>
      <c r="I110" s="47"/>
      <c r="J110" s="46"/>
      <c r="K110" s="492"/>
      <c r="L110" s="492" t="s">
        <v>1043</v>
      </c>
      <c r="M110" s="492" t="s">
        <v>1043</v>
      </c>
      <c r="N110" s="492" t="s">
        <v>1044</v>
      </c>
      <c r="O110" s="492" t="s">
        <v>1044</v>
      </c>
      <c r="P110" s="492"/>
      <c r="Q110" s="492"/>
    </row>
    <row r="111" ht="12.45" hidden="1" customHeight="1" spans="1:17">
      <c r="A111" t="str">
        <f t="shared" si="6"/>
        <v>隐藏</v>
      </c>
      <c r="B111" t="s">
        <v>1096</v>
      </c>
      <c r="H111" s="80" t="str">
        <f>岸罐标定温度</f>
        <v>Tank Shell Reference Temperature</v>
      </c>
      <c r="I111" s="47"/>
      <c r="J111" s="46"/>
      <c r="K111" s="492" t="s">
        <v>495</v>
      </c>
      <c r="L111" s="492">
        <v>20</v>
      </c>
      <c r="M111" s="492">
        <v>20</v>
      </c>
      <c r="N111" s="492">
        <v>20</v>
      </c>
      <c r="O111" s="492">
        <v>20</v>
      </c>
      <c r="P111" s="492"/>
      <c r="Q111" s="492"/>
    </row>
    <row r="112" ht="12.45" hidden="1" customHeight="1" spans="1:17">
      <c r="A112" t="str">
        <f t="shared" si="6"/>
        <v>隐藏</v>
      </c>
      <c r="B112" t="s">
        <v>1096</v>
      </c>
      <c r="H112" s="80" t="str">
        <f>罐壁线胀系数</f>
        <v>Linear Coefficient of Expansion of TSh</v>
      </c>
      <c r="I112" s="47"/>
      <c r="J112" s="46"/>
      <c r="K112" s="492" t="s">
        <v>1097</v>
      </c>
      <c r="L112" s="492">
        <v>1.12e-5</v>
      </c>
      <c r="M112" s="492">
        <v>1.12e-5</v>
      </c>
      <c r="N112" s="492">
        <v>1.22e-5</v>
      </c>
      <c r="O112" s="492">
        <v>1.22e-5</v>
      </c>
      <c r="P112" s="492"/>
      <c r="Q112" s="492"/>
    </row>
    <row r="113" ht="12.45" customHeight="1" spans="1:17">
      <c r="A113" t="str">
        <f t="shared" si="6"/>
        <v>显示</v>
      </c>
      <c r="D113" s="482" t="str">
        <f>IF(计算方法=Inventory,"隐藏","显示")</f>
        <v>显示</v>
      </c>
      <c r="H113" s="80" t="str">
        <f>P61</f>
        <v>Reference Height</v>
      </c>
      <c r="I113" s="47"/>
      <c r="J113" s="47"/>
      <c r="K113" s="83" t="str">
        <f>P70</f>
        <v>m</v>
      </c>
      <c r="L113" s="495">
        <v>23.345</v>
      </c>
      <c r="M113" s="496"/>
      <c r="N113" s="495"/>
      <c r="O113" s="496"/>
      <c r="P113" s="495"/>
      <c r="Q113" s="496"/>
    </row>
    <row r="114" ht="12.45" hidden="1" customHeight="1" spans="1:17">
      <c r="A114" t="str">
        <f t="shared" si="6"/>
        <v>隐藏</v>
      </c>
      <c r="D114" s="482" t="str">
        <f>IF(计算方法=Inventory,"显示","隐藏")</f>
        <v>隐藏</v>
      </c>
      <c r="H114" s="80" t="str">
        <f>H113</f>
        <v>Reference Height</v>
      </c>
      <c r="I114" s="47"/>
      <c r="J114" s="47"/>
      <c r="K114" s="83" t="str">
        <f>K113</f>
        <v>m</v>
      </c>
      <c r="L114" s="494">
        <v>21.655</v>
      </c>
      <c r="M114" s="494">
        <v>21.655</v>
      </c>
      <c r="N114" s="494"/>
      <c r="O114" s="494"/>
      <c r="P114" s="494"/>
      <c r="Q114" s="494"/>
    </row>
    <row r="115" ht="12.45" customHeight="1" spans="1:17">
      <c r="A115" t="str">
        <f t="shared" si="6"/>
        <v>显示</v>
      </c>
      <c r="H115" s="80" t="str">
        <f>P62</f>
        <v>Observed Reference Height</v>
      </c>
      <c r="I115" s="47"/>
      <c r="J115" s="47"/>
      <c r="K115" s="83" t="str">
        <f>K114</f>
        <v>m</v>
      </c>
      <c r="L115" s="494">
        <v>21.664</v>
      </c>
      <c r="M115" s="494">
        <v>21.674</v>
      </c>
      <c r="N115" s="494"/>
      <c r="O115" s="494"/>
      <c r="P115" s="494"/>
      <c r="Q115" s="494"/>
    </row>
    <row r="116" ht="12.45" customHeight="1" spans="1:17">
      <c r="A116" t="str">
        <f t="shared" si="6"/>
        <v>显示</v>
      </c>
      <c r="D116" s="482" t="str">
        <f>IF(计算方法=Inventory,"隐藏","显示")</f>
        <v>显示</v>
      </c>
      <c r="H116" s="80" t="str">
        <f>P63</f>
        <v>Floating Roof weight (in air)</v>
      </c>
      <c r="I116" s="47"/>
      <c r="J116" s="47"/>
      <c r="K116" s="83" t="str">
        <f>P28</f>
        <v>MT</v>
      </c>
      <c r="L116" s="495">
        <v>508.342</v>
      </c>
      <c r="M116" s="496"/>
      <c r="N116" s="495"/>
      <c r="O116" s="496"/>
      <c r="P116" s="495"/>
      <c r="Q116" s="496"/>
    </row>
    <row r="117" ht="12.45" hidden="1" customHeight="1" spans="1:23">
      <c r="A117" t="str">
        <f t="shared" si="6"/>
        <v>隐藏</v>
      </c>
      <c r="D117" s="482" t="str">
        <f>IF(计算方法=Inventory,"显示","隐藏")</f>
        <v>隐藏</v>
      </c>
      <c r="H117" s="80" t="str">
        <f>H116</f>
        <v>Floating Roof weight (in air)</v>
      </c>
      <c r="K117" s="83" t="str">
        <f>K116</f>
        <v>MT</v>
      </c>
      <c r="L117" s="494">
        <v>0</v>
      </c>
      <c r="M117" s="494">
        <v>0</v>
      </c>
      <c r="N117" s="494"/>
      <c r="O117" s="494"/>
      <c r="P117" s="494"/>
      <c r="Q117" s="494"/>
      <c r="W117" s="50"/>
    </row>
    <row r="118" ht="12.45" hidden="1" customHeight="1" spans="1:23">
      <c r="A118" t="str">
        <f t="shared" si="6"/>
        <v>隐藏</v>
      </c>
      <c r="B118" t="s">
        <v>1096</v>
      </c>
      <c r="D118" s="482"/>
      <c r="H118" s="80" t="str">
        <f>非计量区间&amp;" "&amp;下限</f>
        <v>Critical Zone Lower Limit</v>
      </c>
      <c r="K118" s="83" t="str">
        <f>K113</f>
        <v>m</v>
      </c>
      <c r="L118" s="494">
        <v>1.68</v>
      </c>
      <c r="M118" s="494">
        <v>1.68</v>
      </c>
      <c r="N118" s="494"/>
      <c r="O118" s="494"/>
      <c r="P118" s="494"/>
      <c r="Q118" s="494"/>
      <c r="W118" s="50"/>
    </row>
    <row r="119" ht="12.45" hidden="1" customHeight="1" spans="1:17">
      <c r="A119" t="str">
        <f t="shared" si="6"/>
        <v>隐藏</v>
      </c>
      <c r="B119" t="s">
        <v>1096</v>
      </c>
      <c r="H119" s="80" t="str">
        <f>非计量区间&amp;" "&amp;上限</f>
        <v>Critical Zone Upper Limit</v>
      </c>
      <c r="K119" s="83" t="str">
        <f>K113</f>
        <v>m</v>
      </c>
      <c r="L119" s="494">
        <v>1.9</v>
      </c>
      <c r="M119" s="494">
        <v>1.9</v>
      </c>
      <c r="N119" s="494"/>
      <c r="O119" s="494"/>
      <c r="P119" s="494"/>
      <c r="Q119" s="494"/>
    </row>
    <row r="120" ht="12.45" hidden="1" customHeight="1" spans="1:17">
      <c r="A120" t="str">
        <f t="shared" si="6"/>
        <v>隐藏</v>
      </c>
      <c r="B120" t="s">
        <v>1096</v>
      </c>
      <c r="H120" s="80" t="str">
        <f>检尺方法</f>
        <v>Gauge Method</v>
      </c>
      <c r="K120" s="83"/>
      <c r="L120" s="492" t="s">
        <v>1063</v>
      </c>
      <c r="M120" s="492" t="s">
        <v>1063</v>
      </c>
      <c r="N120" s="492"/>
      <c r="O120" s="492"/>
      <c r="P120" s="492"/>
      <c r="Q120" s="492"/>
    </row>
    <row r="121" ht="12.45" hidden="1" customHeight="1" spans="1:23">
      <c r="A121" t="str">
        <f t="shared" si="6"/>
        <v>隐藏</v>
      </c>
      <c r="B121" t="s">
        <v>1096</v>
      </c>
      <c r="H121" s="80" t="str">
        <f>检尺结果</f>
        <v>Gauge Value</v>
      </c>
      <c r="I121" s="47"/>
      <c r="K121" s="83" t="str">
        <f>K113</f>
        <v>m</v>
      </c>
      <c r="L121" s="494">
        <v>5.76</v>
      </c>
      <c r="M121" s="494">
        <v>9.87</v>
      </c>
      <c r="N121" s="494"/>
      <c r="O121" s="494"/>
      <c r="P121" s="494"/>
      <c r="Q121" s="494"/>
      <c r="W121" s="50"/>
    </row>
    <row r="122" ht="12.45" customHeight="1" spans="1:17">
      <c r="A122" t="str">
        <f t="shared" si="6"/>
        <v>显示</v>
      </c>
      <c r="H122" s="80" t="str">
        <f>S8</f>
        <v>Liquid Level</v>
      </c>
      <c r="I122" s="47"/>
      <c r="J122" s="47"/>
      <c r="K122" s="83" t="str">
        <f>K113</f>
        <v>m</v>
      </c>
      <c r="L122" s="497">
        <f>IF(L121="","",IF(计算方法=Inventory,IF(L120=空距,L114-L121,L121),IF(L120=空距,L113-L121,L121)))</f>
        <v>5.76</v>
      </c>
      <c r="M122" s="497">
        <f>IF(M121="","",IF(计算方法=Inventory,IF(M120=空距,M114-M121,M121),IF(M120=空距,L113-M121,M121)))</f>
        <v>9.87</v>
      </c>
      <c r="N122" s="497" t="str">
        <f>IF(N121="","",IF(计算方法=Inventory,IF(N120=空距,N114-N121,N121),IF(N120=空距,N113-N121,N121)))</f>
        <v/>
      </c>
      <c r="O122" s="497" t="str">
        <f>IF(O121="","",IF(计算方法=Inventory,IF(O120=空距,O114-O121,O121),IF(O120=空距,N113-O121,O121)))</f>
        <v/>
      </c>
      <c r="P122" s="497" t="str">
        <f>IF(P121="","",IF(计算方法=Inventory,IF(P120=空距,P114-P121,P121),IF(P120=空距,P113-P121,P121)))</f>
        <v/>
      </c>
      <c r="Q122" s="497" t="str">
        <f>IF(Q121="","",IF(计算方法=Inventory,IF(Q120=空距,Q114-Q121,Q121),IF(Q120=空距,P113-Q121,Q121)))</f>
        <v/>
      </c>
    </row>
    <row r="123" ht="12.45" customHeight="1" spans="1:17">
      <c r="A123" t="str">
        <f t="shared" si="6"/>
        <v>显示</v>
      </c>
      <c r="H123" s="80" t="str">
        <f>水高</f>
        <v>Water Dip</v>
      </c>
      <c r="I123" s="47"/>
      <c r="J123" s="47"/>
      <c r="K123" s="83" t="str">
        <f>K113</f>
        <v>m</v>
      </c>
      <c r="L123" s="494">
        <v>0.987</v>
      </c>
      <c r="M123" s="494">
        <v>0.877</v>
      </c>
      <c r="N123" s="494"/>
      <c r="O123" s="494"/>
      <c r="P123" s="494"/>
      <c r="Q123" s="494"/>
    </row>
    <row r="124" ht="12.45" customHeight="1" spans="1:17">
      <c r="A124" t="str">
        <f t="shared" si="6"/>
        <v>显示</v>
      </c>
      <c r="H124" s="80" t="str">
        <f>油温</f>
        <v>Liquid Temperature (Average)</v>
      </c>
      <c r="I124" s="47"/>
      <c r="J124" s="47"/>
      <c r="K124" s="492" t="s">
        <v>495</v>
      </c>
      <c r="L124" s="492">
        <v>15</v>
      </c>
      <c r="M124" s="492">
        <v>15</v>
      </c>
      <c r="N124" s="492"/>
      <c r="O124" s="492"/>
      <c r="P124" s="492"/>
      <c r="Q124" s="492"/>
    </row>
    <row r="125" ht="12.45" customHeight="1" spans="1:17">
      <c r="A125" t="str">
        <f t="shared" si="6"/>
        <v>显示</v>
      </c>
      <c r="H125" s="80" t="str">
        <f>环温</f>
        <v>Ambient Air Temperature (Average)</v>
      </c>
      <c r="I125" s="47"/>
      <c r="J125" s="47"/>
      <c r="K125" s="83" t="str">
        <f>油温单位</f>
        <v>℃</v>
      </c>
      <c r="L125" s="492">
        <v>15</v>
      </c>
      <c r="M125" s="492">
        <v>15</v>
      </c>
      <c r="N125" s="492"/>
      <c r="O125" s="492"/>
      <c r="P125" s="492"/>
      <c r="Q125" s="492"/>
    </row>
    <row r="126" ht="12.45" hidden="1" customHeight="1" spans="1:17">
      <c r="A126" t="str">
        <f t="shared" si="6"/>
        <v>隐藏</v>
      </c>
      <c r="B126" t="s">
        <v>1096</v>
      </c>
      <c r="H126" s="80" t="str">
        <f>静压力体积</f>
        <v>Table Volume of Static Pressure Corr.</v>
      </c>
      <c r="I126" s="47"/>
      <c r="J126" s="47"/>
      <c r="K126" s="83" t="str">
        <f t="shared" ref="K126:K132" si="9">表体积单位</f>
        <v>Bbls</v>
      </c>
      <c r="L126" s="494">
        <v>0</v>
      </c>
      <c r="M126" s="494">
        <v>0</v>
      </c>
      <c r="N126" s="494"/>
      <c r="O126" s="494"/>
      <c r="P126" s="494"/>
      <c r="Q126" s="494"/>
    </row>
    <row r="127" ht="12.45" hidden="1" customHeight="1" spans="1:17">
      <c r="A127" t="str">
        <f t="shared" si="6"/>
        <v>隐藏</v>
      </c>
      <c r="B127" t="s">
        <v>1096</v>
      </c>
      <c r="H127" s="80" t="s">
        <v>1098</v>
      </c>
      <c r="I127" s="47"/>
      <c r="J127" s="47"/>
      <c r="K127" s="83" t="str">
        <f t="shared" si="9"/>
        <v>Bbls</v>
      </c>
      <c r="L127" s="494">
        <v>0</v>
      </c>
      <c r="M127" s="494">
        <v>10000</v>
      </c>
      <c r="N127" s="494"/>
      <c r="O127" s="494"/>
      <c r="P127" s="494"/>
      <c r="Q127" s="494"/>
    </row>
    <row r="128" ht="12.45" hidden="1" customHeight="1" spans="1:17">
      <c r="A128" t="str">
        <f t="shared" si="6"/>
        <v>隐藏</v>
      </c>
      <c r="B128" t="s">
        <v>1096</v>
      </c>
      <c r="H128" s="80" t="s">
        <v>1099</v>
      </c>
      <c r="I128" s="47"/>
      <c r="J128" s="47"/>
      <c r="K128" s="83" t="str">
        <f t="shared" si="9"/>
        <v>Bbls</v>
      </c>
      <c r="L128" s="492">
        <v>0</v>
      </c>
      <c r="M128" s="492"/>
      <c r="N128" s="492"/>
      <c r="O128" s="492"/>
      <c r="P128" s="492"/>
      <c r="Q128" s="492"/>
    </row>
    <row r="129" ht="12.45" hidden="1" customHeight="1" spans="1:17">
      <c r="A129" t="str">
        <f t="shared" si="6"/>
        <v>隐藏</v>
      </c>
      <c r="B129" t="s">
        <v>1096</v>
      </c>
      <c r="H129" s="80" t="s">
        <v>1100</v>
      </c>
      <c r="I129" s="47"/>
      <c r="J129" s="47"/>
      <c r="K129" s="83" t="str">
        <f t="shared" si="9"/>
        <v>Bbls</v>
      </c>
      <c r="L129" s="492">
        <v>1000</v>
      </c>
      <c r="M129" s="492"/>
      <c r="N129" s="492"/>
      <c r="O129" s="492"/>
      <c r="P129" s="492"/>
      <c r="Q129" s="492"/>
    </row>
    <row r="130" ht="12.45" hidden="1" customHeight="1" spans="1:17">
      <c r="A130" t="str">
        <f t="shared" si="6"/>
        <v>隐藏</v>
      </c>
      <c r="B130" t="s">
        <v>1096</v>
      </c>
      <c r="H130" s="80" t="s">
        <v>1101</v>
      </c>
      <c r="I130" s="47"/>
      <c r="J130" s="47"/>
      <c r="K130" s="83" t="str">
        <f t="shared" si="9"/>
        <v>Bbls</v>
      </c>
      <c r="L130" s="500">
        <f t="shared" ref="L130:Q130" si="10">L127+L128+L129</f>
        <v>1000</v>
      </c>
      <c r="M130" s="500">
        <f t="shared" si="10"/>
        <v>10000</v>
      </c>
      <c r="N130" s="500">
        <f t="shared" si="10"/>
        <v>0</v>
      </c>
      <c r="O130" s="500">
        <f t="shared" si="10"/>
        <v>0</v>
      </c>
      <c r="P130" s="500">
        <f t="shared" si="10"/>
        <v>0</v>
      </c>
      <c r="Q130" s="500">
        <f t="shared" si="10"/>
        <v>0</v>
      </c>
    </row>
    <row r="131" ht="12.45" customHeight="1" spans="1:17">
      <c r="A131" t="str">
        <f t="shared" si="6"/>
        <v>显示</v>
      </c>
      <c r="H131" s="80" t="str">
        <f>P52</f>
        <v>Total Observed Volume</v>
      </c>
      <c r="I131" s="47"/>
      <c r="J131" s="47"/>
      <c r="K131" s="83" t="str">
        <f t="shared" si="9"/>
        <v>Bbls</v>
      </c>
      <c r="L131" s="501">
        <f>IF(L122="","",IF(L111=15,ROUND(To_Density15C_by_AnyDen(Cargo_type,Den_type,L107,L108)*L126/1000+L130,3),IF(L111=20,ROUND(To_Density20C_by_AnyDen(Cargo_type,Den_type,L107,L108)*L126/1000+L130,3),ROUND(To_SG60F_by_AnyDen(Cargo_type,Den_type,L107,L108)*L126+L130,2))))</f>
        <v>1000</v>
      </c>
      <c r="M131" s="501">
        <f>IF(M122="","",IF(M111=15,ROUND(To_Density15C_by_AnyDen(Cargo_type,Den_type,M107,M108)*M126/1000+M130,3),IF(M111=20,ROUND(To_Density20C_by_AnyDen(Cargo_type,Den_type,M107,M108)*M126/1000+M130,3),ROUND(To_SG60F_by_AnyDen(Cargo_type,Den_type,M107,M108)*M126+M130,2))))</f>
        <v>10000</v>
      </c>
      <c r="N131" s="501" t="str">
        <f>IF(N122="","",IF(N111=15,ROUND(To_Density15C_by_AnyDen(Cargo_type,Den_type,N107,N108)*N126/1000+N130,3),IF(N111=20,ROUND(To_Density20C_by_AnyDen(Cargo_type,Den_type,N107,N108)*N126/1000+N130,3),ROUND(To_SG60F_by_AnyDen(Cargo_type,Den_type,N107,N108)*N126+N130,2))))</f>
        <v/>
      </c>
      <c r="O131" s="501" t="str">
        <f>IF(O122="","",IF(O111=15,ROUND(To_Density15C_by_AnyDen(Cargo_type,Den_type,O107,O108)*O126/1000+O130,3),IF(O111=20,ROUND(To_Density20C_by_AnyDen(Cargo_type,Den_type,O107,O108)*O126/1000+O130,3),ROUND(To_SG60F_by_AnyDen(Cargo_type,Den_type,O107,O108)*O126+O130,2))))</f>
        <v/>
      </c>
      <c r="P131" s="501" t="str">
        <f>IF(P122="","",IF(P111=15,ROUND(To_Density15C_by_AnyDen(Cargo_type,Den_type,P107,P108)*P126/1000+P130,3),IF(P111=20,ROUND(To_Density20C_by_AnyDen(Cargo_type,Den_type,P107,P108)*P126/1000+P130,3),ROUND(To_SG60F_by_AnyDen(Cargo_type,Den_type,P107,P108)*P126+P130,2))))</f>
        <v/>
      </c>
      <c r="Q131" s="501" t="str">
        <f>IF(Q122="","",IF(Q111=15,ROUND(To_Density15C_by_AnyDen(Cargo_type,Den_type,Q107,Q108)*Q126/1000+Q130,3),IF(Q111=20,ROUND(To_Density20C_by_AnyDen(Cargo_type,Den_type,Q107,Q108)*Q126/1000+Q130,3),ROUND(To_SG60F_by_AnyDen(Cargo_type,Den_type,Q107,Q108)*Q126+Q130,2))))</f>
        <v/>
      </c>
    </row>
    <row r="132" ht="12.45" customHeight="1" spans="1:17">
      <c r="A132" t="str">
        <f t="shared" si="6"/>
        <v>显示</v>
      </c>
      <c r="H132" s="80" t="str">
        <f>P53</f>
        <v>Free Water Volume</v>
      </c>
      <c r="I132" s="47"/>
      <c r="J132" s="47"/>
      <c r="K132" s="83" t="str">
        <f t="shared" si="9"/>
        <v>Bbls</v>
      </c>
      <c r="L132" s="492">
        <v>0</v>
      </c>
      <c r="M132" s="492">
        <v>0</v>
      </c>
      <c r="N132" s="492"/>
      <c r="O132" s="492"/>
      <c r="P132" s="492"/>
      <c r="Q132" s="492"/>
    </row>
    <row r="133" ht="12.45" hidden="1" customHeight="1" spans="1:17">
      <c r="A133" t="str">
        <f t="shared" si="6"/>
        <v>隐藏</v>
      </c>
      <c r="B133" t="s">
        <v>1096</v>
      </c>
      <c r="H133" s="80" t="s">
        <v>1102</v>
      </c>
      <c r="I133" s="47"/>
      <c r="J133" s="47"/>
      <c r="K133" s="83" t="str">
        <f>油温单位</f>
        <v>℃</v>
      </c>
      <c r="L133" s="502">
        <f t="shared" ref="L133:Q133" si="11">IF(L110=保温,L124,(7*L124+L125)/8)</f>
        <v>15</v>
      </c>
      <c r="M133" s="502">
        <f t="shared" si="11"/>
        <v>15</v>
      </c>
      <c r="N133" s="502">
        <f t="shared" si="11"/>
        <v>0</v>
      </c>
      <c r="O133" s="502">
        <f t="shared" si="11"/>
        <v>0</v>
      </c>
      <c r="P133" s="502">
        <f t="shared" si="11"/>
        <v>0</v>
      </c>
      <c r="Q133" s="502">
        <f t="shared" si="11"/>
        <v>0</v>
      </c>
    </row>
    <row r="134" ht="12.45" hidden="1" customHeight="1" spans="1:17">
      <c r="A134" t="str">
        <f t="shared" si="6"/>
        <v>隐藏</v>
      </c>
      <c r="B134" t="s">
        <v>1096</v>
      </c>
      <c r="H134" s="80" t="s">
        <v>1103</v>
      </c>
      <c r="I134" s="47"/>
      <c r="J134" s="47"/>
      <c r="K134" s="83"/>
      <c r="L134" s="83">
        <f>IF(油温单位=$P$64,L133,TempF_to_TempC(L133))</f>
        <v>15</v>
      </c>
      <c r="M134" s="83">
        <f>IF(油温单位=$P$64,M133,TempF_to_TempC(M133))</f>
        <v>15</v>
      </c>
      <c r="N134" s="83">
        <f>IF(油温单位=$P$64,N133,TempF_to_TempC(N133))</f>
        <v>0</v>
      </c>
      <c r="O134" s="83">
        <f>IF(油温单位=$P$64,O133,TempF_to_TempC(O133))</f>
        <v>0</v>
      </c>
      <c r="P134" s="83">
        <f>IF(油温单位=$P$64,P133,TempF_to_TempC(P133))</f>
        <v>0</v>
      </c>
      <c r="Q134" s="83">
        <f>IF(油温单位=$P$64,Q133,TempF_to_TempC(Q133))</f>
        <v>0</v>
      </c>
    </row>
    <row r="135" ht="12.45" hidden="1" customHeight="1" spans="1:17">
      <c r="A135" t="str">
        <f t="shared" si="6"/>
        <v>隐藏</v>
      </c>
      <c r="B135" t="s">
        <v>1096</v>
      </c>
      <c r="H135" s="80" t="s">
        <v>1104</v>
      </c>
      <c r="I135" s="47"/>
      <c r="J135" s="47"/>
      <c r="K135" s="83"/>
      <c r="L135" s="83">
        <f>IF(油温单位=$P$65,L134,TempC_to_TempF(L134))</f>
        <v>59</v>
      </c>
      <c r="M135" s="83">
        <f>IF(油温单位=$P$65,M134,TempC_to_TempF(M134))</f>
        <v>59</v>
      </c>
      <c r="N135" s="83">
        <f>IF(油温单位=$P$65,N134,TempC_to_TempF(N134))</f>
        <v>32</v>
      </c>
      <c r="O135" s="83">
        <f>IF(油温单位=$P$65,O134,TempC_to_TempF(O134))</f>
        <v>32</v>
      </c>
      <c r="P135" s="83">
        <f>IF(油温单位=$P$65,P134,TempC_to_TempF(P134))</f>
        <v>32</v>
      </c>
      <c r="Q135" s="83">
        <f>IF(油温单位=$P$65,Q134,TempC_to_TempF(Q134))</f>
        <v>32</v>
      </c>
    </row>
    <row r="136" ht="12.45" hidden="1" customHeight="1" spans="1:17">
      <c r="A136" t="str">
        <f t="shared" si="6"/>
        <v>隐藏</v>
      </c>
      <c r="B136" t="s">
        <v>1096</v>
      </c>
      <c r="H136" s="80" t="str">
        <f>岸罐标定温度&amp;" in ℃"</f>
        <v>Tank Shell Reference Temperature in ℃</v>
      </c>
      <c r="I136" s="47"/>
      <c r="J136" s="47"/>
      <c r="K136" s="83"/>
      <c r="L136" s="83">
        <f>IF(岸罐标定温度单位=$P$64,L111,TempF_to_TempC(L111))</f>
        <v>20</v>
      </c>
      <c r="M136" s="83">
        <f>IF(岸罐标定温度单位=$P$64,M111,TempF_to_TempC(M111))</f>
        <v>20</v>
      </c>
      <c r="N136" s="83">
        <f>IF(岸罐标定温度单位=$P$64,N111,TempF_to_TempC(N111))</f>
        <v>20</v>
      </c>
      <c r="O136" s="83">
        <f>IF(岸罐标定温度单位=$P$64,O111,TempF_to_TempC(O111))</f>
        <v>20</v>
      </c>
      <c r="P136" s="83">
        <f>IF(岸罐标定温度单位=$P$64,P111,TempF_to_TempC(P111))</f>
        <v>0</v>
      </c>
      <c r="Q136" s="83">
        <f>IF(岸罐标定温度单位=$P$64,Q111,TempF_to_TempC(Q111))</f>
        <v>0</v>
      </c>
    </row>
    <row r="137" ht="12.45" hidden="1" customHeight="1" spans="1:17">
      <c r="A137" t="str">
        <f t="shared" si="6"/>
        <v>隐藏</v>
      </c>
      <c r="B137" t="s">
        <v>1096</v>
      </c>
      <c r="H137" s="80" t="str">
        <f>岸罐标定温度&amp;" in ℉"</f>
        <v>Tank Shell Reference Temperature in ℉</v>
      </c>
      <c r="I137" s="47"/>
      <c r="J137" s="47"/>
      <c r="K137" s="83"/>
      <c r="L137" s="83">
        <f>IF(岸罐标定温度单位=$P$65,L111,TempC_to_TempF(L111))</f>
        <v>68</v>
      </c>
      <c r="M137" s="83">
        <f>IF(岸罐标定温度单位=$P$65,M111,TempC_to_TempF(M111))</f>
        <v>68</v>
      </c>
      <c r="N137" s="83">
        <f>IF(岸罐标定温度单位=$P$65,N111,TempC_to_TempF(N111))</f>
        <v>68</v>
      </c>
      <c r="O137" s="83">
        <f>IF(岸罐标定温度单位=$P$65,O111,TempC_to_TempF(O111))</f>
        <v>68</v>
      </c>
      <c r="P137" s="83">
        <f>IF(岸罐标定温度单位=$P$65,P111,TempC_to_TempF(P111))</f>
        <v>32</v>
      </c>
      <c r="Q137" s="83">
        <f>IF(岸罐标定温度单位=$P$65,Q111,TempC_to_TempF(Q111))</f>
        <v>32</v>
      </c>
    </row>
    <row r="138" ht="12.45" hidden="1" customHeight="1" spans="1:17">
      <c r="A138" t="str">
        <f t="shared" si="6"/>
        <v>隐藏</v>
      </c>
      <c r="B138" t="s">
        <v>1096</v>
      </c>
      <c r="H138" s="80" t="str">
        <f>P50&amp;" in 1/℃"</f>
        <v>Correction for Temp. of Tank Shell in 1/℃</v>
      </c>
      <c r="I138" s="47"/>
      <c r="J138" s="47"/>
      <c r="K138" s="83"/>
      <c r="L138" s="503">
        <f t="shared" ref="L138:Q138" si="12">IF(ABS(L134-L136)&lt;10,1,ROUND(IF(L110=保温,(1+3*L112*(L134-L136)),IF(L120=空距,(1+3*L112*(L134-L136)),(1+2*L112*(L134-L136)))),5))</f>
        <v>1</v>
      </c>
      <c r="M138" s="503">
        <f t="shared" si="12"/>
        <v>1</v>
      </c>
      <c r="N138" s="503">
        <f t="shared" si="12"/>
        <v>0.99951</v>
      </c>
      <c r="O138" s="503">
        <f t="shared" si="12"/>
        <v>0.99951</v>
      </c>
      <c r="P138" s="503">
        <f t="shared" si="12"/>
        <v>1</v>
      </c>
      <c r="Q138" s="503">
        <f t="shared" si="12"/>
        <v>1</v>
      </c>
    </row>
    <row r="139" ht="12.45" hidden="1" customHeight="1" spans="1:17">
      <c r="A139" t="str">
        <f t="shared" si="6"/>
        <v>隐藏</v>
      </c>
      <c r="B139" t="s">
        <v>1096</v>
      </c>
      <c r="H139" s="80" t="str">
        <f>P50&amp;" in 1/℉"</f>
        <v>Correction for Temp. of Tank Shell in 1/℉</v>
      </c>
      <c r="L139" s="503">
        <f t="shared" ref="L139:Q139" si="13">IF(ABS(L135-L137)&lt;10,1,ROUND(IF(L110=保温,(1+3*L112*(L135-L137)),IF(L120=空距,(1+3*L112*(L135-L137)),(1+2*L112*(L135-L137)))),5))</f>
        <v>1</v>
      </c>
      <c r="M139" s="503">
        <f t="shared" si="13"/>
        <v>1</v>
      </c>
      <c r="N139" s="503">
        <f t="shared" si="13"/>
        <v>0.99912</v>
      </c>
      <c r="O139" s="503">
        <f t="shared" si="13"/>
        <v>0.99912</v>
      </c>
      <c r="P139" s="503">
        <f t="shared" si="13"/>
        <v>1</v>
      </c>
      <c r="Q139" s="503">
        <f t="shared" si="13"/>
        <v>1</v>
      </c>
    </row>
    <row r="140" ht="12.45" customHeight="1" spans="1:20">
      <c r="A140" t="str">
        <f t="shared" si="6"/>
        <v>显示</v>
      </c>
      <c r="H140" s="80" t="str">
        <f>P50</f>
        <v>Correction for Temp. of Tank Shell</v>
      </c>
      <c r="L140" s="504">
        <f t="shared" ref="L140:Q140" si="14">IF(L124="","",IF(线胀系数单位="1/℃",L138,L139))</f>
        <v>1</v>
      </c>
      <c r="M140" s="504">
        <f t="shared" si="14"/>
        <v>1</v>
      </c>
      <c r="N140" s="504" t="str">
        <f t="shared" si="14"/>
        <v/>
      </c>
      <c r="O140" s="504" t="str">
        <f t="shared" si="14"/>
        <v/>
      </c>
      <c r="P140" s="504" t="str">
        <f t="shared" si="14"/>
        <v/>
      </c>
      <c r="Q140" s="504" t="str">
        <f t="shared" si="14"/>
        <v/>
      </c>
      <c r="S140" s="306"/>
      <c r="T140" s="306"/>
    </row>
    <row r="141" ht="12.45" hidden="1" customHeight="1" spans="1:20">
      <c r="A141" t="str">
        <f t="shared" si="6"/>
        <v>隐藏</v>
      </c>
      <c r="B141" t="s">
        <v>1096</v>
      </c>
      <c r="H141" s="80" t="s">
        <v>1105</v>
      </c>
      <c r="K141" s="83" t="str">
        <f>表体积单位</f>
        <v>Bbls</v>
      </c>
      <c r="L141" s="47">
        <f t="shared" ref="L141:Q141" si="15">IF(表体积单位=立方米,ROUND((L131-L132)*L140,3),ROUND((L131-L132)*L140,2))</f>
        <v>1000</v>
      </c>
      <c r="M141" s="47">
        <f t="shared" si="15"/>
        <v>10000</v>
      </c>
      <c r="N141" s="47" t="e">
        <f t="shared" si="15"/>
        <v>#VALUE!</v>
      </c>
      <c r="O141" s="47" t="e">
        <f t="shared" si="15"/>
        <v>#VALUE!</v>
      </c>
      <c r="P141" s="47" t="e">
        <f t="shared" si="15"/>
        <v>#VALUE!</v>
      </c>
      <c r="Q141" s="47" t="e">
        <f t="shared" si="15"/>
        <v>#VALUE!</v>
      </c>
      <c r="S141" s="306"/>
      <c r="T141" s="306"/>
    </row>
    <row r="142" ht="12.45" customHeight="1" spans="1:20">
      <c r="A142" t="str">
        <f t="shared" si="6"/>
        <v>显示</v>
      </c>
      <c r="H142" s="80" t="str">
        <f>P49</f>
        <v>Pipeline volume</v>
      </c>
      <c r="K142" s="83" t="str">
        <f>表体积单位</f>
        <v>Bbls</v>
      </c>
      <c r="L142" s="492">
        <v>0</v>
      </c>
      <c r="M142" s="492">
        <v>0</v>
      </c>
      <c r="N142" s="492"/>
      <c r="O142" s="492"/>
      <c r="P142" s="492"/>
      <c r="Q142" s="492"/>
      <c r="S142" s="306"/>
      <c r="T142" s="306"/>
    </row>
    <row r="143" ht="12.45" hidden="1" customHeight="1" spans="1:20">
      <c r="A143" t="str">
        <f t="shared" si="6"/>
        <v>隐藏</v>
      </c>
      <c r="B143" t="s">
        <v>1096</v>
      </c>
      <c r="H143" s="80" t="s">
        <v>1106</v>
      </c>
      <c r="K143" s="83" t="str">
        <f>表体积单位</f>
        <v>Bbls</v>
      </c>
      <c r="L143" s="83">
        <f t="shared" ref="L143:Q143" si="16">L141+L142</f>
        <v>1000</v>
      </c>
      <c r="M143" s="83">
        <f t="shared" si="16"/>
        <v>10000</v>
      </c>
      <c r="N143" s="83" t="e">
        <f t="shared" si="16"/>
        <v>#VALUE!</v>
      </c>
      <c r="O143" s="83" t="e">
        <f t="shared" si="16"/>
        <v>#VALUE!</v>
      </c>
      <c r="P143" s="83" t="e">
        <f t="shared" si="16"/>
        <v>#VALUE!</v>
      </c>
      <c r="Q143" s="83" t="e">
        <f t="shared" si="16"/>
        <v>#VALUE!</v>
      </c>
      <c r="S143" s="306"/>
      <c r="T143" s="306"/>
    </row>
    <row r="144" ht="12.45" hidden="1" customHeight="1" spans="1:20">
      <c r="A144" t="str">
        <f t="shared" si="6"/>
        <v>隐藏</v>
      </c>
      <c r="B144" t="s">
        <v>1096</v>
      </c>
      <c r="H144" s="498"/>
      <c r="K144" s="83" t="str">
        <f>立方米</f>
        <v>m³</v>
      </c>
      <c r="L144" s="505">
        <f t="shared" ref="L144:Q144" si="17">IF(表体积单位=立方米,L143,ROUND(L143*0.158987304,3))</f>
        <v>158.987</v>
      </c>
      <c r="M144" s="505">
        <f t="shared" si="17"/>
        <v>1589.873</v>
      </c>
      <c r="N144" s="505" t="e">
        <f t="shared" si="17"/>
        <v>#VALUE!</v>
      </c>
      <c r="O144" s="505" t="e">
        <f t="shared" si="17"/>
        <v>#VALUE!</v>
      </c>
      <c r="P144" s="505" t="e">
        <f t="shared" si="17"/>
        <v>#VALUE!</v>
      </c>
      <c r="Q144" s="505" t="e">
        <f t="shared" si="17"/>
        <v>#VALUE!</v>
      </c>
      <c r="S144" s="306"/>
      <c r="T144" s="306"/>
    </row>
    <row r="145" ht="12.45" hidden="1" customHeight="1" spans="1:20">
      <c r="A145" t="str">
        <f t="shared" si="6"/>
        <v>隐藏</v>
      </c>
      <c r="B145" t="s">
        <v>1096</v>
      </c>
      <c r="H145" s="80"/>
      <c r="K145" s="83" t="str">
        <f>美制桶</f>
        <v>Bbls</v>
      </c>
      <c r="L145" s="506">
        <f t="shared" ref="L145:Q145" si="18">IF(表体积单位=美制桶,L143,ROUND(L143*6.289812,2))</f>
        <v>1000</v>
      </c>
      <c r="M145" s="506">
        <f t="shared" si="18"/>
        <v>10000</v>
      </c>
      <c r="N145" s="506" t="e">
        <f t="shared" si="18"/>
        <v>#VALUE!</v>
      </c>
      <c r="O145" s="506" t="e">
        <f t="shared" si="18"/>
        <v>#VALUE!</v>
      </c>
      <c r="P145" s="506" t="e">
        <f t="shared" si="18"/>
        <v>#VALUE!</v>
      </c>
      <c r="Q145" s="506" t="e">
        <f t="shared" si="18"/>
        <v>#VALUE!</v>
      </c>
      <c r="S145" s="306"/>
      <c r="T145" s="306"/>
    </row>
    <row r="146" ht="12.45" customHeight="1" spans="1:20">
      <c r="A146" t="str">
        <f t="shared" si="6"/>
        <v>显示</v>
      </c>
      <c r="H146" s="80" t="str">
        <f>P51</f>
        <v>Floating Roof Correction</v>
      </c>
      <c r="I146" s="47"/>
      <c r="J146" s="47"/>
      <c r="K146" s="83" t="str">
        <f>K150</f>
        <v>m³</v>
      </c>
      <c r="L146" s="83">
        <f>IF(L149="","",IF(OR(LEFT(vcfTab,4)="T-54",LEFT(vcfTab,4)="T-60"),ROUND(IF(计算方法=Inventory,L117/(L149*L155),L116/(L149*L155)),3),ROUND(IF(计算方法=Inventory,L117/(L149*L155),L116/(L149*L155))*0.9842065276,2)))</f>
        <v>515.256</v>
      </c>
      <c r="M146" s="83">
        <f>IF(M149="","",IF(OR(LEFT(vcfTab,4)="T-54",LEFT(vcfTab,4)="T-60"),ROUND(IF(计算方法=Inventory,M117/(M149*M155),L116/(M149*M155)),3),ROUND(IF(计算方法=Inventory,M117/(M149*M155),L116/(M149*M155))*0.9842065276,2)))</f>
        <v>515.78</v>
      </c>
      <c r="N146" s="83" t="str">
        <f>IF(N149="","",IF(OR(LEFT(vcfTab,4)="T-54",LEFT(vcfTab,4)="T-60"),ROUND(IF(计算方法=Inventory,N117/(N149*N155),N116/(N149*N155)),3),ROUND(IF(计算方法=Inventory,N117/(N149*N155),N116/(N149*N155))*0.9842065276,2)))</f>
        <v/>
      </c>
      <c r="O146" s="793" t="str">
        <f>IF(O149="","",IF(OR(LEFT(vcfTab,4)="T-54",LEFT(vcfTab,4)="T-60"),ROUND(IF(计算方法=Inventory,O117/(O149*O155),N116/(O149*O155)),3),ROUND(IF(计算方法=Inventory,O117/(O149*O155),N116/(O149*O155))*0.9842065276,2)))</f>
        <v/>
      </c>
      <c r="P146" s="83" t="str">
        <f>IF(P149="","",IF(OR(LEFT(vcfTab,4)="T-54",LEFT(vcfTab,4)="T-60"),ROUND(IF(计算方法=Inventory,P117/(P149*P155),P116/(P149*P155)),3),ROUND(IF(计算方法=Inventory,P117/(P149*P155),P116/(P149*P155))*0.9842065276,2)))</f>
        <v/>
      </c>
      <c r="Q146" s="793" t="str">
        <f>IF(Q149="","",IF(OR(LEFT(vcfTab,4)="T-54",LEFT(vcfTab,4)="T-60"),ROUND(IF(计算方法=Inventory,Q117/(Q149*Q155),P116/(Q149*Q155)),3),ROUND(IF(计算方法=Inventory,Q117/(Q149*Q155),P116/(Q149*Q155))*0.9842065276,2)))</f>
        <v/>
      </c>
      <c r="S146" s="306"/>
      <c r="T146" s="306"/>
    </row>
    <row r="147" ht="12.45" customHeight="1" spans="1:20">
      <c r="A147" t="str">
        <f t="shared" si="6"/>
        <v>显示</v>
      </c>
      <c r="H147" s="80" t="str">
        <f>P48</f>
        <v>Gross Observed Volume</v>
      </c>
      <c r="I147" s="47"/>
      <c r="J147" s="47"/>
      <c r="K147" s="507" t="str">
        <f>K150</f>
        <v>m³</v>
      </c>
      <c r="L147" s="492">
        <f t="shared" ref="L147:Q147" si="19">IF(L131="","",IF(OR(LEFT(vcfTab,4)="T-54",LEFT(vcfTab,4)="T-60"),L144-L146,L145-L146))</f>
        <v>-356.269</v>
      </c>
      <c r="M147" s="492">
        <f t="shared" si="19"/>
        <v>1074.093</v>
      </c>
      <c r="N147" s="492" t="str">
        <f t="shared" si="19"/>
        <v/>
      </c>
      <c r="O147" s="492" t="str">
        <f t="shared" si="19"/>
        <v/>
      </c>
      <c r="P147" s="492" t="str">
        <f t="shared" si="19"/>
        <v/>
      </c>
      <c r="Q147" s="492" t="str">
        <f t="shared" si="19"/>
        <v/>
      </c>
      <c r="S147" s="306"/>
      <c r="T147" s="306"/>
    </row>
    <row r="148" ht="12.45" customHeight="1" spans="1:20">
      <c r="A148" t="str">
        <f t="shared" si="6"/>
        <v>显示</v>
      </c>
      <c r="D148" s="482" t="str">
        <f>IF(计算方法=Inventory,"隐藏","显示")</f>
        <v>显示</v>
      </c>
      <c r="H148" s="80" t="str">
        <f>IF(计算方法=Delivery,P46,P47)</f>
        <v>Gross Observed Volume Delivered</v>
      </c>
      <c r="I148" s="47"/>
      <c r="J148" s="47"/>
      <c r="K148" s="507" t="str">
        <f>K150</f>
        <v>m³</v>
      </c>
      <c r="L148" s="508">
        <f>IF(AND(L147="",M147=""),"",IF(计算方法=Delivery,L147-M147,M147-L147))</f>
        <v>-1430.362</v>
      </c>
      <c r="M148" s="509"/>
      <c r="N148" s="508" t="str">
        <f>IF(AND(N147="",O147=""),"",IF(计算方法=Delivery,N147-O147,O147-N147))</f>
        <v/>
      </c>
      <c r="O148" s="509"/>
      <c r="P148" s="508" t="str">
        <f>IF(AND(P147="",Q147=""),"",IF(计算方法=Delivery,P147-Q147,Q147-P147))</f>
        <v/>
      </c>
      <c r="Q148" s="509"/>
      <c r="S148" s="306"/>
      <c r="T148" s="306"/>
    </row>
    <row r="149" ht="12.45" customHeight="1" spans="1:20">
      <c r="A149" t="str">
        <f t="shared" si="6"/>
        <v>显示</v>
      </c>
      <c r="H149" s="499" t="str">
        <f>P1</f>
        <v>VCF Table</v>
      </c>
      <c r="I149" s="507" t="str">
        <f>vcfTab</f>
        <v>T-60B</v>
      </c>
      <c r="J149" s="95" t="str">
        <f>IF(Report_Language=$G$1,"(Version "&amp;vcfVersion&amp;")","("&amp;vcfVersion&amp;"版)")</f>
        <v>(Version 2004)</v>
      </c>
      <c r="K149" s="507"/>
      <c r="L149" s="510">
        <f>IF(L124="","",vcf(vcfTab,vcfVersion,L154,$K$124,L124,L108))</f>
        <v>1.00344</v>
      </c>
      <c r="M149" s="507">
        <f>IF(M124="","",vcf(vcfTab,vcfVersion,M154,$K$124,M124,M108))</f>
        <v>1.00344</v>
      </c>
      <c r="N149" s="510" t="str">
        <f>IF(N124="","",vcf(vcfTab,vcfVersion,N154,$K$124,N124,N108))</f>
        <v/>
      </c>
      <c r="O149" s="507" t="str">
        <f>IF(O124="","",vcf(vcfTab,vcfVersion,O154,$K$124,O124,O108))</f>
        <v/>
      </c>
      <c r="P149" s="510" t="str">
        <f>IF(P124="","",vcf(vcfTab,vcfVersion,P154,$K$124,P124,P108))</f>
        <v/>
      </c>
      <c r="Q149" s="507" t="str">
        <f>IF(Q124="","",vcf(vcfTab,vcfVersion,Q154,$K$124,Q124,Q108))</f>
        <v/>
      </c>
      <c r="S149" s="306"/>
      <c r="T149" s="306"/>
    </row>
    <row r="150" ht="12.45" customHeight="1" spans="1:20">
      <c r="A150" t="str">
        <f t="shared" si="6"/>
        <v>显示</v>
      </c>
      <c r="H150" s="499" t="str">
        <f>P41</f>
        <v>Gross Standard Volume</v>
      </c>
      <c r="I150" s="95"/>
      <c r="J150" s="95"/>
      <c r="K150" s="507" t="str">
        <f>IF(OR(LEFT(vcfTab,4)="T-54",LEFT(vcfTab,4)="T-60"),P16,P17)</f>
        <v>m³</v>
      </c>
      <c r="L150" s="507">
        <f>IF(L147="","",IF(OR(LEFT(vcfTab,4)="T-54",LEFT(vcfTab,4)="T-60"),ROUND(L147*L149,3),ROUND(L147*L149,2)))</f>
        <v>-357.495</v>
      </c>
      <c r="M150" s="507">
        <f t="shared" ref="L150:Q150" si="20">IF(M147="","",IF(OR(LEFT(vcfTab,4)="T-54",LEFT(vcfTab,4)="T-60"),ROUND(M147*M149,3),ROUND(M147*M149,2)))</f>
        <v>1077.788</v>
      </c>
      <c r="N150" s="507" t="str">
        <f t="shared" si="20"/>
        <v/>
      </c>
      <c r="O150" s="507" t="str">
        <f t="shared" si="20"/>
        <v/>
      </c>
      <c r="P150" s="507" t="str">
        <f t="shared" si="20"/>
        <v/>
      </c>
      <c r="Q150" s="507" t="str">
        <f t="shared" si="20"/>
        <v/>
      </c>
      <c r="S150" s="306"/>
      <c r="T150" s="306"/>
    </row>
    <row r="151" ht="12.45" customHeight="1" spans="1:20">
      <c r="A151" t="str">
        <f t="shared" si="6"/>
        <v>显示</v>
      </c>
      <c r="D151" s="482" t="str">
        <f>IF(计算方法=Inventory,"隐藏","显示")</f>
        <v>显示</v>
      </c>
      <c r="G151">
        <f>SUM(L151,N151,P151)</f>
        <v>-1435.283</v>
      </c>
      <c r="H151" s="499" t="str">
        <f>IF(计算方法=Delivery,P44,P45)</f>
        <v>Gross Standard Volume Delivered</v>
      </c>
      <c r="I151" s="95"/>
      <c r="J151" s="95"/>
      <c r="K151" s="507" t="str">
        <f>IF(OR(LEFT(vcfTab,4)="T-54",LEFT(vcfTab,4)="T-60"),P16,P17)</f>
        <v>m³</v>
      </c>
      <c r="L151" s="511">
        <f>IF(AND(L150="",M150=""),"",IF(计算方法=Delivery,L150-M150,M150-L150))</f>
        <v>-1435.283</v>
      </c>
      <c r="M151" s="512"/>
      <c r="N151" s="511" t="str">
        <f>IF(AND(N150="",O150=""),"",IF(计算方法=Delivery,N150-O150,O150-N150))</f>
        <v/>
      </c>
      <c r="O151" s="512"/>
      <c r="P151" s="511" t="str">
        <f>IF(AND(P150="",Q150=""),"",IF(计算方法=Delivery,P150-Q150,Q150-P150))</f>
        <v/>
      </c>
      <c r="Q151" s="512"/>
      <c r="S151" s="306"/>
      <c r="T151" s="306"/>
    </row>
    <row r="152" ht="12.45" hidden="1" customHeight="1" spans="1:20">
      <c r="A152" t="str">
        <f t="shared" si="6"/>
        <v>隐藏</v>
      </c>
      <c r="E152" s="482" t="str">
        <f>IF(Cargo_type="A","显示","隐藏")</f>
        <v>隐藏</v>
      </c>
      <c r="H152" s="499" t="str">
        <f>P40</f>
        <v>Net Standard Volume</v>
      </c>
      <c r="I152" s="95"/>
      <c r="J152" s="95"/>
      <c r="K152" s="507" t="str">
        <f>IF(OR(LEFT(vcfTab,4)="T-54",LEFT(vcfTab,4)="T-60"),P16,P17)</f>
        <v>m³</v>
      </c>
      <c r="L152" s="507">
        <f t="shared" ref="L152:Q152" si="21">IF(L109="","",IF(OR(LEFT(vcfTab,4)="T-54",LEFT(vcfTab,4)="T-60"),ROUND(L150*(1-L109%),3),ROUND(L150*(1-L109%),2)))</f>
        <v>-356.655</v>
      </c>
      <c r="M152" s="507">
        <f t="shared" si="21"/>
        <v>1074.285</v>
      </c>
      <c r="N152" s="507" t="str">
        <f t="shared" si="21"/>
        <v/>
      </c>
      <c r="O152" s="507" t="str">
        <f t="shared" si="21"/>
        <v/>
      </c>
      <c r="P152" s="507" t="str">
        <f t="shared" si="21"/>
        <v/>
      </c>
      <c r="Q152" s="507" t="str">
        <f t="shared" si="21"/>
        <v/>
      </c>
      <c r="S152" s="306"/>
      <c r="T152" s="306"/>
    </row>
    <row r="153" ht="12.45" hidden="1" customHeight="1" spans="1:20">
      <c r="A153" t="str">
        <f t="shared" si="6"/>
        <v>隐藏</v>
      </c>
      <c r="D153" s="482" t="str">
        <f>IF(计算方法=Inventory,"隐藏","显示")</f>
        <v>显示</v>
      </c>
      <c r="E153" s="482" t="str">
        <f>IF(Cargo_type="A","显示","隐藏")</f>
        <v>隐藏</v>
      </c>
      <c r="H153" s="499" t="str">
        <f>IF(计算方法=Delivery,P42,P43)</f>
        <v>Net Standard Volume Delivered</v>
      </c>
      <c r="I153" s="95"/>
      <c r="J153" s="95"/>
      <c r="K153" s="507" t="str">
        <f>IF(OR(LEFT(vcfTab,4)="T-54",LEFT(vcfTab,4)="T-60"),P16,P17)</f>
        <v>m³</v>
      </c>
      <c r="L153" s="511">
        <f>IF(AND(L152="",M152=""),"",IF(计算方法=Delivery,L152-M152,M152-L152))</f>
        <v>-1430.94</v>
      </c>
      <c r="M153" s="512"/>
      <c r="N153" s="511" t="str">
        <f>IF(AND(N152="",O152=""),"",IF(计算方法=Delivery,N152-O152,O152-N152))</f>
        <v/>
      </c>
      <c r="O153" s="512"/>
      <c r="P153" s="511" t="str">
        <f>IF(AND(P152="",Q152=""),"",IF(计算方法=Delivery,P152-Q152,Q152-P152))</f>
        <v/>
      </c>
      <c r="Q153" s="512"/>
      <c r="S153" s="306"/>
      <c r="T153" s="306"/>
    </row>
    <row r="154" ht="12.45" customHeight="1" spans="1:20">
      <c r="A154" t="str">
        <f t="shared" si="6"/>
        <v>显示</v>
      </c>
      <c r="H154" s="499" t="str">
        <f>IF(LEFT(vcfTab,4)="T-54",P34,IF(LEFT(vcfTab,4)="T-60",P35,IF(LEFT(vcfTab,4)="T-24",P37,P36)))</f>
        <v>Density@20℃</v>
      </c>
      <c r="I154" s="95"/>
      <c r="J154" s="95"/>
      <c r="K154" s="507" t="str">
        <f>IF(LEFT(vcfTab,4)="T-54",P38,IF(LEFT(vcfTab,4)="T-60",P38,IF(LEFT(vcfTab,4)="T-24","--",P39)))</f>
        <v>kg/m³</v>
      </c>
      <c r="L154" s="507">
        <f>IF(L107="","",Standard_Density(vcfTab,Cargo_type,Den_type,L107,L108))</f>
        <v>984.2</v>
      </c>
      <c r="M154" s="507">
        <f>IF(M107="","",Standard_Density(vcfTab,Cargo_type,Den_type,M107,M108))</f>
        <v>983.2</v>
      </c>
      <c r="N154" s="507" t="str">
        <f>IF(N107="","",Standard_Density(vcfTab,Cargo_type,Den_type,N107,N108))</f>
        <v/>
      </c>
      <c r="O154" s="507" t="str">
        <f>IF(O107="","",Standard_Density(vcfTab,Cargo_type,Den_type,O107,O108))</f>
        <v/>
      </c>
      <c r="P154" s="507" t="str">
        <f>IF(P107="","",Standard_Density(vcfTab,Cargo_type,Den_type,P107,P108))</f>
        <v/>
      </c>
      <c r="Q154" s="507" t="str">
        <f>IF(Q107="","",Standard_Density(vcfTab,Cargo_type,Den_type,Q107,Q108))</f>
        <v/>
      </c>
      <c r="S154" s="306"/>
      <c r="T154" s="306"/>
    </row>
    <row r="155" ht="12.45" customHeight="1" spans="1:20">
      <c r="A155" t="str">
        <f t="shared" si="6"/>
        <v>显示</v>
      </c>
      <c r="H155" s="499" t="str">
        <f>wcf(Report_Language,vcfTab,WCF_Standard)</f>
        <v>WCF MT(in air)/m³@20℃</v>
      </c>
      <c r="I155" s="95"/>
      <c r="J155" s="95"/>
      <c r="K155" s="507"/>
      <c r="L155" s="507">
        <f>IF(L107="","",IF(OR(LEFT(vcfTab,4)="T-54",LEFT(vcfTab,4)="T-60"),Factor_toMTair(vcfTab,WCF_Standard,L154),Factor_toLTair(vcfTab,WCF_Standard,L154)))</f>
        <v>0.9832</v>
      </c>
      <c r="M155" s="507">
        <f>IF(M107="","",IF(OR(LEFT(vcfTab,4)="T-54",LEFT(vcfTab,4)="T-60"),Factor_toMTair(vcfTab,WCF_Standard,M154),Factor_toLTair(vcfTab,WCF_Standard,M154)))</f>
        <v>0.9822</v>
      </c>
      <c r="N155" s="507" t="str">
        <f>IF(N107="","",IF(OR(LEFT(vcfTab,4)="T-54",LEFT(vcfTab,4)="T-60"),Factor_toMTair(vcfTab,WCF_Standard,N154),Factor_toLTair(vcfTab,WCF_Standard,N154)))</f>
        <v/>
      </c>
      <c r="O155" s="507" t="str">
        <f>IF(O107="","",IF(OR(LEFT(vcfTab,4)="T-54",LEFT(vcfTab,4)="T-60"),Factor_toMTair(vcfTab,WCF_Standard,O154),Factor_toLTair(vcfTab,WCF_Standard,O154)))</f>
        <v/>
      </c>
      <c r="P155" s="507" t="str">
        <f>IF(P107="","",IF(OR(LEFT(vcfTab,4)="T-54",LEFT(vcfTab,4)="T-60"),Factor_toMTair(vcfTab,WCF_Standard,P154),Factor_toLTair(vcfTab,WCF_Standard,P154)))</f>
        <v/>
      </c>
      <c r="Q155" s="507" t="str">
        <f>IF(Q107="","",IF(OR(LEFT(vcfTab,4)="T-54",LEFT(vcfTab,4)="T-60"),Factor_toMTair(vcfTab,WCF_Standard,Q154),Factor_toLTair(vcfTab,WCF_Standard,Q154)))</f>
        <v/>
      </c>
      <c r="S155" s="306"/>
      <c r="T155" s="306"/>
    </row>
    <row r="156" ht="12.45" customHeight="1" spans="1:20">
      <c r="A156" t="str">
        <f t="shared" si="6"/>
        <v>显示</v>
      </c>
      <c r="H156" s="499" t="str">
        <f>P33</f>
        <v>Gross Standard Weight (in air)</v>
      </c>
      <c r="I156" s="95"/>
      <c r="J156" s="95"/>
      <c r="K156" s="507" t="str">
        <f>IF(OR(LEFT(vcfTab,4)="T-54",LEFT(vcfTab,4)="T-60"),P28,P29)</f>
        <v>MT</v>
      </c>
      <c r="L156" s="513">
        <f t="shared" ref="L156:Q156" si="22">IF(L150="","",ROUND(L150*L155,3))</f>
        <v>-351.489</v>
      </c>
      <c r="M156" s="513">
        <f t="shared" si="22"/>
        <v>1058.603</v>
      </c>
      <c r="N156" s="513" t="str">
        <f t="shared" si="22"/>
        <v/>
      </c>
      <c r="O156" s="513" t="str">
        <f t="shared" si="22"/>
        <v/>
      </c>
      <c r="P156" s="513" t="str">
        <f t="shared" si="22"/>
        <v/>
      </c>
      <c r="Q156" s="513" t="str">
        <f t="shared" si="22"/>
        <v/>
      </c>
      <c r="S156" s="306"/>
      <c r="T156" s="306"/>
    </row>
    <row r="157" ht="12.45" customHeight="1" spans="1:20">
      <c r="A157" t="str">
        <f t="shared" si="6"/>
        <v>显示</v>
      </c>
      <c r="D157" s="482" t="str">
        <f>IF(计算方法=Inventory,"隐藏","显示")</f>
        <v>显示</v>
      </c>
      <c r="G157">
        <f>SUM(L157,N157,P157)</f>
        <v>-1410.092</v>
      </c>
      <c r="H157" s="499" t="str">
        <f>IF(计算方法=Delivery,P30,P31)</f>
        <v>Gross Standard Weight Delivered (in air)</v>
      </c>
      <c r="I157" s="95"/>
      <c r="J157" s="95"/>
      <c r="K157" s="507" t="str">
        <f>IF(OR(LEFT(vcfTab,4)="T-54",LEFT(vcfTab,4)="T-60"),P28,P29)</f>
        <v>MT</v>
      </c>
      <c r="L157" s="514">
        <f>IF(L153="","",IF(计算方法=Delivery,L156-M156,M156-L156))</f>
        <v>-1410.092</v>
      </c>
      <c r="M157" s="515"/>
      <c r="N157" s="514" t="str">
        <f>IF(N153="","",IF(计算方法=Delivery,N156-O156,O156-N156))</f>
        <v/>
      </c>
      <c r="O157" s="515"/>
      <c r="P157" s="514" t="str">
        <f>IF(P153="","",IF(计算方法=Delivery,P156-Q156,Q156-P156))</f>
        <v/>
      </c>
      <c r="Q157" s="515"/>
      <c r="S157" s="306"/>
      <c r="T157" s="306"/>
    </row>
    <row r="158" ht="12.45" hidden="1" customHeight="1" spans="1:20">
      <c r="A158" t="str">
        <f>IF(OR(B158="隐藏",C158="隐藏",D158="隐藏",E158="隐藏"),"隐藏","显示")</f>
        <v>隐藏</v>
      </c>
      <c r="E158" s="482" t="str">
        <f>IF(Cargo_type="A","显示","隐藏")</f>
        <v>隐藏</v>
      </c>
      <c r="H158" s="499" t="str">
        <f>P32</f>
        <v>Net Standard Weight (in air)</v>
      </c>
      <c r="I158" s="95"/>
      <c r="J158" s="95"/>
      <c r="K158" s="507" t="str">
        <f>IF(OR(LEFT(vcfTab,4)="T-54",LEFT(vcfTab,4)="T-60"),P28,P29)</f>
        <v>MT</v>
      </c>
      <c r="L158" s="513">
        <f t="shared" ref="L158:Q158" si="23">IF(L156="","",ROUND(L156*(1-L109%),3))</f>
        <v>-350.663</v>
      </c>
      <c r="M158" s="513">
        <f t="shared" si="23"/>
        <v>1055.163</v>
      </c>
      <c r="N158" s="513" t="str">
        <f t="shared" si="23"/>
        <v/>
      </c>
      <c r="O158" s="513" t="str">
        <f t="shared" si="23"/>
        <v/>
      </c>
      <c r="P158" s="513" t="str">
        <f t="shared" si="23"/>
        <v/>
      </c>
      <c r="Q158" s="515" t="str">
        <f t="shared" si="23"/>
        <v/>
      </c>
      <c r="S158" s="306"/>
      <c r="T158" s="306"/>
    </row>
    <row r="159" ht="12.45" hidden="1" customHeight="1" spans="1:20">
      <c r="A159" t="str">
        <f t="shared" si="6"/>
        <v>隐藏</v>
      </c>
      <c r="D159" s="482" t="str">
        <f>IF(计算方法=Inventory,"隐藏","显示")</f>
        <v>显示</v>
      </c>
      <c r="E159" s="482" t="str">
        <f>IF(Cargo_type="A","显示","隐藏")</f>
        <v>隐藏</v>
      </c>
      <c r="H159" s="499" t="str">
        <f>IF(计算方法=Delivery,P26,P27)</f>
        <v>Net Standard Weight Delivered (in air)</v>
      </c>
      <c r="I159" s="95"/>
      <c r="J159" s="95"/>
      <c r="K159" s="507" t="str">
        <f>IF(OR(LEFT(vcfTab,4)="T-54",LEFT(vcfTab,4)="T-60"),P28,P29)</f>
        <v>MT</v>
      </c>
      <c r="L159" s="516">
        <f>IF(AND(L158="",M158=""),"",IF(计算方法=Delivery,L158-M158,M158-L158))</f>
        <v>-1405.826</v>
      </c>
      <c r="M159" s="517"/>
      <c r="N159" s="516" t="str">
        <f>IF(AND(N158="",O158=""),"",IF(计算方法=Delivery,N158-O158,O158-N158))</f>
        <v/>
      </c>
      <c r="O159" s="517"/>
      <c r="P159" s="516" t="str">
        <f>IF(AND(P158="",Q158=""),"",IF(计算方法=Delivery,P158-Q158,Q158-P158))</f>
        <v/>
      </c>
      <c r="Q159" s="517"/>
      <c r="S159" s="306"/>
      <c r="T159" s="306"/>
    </row>
    <row r="160" spans="1:20">
      <c r="A160" t="str">
        <f t="shared" si="6"/>
        <v>显示</v>
      </c>
      <c r="H160" s="80"/>
      <c r="I160" s="47"/>
      <c r="J160" s="47"/>
      <c r="K160" s="47"/>
      <c r="L160" s="47"/>
      <c r="M160" s="47"/>
      <c r="N160" s="47"/>
      <c r="O160" s="47"/>
      <c r="P160" s="47"/>
      <c r="Q160" s="47"/>
      <c r="S160" s="306"/>
      <c r="T160" s="306"/>
    </row>
    <row r="161" hidden="1" spans="1:20">
      <c r="A161" t="str">
        <f t="shared" si="6"/>
        <v>隐藏</v>
      </c>
      <c r="D161" s="482" t="str">
        <f>IF(计算方法=Inventory,"显示","隐藏")</f>
        <v>隐藏</v>
      </c>
      <c r="H161" s="86" t="str">
        <f>P18</f>
        <v>INVENTORY QUANTITY OF INDIVIDUAL TANK</v>
      </c>
      <c r="I161" s="47"/>
      <c r="J161" s="47"/>
      <c r="K161" s="47"/>
      <c r="L161" s="518"/>
      <c r="M161" s="518"/>
      <c r="N161" s="518"/>
      <c r="O161" s="518"/>
      <c r="P161" s="518"/>
      <c r="Q161" s="518"/>
      <c r="S161" s="306"/>
      <c r="T161" s="306"/>
    </row>
    <row r="162" ht="12.45" hidden="1" customHeight="1" spans="1:20">
      <c r="A162" t="str">
        <f>IF(OR(B162="隐藏",C162="隐藏",D162="隐藏",E162="隐藏"),"隐藏","显示")</f>
        <v>隐藏</v>
      </c>
      <c r="C162" s="482" t="str">
        <f t="shared" ref="C162:C172" si="24">IF(F162=FALSE,"隐藏","显示")</f>
        <v>隐藏</v>
      </c>
      <c r="D162" s="482" t="str">
        <f t="shared" ref="D162:D183" si="25">IF(计算方法=Inventory,"显示","隐藏")</f>
        <v>隐藏</v>
      </c>
      <c r="E162" s="482"/>
      <c r="F162" s="109" t="b">
        <v>0</v>
      </c>
      <c r="H162" s="80" t="str">
        <f t="shared" ref="H162:H172" si="26">$P$19&amp;" - "&amp;P5</f>
        <v>Gross - US Barrels (Obsd. Temp.)</v>
      </c>
      <c r="I162" s="47"/>
      <c r="J162" s="47"/>
      <c r="K162" s="47"/>
      <c r="L162" s="519" t="str">
        <f>IF($F$162=FALSE,"",IF(L147="","",ToBblsObsd(L147,$K$147)))</f>
        <v/>
      </c>
      <c r="M162" s="519" t="str">
        <f>IF($F$162=FALSE,"",IF(M147="","",ToBblsObsd(M147,$K$147)))</f>
        <v/>
      </c>
      <c r="N162" s="519" t="str">
        <f>IF($F$162=FALSE,"",IF(N147="","",ToBblsObsd(N147,$K$147)))</f>
        <v/>
      </c>
      <c r="O162" s="519" t="str">
        <f>IF($F$162=FALSE,"",IF(O147="","",ToBblsObsd(O147,$K$147)))</f>
        <v/>
      </c>
      <c r="P162" s="519" t="str">
        <f>IF($F$162=FALSE,"",IF(P147="","",ToBblsObsd(P147,$K$147)))</f>
        <v/>
      </c>
      <c r="Q162" s="519" t="str">
        <f>IF($F$162=FALSE,"",IF(Q147="","",ToBblsObsd(Q147,$K$147)))</f>
        <v/>
      </c>
      <c r="S162" s="306"/>
      <c r="T162" s="306"/>
    </row>
    <row r="163" ht="12.45" hidden="1" customHeight="1" spans="1:20">
      <c r="A163" t="str">
        <f t="shared" ref="A163:A219" si="27">IF(OR(B163="隐藏",C163="隐藏",D163="隐藏",E163="隐藏"),"隐藏","显示")</f>
        <v>隐藏</v>
      </c>
      <c r="C163" s="482" t="str">
        <f t="shared" si="24"/>
        <v>隐藏</v>
      </c>
      <c r="D163" s="482" t="str">
        <f t="shared" si="25"/>
        <v>隐藏</v>
      </c>
      <c r="E163" s="482"/>
      <c r="F163" s="109" t="b">
        <v>0</v>
      </c>
      <c r="H163" s="80" t="str">
        <f t="shared" si="26"/>
        <v>Gross - Cubic Meters (Obsd. Temp.)</v>
      </c>
      <c r="I163" s="47"/>
      <c r="J163" s="47"/>
      <c r="K163" s="47"/>
      <c r="L163" s="520" t="str">
        <f>IF($F$163=FALSE,"",IF(L147="","",ToCbmObsd(L147,$K$147)))</f>
        <v/>
      </c>
      <c r="M163" s="520" t="str">
        <f>IF($F$163=FALSE,"",IF(M147="","",ToCbmObsd(M147,$K$147)))</f>
        <v/>
      </c>
      <c r="N163" s="520" t="str">
        <f>IF($F$163=FALSE,"",IF(N147="","",ToCbmObsd(N147,$K$147)))</f>
        <v/>
      </c>
      <c r="O163" s="520" t="str">
        <f>IF($F$163=FALSE,"",IF(O147="","",ToCbmObsd(O147,$K$147)))</f>
        <v/>
      </c>
      <c r="P163" s="520" t="str">
        <f>IF($F$163=FALSE,"",IF(P147="","",ToCbmObsd(P147,$K$147)))</f>
        <v/>
      </c>
      <c r="Q163" s="520" t="str">
        <f>IF($F$163=FALSE,"",IF(Q147="","",ToCbmObsd(Q147,$K$147)))</f>
        <v/>
      </c>
      <c r="S163" s="306"/>
      <c r="T163" s="306"/>
    </row>
    <row r="164" ht="12.45" hidden="1" customHeight="1" spans="1:20">
      <c r="A164" t="str">
        <f t="shared" si="27"/>
        <v>隐藏</v>
      </c>
      <c r="C164" s="482" t="str">
        <f t="shared" si="24"/>
        <v>显示</v>
      </c>
      <c r="D164" s="482" t="str">
        <f t="shared" si="25"/>
        <v>隐藏</v>
      </c>
      <c r="E164" s="482"/>
      <c r="F164" s="109" t="b">
        <v>1</v>
      </c>
      <c r="H164" s="80" t="str">
        <f t="shared" si="26"/>
        <v>Gross - US Barrels (60℉)</v>
      </c>
      <c r="I164" s="47"/>
      <c r="J164" s="47"/>
      <c r="K164" s="47"/>
      <c r="L164" s="521" t="e">
        <f>IF($F$164=FALSE,"",IF(L150="","",ToBbls60F(vcfTab,WCF_Standard,Cargo_type,L150,L156,L154,L108)))</f>
        <v>#NAME?</v>
      </c>
      <c r="M164" s="521" t="e">
        <f>IF($F$164=FALSE,"",IF(M150="","",ToBbls60F(vcfTab,WCF_Standard,Cargo_type,M150,M156,M154,M108)))</f>
        <v>#NAME?</v>
      </c>
      <c r="N164" s="521" t="str">
        <f>IF($F$164=FALSE,"",IF(N150="","",ToBbls60F(vcfTab,WCF_Standard,Cargo_type,N150,N156,N154,N108)))</f>
        <v/>
      </c>
      <c r="O164" s="521" t="str">
        <f>IF($F$164=FALSE,"",IF(O150="","",ToBbls60F(vcfTab,WCF_Standard,Cargo_type,O150,O156,O154,O108)))</f>
        <v/>
      </c>
      <c r="P164" s="521" t="str">
        <f>IF($F$164=FALSE,"",IF(P150="","",ToBbls60F(vcfTab,WCF_Standard,Cargo_type,P150,P156,P154,P108)))</f>
        <v/>
      </c>
      <c r="Q164" s="521" t="str">
        <f>IF($F$164=FALSE,"",IF(Q150="","",ToBbls60F(vcfTab,WCF_Standard,Cargo_type,Q150,Q156,Q154,Q108)))</f>
        <v/>
      </c>
      <c r="S164" s="306"/>
      <c r="T164" s="306"/>
    </row>
    <row r="165" ht="12.45" hidden="1" customHeight="1" spans="1:20">
      <c r="A165" t="str">
        <f t="shared" si="27"/>
        <v>隐藏</v>
      </c>
      <c r="C165" s="482" t="str">
        <f t="shared" si="24"/>
        <v>隐藏</v>
      </c>
      <c r="D165" s="482" t="str">
        <f t="shared" si="25"/>
        <v>隐藏</v>
      </c>
      <c r="E165" s="482"/>
      <c r="F165" s="109" t="b">
        <v>0</v>
      </c>
      <c r="H165" s="80" t="str">
        <f t="shared" si="26"/>
        <v>Gross - US Gallon (60℉)</v>
      </c>
      <c r="I165" s="47"/>
      <c r="J165" s="47"/>
      <c r="K165" s="47"/>
      <c r="L165" s="522" t="str">
        <f t="shared" ref="L165:Q165" si="28">IF($F$165=FALSE,"",IF(L150="","",ROUND(L164*42,2)))</f>
        <v/>
      </c>
      <c r="M165" s="522" t="str">
        <f t="shared" si="28"/>
        <v/>
      </c>
      <c r="N165" s="522" t="str">
        <f t="shared" si="28"/>
        <v/>
      </c>
      <c r="O165" s="522" t="str">
        <f t="shared" si="28"/>
        <v/>
      </c>
      <c r="P165" s="522" t="str">
        <f t="shared" si="28"/>
        <v/>
      </c>
      <c r="Q165" s="522" t="str">
        <f t="shared" si="28"/>
        <v/>
      </c>
      <c r="S165" s="306"/>
      <c r="T165" s="306"/>
    </row>
    <row r="166" ht="12.45" hidden="1" customHeight="1" spans="1:20">
      <c r="A166" t="str">
        <f t="shared" si="27"/>
        <v>隐藏</v>
      </c>
      <c r="C166" s="482" t="str">
        <f t="shared" si="24"/>
        <v>隐藏</v>
      </c>
      <c r="D166" s="482" t="str">
        <f t="shared" si="25"/>
        <v>隐藏</v>
      </c>
      <c r="E166" s="482"/>
      <c r="F166" s="109" t="b">
        <v>0</v>
      </c>
      <c r="H166" s="80" t="str">
        <f t="shared" si="26"/>
        <v>Gross - Cubic Meters (15℃)</v>
      </c>
      <c r="I166" s="47"/>
      <c r="J166" s="47"/>
      <c r="K166" s="47"/>
      <c r="L166" s="521" t="str">
        <f>IF($F$166=FALSE,"",IF(L150="","",ToCbm15C(vcfTab,WCF_Standard,Cargo_type,L150,L154,L108)))</f>
        <v/>
      </c>
      <c r="M166" s="521" t="str">
        <f>IF($F$166=FALSE,"",IF(M150="","",ToCbm15C(vcfTab,WCF_Standard,Cargo_type,M150,M154,M108)))</f>
        <v/>
      </c>
      <c r="N166" s="521" t="str">
        <f>IF($F$166=FALSE,"",IF(N150="","",ToCbm15C(vcfTab,WCF_Standard,Cargo_type,N150,N154,N108)))</f>
        <v/>
      </c>
      <c r="O166" s="521" t="str">
        <f>IF($F$166=FALSE,"",IF(O150="","",ToCbm15C(vcfTab,WCF_Standard,Cargo_type,O150,O154,O108)))</f>
        <v/>
      </c>
      <c r="P166" s="521" t="str">
        <f>IF($F$166=FALSE,"",IF(P150="","",ToCbm15C(vcfTab,WCF_Standard,Cargo_type,P150,P154,P108)))</f>
        <v/>
      </c>
      <c r="Q166" s="521" t="str">
        <f>IF($F$166=FALSE,"",IF(Q150="","",ToCbm15C(vcfTab,WCF_Standard,Cargo_type,Q150,Q154,Q108)))</f>
        <v/>
      </c>
      <c r="S166" s="306"/>
      <c r="T166" s="306"/>
    </row>
    <row r="167" ht="12.45" hidden="1" customHeight="1" spans="1:20">
      <c r="A167" t="str">
        <f t="shared" si="27"/>
        <v>隐藏</v>
      </c>
      <c r="C167" s="482" t="str">
        <f t="shared" si="24"/>
        <v>显示</v>
      </c>
      <c r="D167" s="482" t="str">
        <f t="shared" si="25"/>
        <v>隐藏</v>
      </c>
      <c r="E167" s="482"/>
      <c r="F167" s="109" t="b">
        <v>1</v>
      </c>
      <c r="H167" s="80" t="str">
        <f t="shared" si="26"/>
        <v>Gross - Cubic Meters (20℃)</v>
      </c>
      <c r="I167" s="47"/>
      <c r="J167" s="47"/>
      <c r="K167" s="47"/>
      <c r="L167" s="521" t="e">
        <f>IF($F$167=FALSE,"",IF(L150="","",ToCbm20C(vcfTab,WCF_Standard,Cargo_type,L150,L154,L108)))</f>
        <v>#NAME?</v>
      </c>
      <c r="M167" s="521">
        <f>IF($F$167=FALSE,"",IF(M150="","",ToCbm20C(vcfTab,WCF_Standard,Cargo_type,M150,M154,M108)))</f>
        <v>1077.788</v>
      </c>
      <c r="N167" s="521" t="str">
        <f>IF($F$167=FALSE,"",IF(N150="","",ToCbm20C(vcfTab,WCF_Standard,Cargo_type,N150,N154,N108)))</f>
        <v/>
      </c>
      <c r="O167" s="521" t="str">
        <f>IF($F$167=FALSE,"",IF(O150="","",ToCbm20C(vcfTab,WCF_Standard,Cargo_type,O150,O154,O108)))</f>
        <v/>
      </c>
      <c r="P167" s="521" t="str">
        <f>IF($F$167=FALSE,"",IF(P150="","",ToCbm20C(vcfTab,WCF_Standard,Cargo_type,P150,P154,P108)))</f>
        <v/>
      </c>
      <c r="Q167" s="521" t="str">
        <f>IF($F$167=FALSE,"",IF(Q150="","",ToCbm20C(vcfTab,WCF_Standard,Cargo_type,Q150,Q154,Q108)))</f>
        <v/>
      </c>
      <c r="S167" s="306"/>
      <c r="T167" s="306"/>
    </row>
    <row r="168" ht="12.45" hidden="1" customHeight="1" spans="1:20">
      <c r="A168" t="str">
        <f t="shared" si="27"/>
        <v>隐藏</v>
      </c>
      <c r="C168" s="482" t="str">
        <f t="shared" si="24"/>
        <v>隐藏</v>
      </c>
      <c r="D168" s="482" t="str">
        <f t="shared" si="25"/>
        <v>隐藏</v>
      </c>
      <c r="E168" s="482"/>
      <c r="F168" s="109" t="b">
        <v>0</v>
      </c>
      <c r="H168" s="80" t="str">
        <f t="shared" si="26"/>
        <v>Gross - Cubic Meters (30℃)</v>
      </c>
      <c r="I168" s="47"/>
      <c r="J168" s="47"/>
      <c r="K168" s="47"/>
      <c r="L168" s="521" t="str">
        <f>IF($F$168=FALSE,"",IF(L150="","",ToCbm30C(vcfTab,WCF_Standard,Cargo_type,L150,L154,L108)))</f>
        <v/>
      </c>
      <c r="M168" s="521" t="str">
        <f>IF($F$168=FALSE,"",IF(M150="","",ToCbm30C(vcfTab,WCF_Standard,Cargo_type,M150,M154,M108)))</f>
        <v/>
      </c>
      <c r="N168" s="521" t="str">
        <f>IF($F$168=FALSE,"",IF(N150="","",ToCbm30C(vcfTab,WCF_Standard,Cargo_type,N150,N154,N108)))</f>
        <v/>
      </c>
      <c r="O168" s="521" t="str">
        <f>IF($F$168=FALSE,"",IF(O150="","",ToCbm30C(vcfTab,WCF_Standard,Cargo_type,O150,O154,O108)))</f>
        <v/>
      </c>
      <c r="P168" s="521" t="str">
        <f>IF($F$168=FALSE,"",IF(P150="","",ToCbm30C(vcfTab,WCF_Standard,Cargo_type,P150,P154,P108)))</f>
        <v/>
      </c>
      <c r="Q168" s="521" t="str">
        <f>IF($F$168=FALSE,"",IF(Q150="","",ToCbm30C(vcfTab,WCF_Standard,Cargo_type,Q150,Q154,Q108)))</f>
        <v/>
      </c>
      <c r="S168" s="306"/>
      <c r="T168" s="306"/>
    </row>
    <row r="169" ht="12.45" hidden="1" customHeight="1" spans="1:20">
      <c r="A169" t="str">
        <f t="shared" si="27"/>
        <v>隐藏</v>
      </c>
      <c r="C169" s="482" t="str">
        <f t="shared" si="24"/>
        <v>隐藏</v>
      </c>
      <c r="D169" s="482" t="str">
        <f t="shared" si="25"/>
        <v>隐藏</v>
      </c>
      <c r="E169" s="482"/>
      <c r="F169" s="109" t="b">
        <v>0</v>
      </c>
      <c r="H169" s="80" t="str">
        <f t="shared" si="26"/>
        <v>Gross - Metric Tons (in vacuo)</v>
      </c>
      <c r="I169" s="47"/>
      <c r="J169" s="47"/>
      <c r="K169" s="47"/>
      <c r="L169" s="521" t="str">
        <f>IF($F$169=FALSE,"",IF(L150="","",ToMTvacuo(vcfTab,WCF_Standard,L150,L154)))</f>
        <v/>
      </c>
      <c r="M169" s="521" t="str">
        <f>IF($F$169=FALSE,"",IF(M150="","",ToMTvacuo(vcfTab,WCF_Standard,M150,M154)))</f>
        <v/>
      </c>
      <c r="N169" s="521" t="str">
        <f>IF($F$169=FALSE,"",IF(N150="","",ToMTvacuo(vcfTab,WCF_Standard,N150,N154)))</f>
        <v/>
      </c>
      <c r="O169" s="521" t="str">
        <f>IF($F$169=FALSE,"",IF(O150="","",ToMTvacuo(vcfTab,WCF_Standard,O150,O154)))</f>
        <v/>
      </c>
      <c r="P169" s="521" t="str">
        <f>IF($F$169=FALSE,"",IF(P150="","",ToMTvacuo(vcfTab,WCF_Standard,P150,P154)))</f>
        <v/>
      </c>
      <c r="Q169" s="521" t="str">
        <f>IF($F$169=FALSE,"",IF(Q150="","",ToMTvacuo(vcfTab,WCF_Standard,Q150,Q154)))</f>
        <v/>
      </c>
      <c r="S169" s="306"/>
      <c r="T169" s="306"/>
    </row>
    <row r="170" ht="12.45" hidden="1" customHeight="1" spans="1:20">
      <c r="A170" t="str">
        <f t="shared" si="27"/>
        <v>隐藏</v>
      </c>
      <c r="C170" s="482" t="str">
        <f t="shared" si="24"/>
        <v>显示</v>
      </c>
      <c r="D170" s="482" t="str">
        <f t="shared" si="25"/>
        <v>隐藏</v>
      </c>
      <c r="E170" s="482"/>
      <c r="F170" s="109" t="b">
        <v>1</v>
      </c>
      <c r="H170" s="80" t="str">
        <f t="shared" si="26"/>
        <v>Gross - Metric Tons (in air)</v>
      </c>
      <c r="I170" s="47"/>
      <c r="J170" s="47"/>
      <c r="K170" s="47"/>
      <c r="L170" s="521" t="e">
        <f>IF($F$170=FALSE,"",IF(L150="","",ToMTair(vcfTab,WCF_Standard,L150,L154)))</f>
        <v>#NAME?</v>
      </c>
      <c r="M170" s="521">
        <f>IF($F$170=FALSE,"",IF(M150="","",ToMTair(vcfTab,WCF_Standard,M150,M154)))</f>
        <v>1058.603</v>
      </c>
      <c r="N170" s="521" t="str">
        <f>IF($F$170=FALSE,"",IF(N150="","",ToMTair(vcfTab,WCF_Standard,N150,N154)))</f>
        <v/>
      </c>
      <c r="O170" s="521" t="str">
        <f>IF($F$170=FALSE,"",IF(O150="","",ToMTair(vcfTab,WCF_Standard,O150,O154)))</f>
        <v/>
      </c>
      <c r="P170" s="521" t="str">
        <f>IF($F$170=FALSE,"",IF(P150="","",ToMTair(vcfTab,WCF_Standard,P150,P154)))</f>
        <v/>
      </c>
      <c r="Q170" s="521" t="str">
        <f>IF($F$170=FALSE,"",IF(Q150="","",ToMTair(vcfTab,WCF_Standard,Q150,Q154)))</f>
        <v/>
      </c>
      <c r="S170" s="306"/>
      <c r="T170" s="306"/>
    </row>
    <row r="171" ht="12.45" hidden="1" customHeight="1" spans="1:20">
      <c r="A171" t="str">
        <f t="shared" si="27"/>
        <v>隐藏</v>
      </c>
      <c r="C171" s="482" t="str">
        <f t="shared" si="24"/>
        <v>隐藏</v>
      </c>
      <c r="D171" s="482" t="str">
        <f t="shared" si="25"/>
        <v>隐藏</v>
      </c>
      <c r="E171" s="482"/>
      <c r="F171" s="109" t="b">
        <v>0</v>
      </c>
      <c r="H171" s="80" t="str">
        <f t="shared" si="26"/>
        <v>Gross - Long Tons (in vacuo)</v>
      </c>
      <c r="I171" s="47"/>
      <c r="J171" s="47"/>
      <c r="K171" s="47"/>
      <c r="L171" s="521" t="str">
        <f>IF($F$171=FALSE,"",IF(L150="","",ToLTvacuo(vcfTab,WCF_Standard,L150,L154)))</f>
        <v/>
      </c>
      <c r="M171" s="521" t="str">
        <f>IF($F$171=FALSE,"",IF(M150="","",ToLTvacuo(vcfTab,WCF_Standard,M150,M154)))</f>
        <v/>
      </c>
      <c r="N171" s="521" t="str">
        <f>IF($F$171=FALSE,"",IF(N150="","",ToLTvacuo(vcfTab,WCF_Standard,N150,N154)))</f>
        <v/>
      </c>
      <c r="O171" s="521" t="str">
        <f>IF($F$171=FALSE,"",IF(O150="","",ToLTvacuo(vcfTab,WCF_Standard,O150,O154)))</f>
        <v/>
      </c>
      <c r="P171" s="521" t="str">
        <f>IF($F$171=FALSE,"",IF(P150="","",ToLTvacuo(vcfTab,WCF_Standard,P150,P154)))</f>
        <v/>
      </c>
      <c r="Q171" s="521" t="str">
        <f>IF($F$171=FALSE,"",IF(Q150="","",ToLTvacuo(vcfTab,WCF_Standard,Q150,Q154)))</f>
        <v/>
      </c>
      <c r="S171" s="306"/>
      <c r="T171" s="306"/>
    </row>
    <row r="172" ht="12.45" hidden="1" customHeight="1" spans="1:20">
      <c r="A172" t="str">
        <f t="shared" si="27"/>
        <v>隐藏</v>
      </c>
      <c r="C172" s="482" t="str">
        <f t="shared" si="24"/>
        <v>显示</v>
      </c>
      <c r="D172" s="482" t="str">
        <f t="shared" si="25"/>
        <v>隐藏</v>
      </c>
      <c r="E172" s="482"/>
      <c r="F172" s="109" t="b">
        <v>1</v>
      </c>
      <c r="H172" s="80" t="str">
        <f t="shared" si="26"/>
        <v>Gross - Long Tons (in air)</v>
      </c>
      <c r="I172" s="47"/>
      <c r="J172" s="47"/>
      <c r="K172" s="47"/>
      <c r="L172" s="521" t="e">
        <f>IF($F$172=FALSE,"",IF(L150="","",ToLTair(vcfTab,WCF_Standard,L150,L154)))</f>
        <v>#NAME?</v>
      </c>
      <c r="M172" s="521">
        <f>IF($F$172=FALSE,"",IF(M150="","",ToLTair(vcfTab,WCF_Standard,M150,M154)))</f>
        <v>1041.884</v>
      </c>
      <c r="N172" s="521" t="str">
        <f>IF($F$172=FALSE,"",IF(N150="","",ToLTair(vcfTab,WCF_Standard,N150,N154)))</f>
        <v/>
      </c>
      <c r="O172" s="521" t="str">
        <f>IF($F$172=FALSE,"",IF(O150="","",ToLTair(vcfTab,WCF_Standard,O150,O154)))</f>
        <v/>
      </c>
      <c r="P172" s="521" t="str">
        <f>IF($F$172=FALSE,"",IF(P150="","",ToLTair(vcfTab,WCF_Standard,P150,P154)))</f>
        <v/>
      </c>
      <c r="Q172" s="521" t="str">
        <f>IF($F$172=FALSE,"",IF(Q150="","",ToLTair(vcfTab,WCF_Standard,Q150,Q154)))</f>
        <v/>
      </c>
      <c r="S172" s="306"/>
      <c r="T172" s="306"/>
    </row>
    <row r="173" ht="12.45" hidden="1" customHeight="1" spans="1:20">
      <c r="A173" t="str">
        <f t="shared" si="27"/>
        <v>隐藏</v>
      </c>
      <c r="C173" s="482" t="str">
        <f>C162</f>
        <v>隐藏</v>
      </c>
      <c r="D173" s="482" t="str">
        <f t="shared" si="25"/>
        <v>隐藏</v>
      </c>
      <c r="E173" s="482" t="str">
        <f t="shared" ref="E173:E183" si="29">IF(Cargo_type="A","显示","隐藏")</f>
        <v>隐藏</v>
      </c>
      <c r="H173" s="80" t="str">
        <f t="shared" ref="H173:H183" si="30">$P$20&amp;" - "&amp;P5</f>
        <v>Net - US Barrels (Obsd. Temp.)</v>
      </c>
      <c r="I173" s="47"/>
      <c r="J173" s="47"/>
      <c r="K173" s="47"/>
      <c r="L173" s="521" t="str">
        <f t="shared" ref="L173:Q173" si="31">IF(L162="","",ROUND(L162*(1-$L$109%),2))</f>
        <v/>
      </c>
      <c r="M173" s="521" t="str">
        <f t="shared" si="31"/>
        <v/>
      </c>
      <c r="N173" s="521" t="str">
        <f t="shared" si="31"/>
        <v/>
      </c>
      <c r="O173" s="521" t="str">
        <f t="shared" si="31"/>
        <v/>
      </c>
      <c r="P173" s="521" t="str">
        <f t="shared" si="31"/>
        <v/>
      </c>
      <c r="Q173" s="521" t="str">
        <f t="shared" si="31"/>
        <v/>
      </c>
      <c r="S173" s="306"/>
      <c r="T173" s="306"/>
    </row>
    <row r="174" ht="12.45" hidden="1" customHeight="1" spans="1:20">
      <c r="A174" t="str">
        <f t="shared" si="27"/>
        <v>隐藏</v>
      </c>
      <c r="C174" s="482" t="str">
        <f t="shared" ref="C174:C183" si="32">C163</f>
        <v>隐藏</v>
      </c>
      <c r="D174" s="482" t="str">
        <f t="shared" si="25"/>
        <v>隐藏</v>
      </c>
      <c r="E174" s="482" t="str">
        <f t="shared" si="29"/>
        <v>隐藏</v>
      </c>
      <c r="H174" s="80" t="str">
        <f t="shared" si="30"/>
        <v>Net - Cubic Meters (Obsd. Temp.)</v>
      </c>
      <c r="I174" s="47"/>
      <c r="J174" s="47"/>
      <c r="K174" s="47"/>
      <c r="L174" s="521" t="str">
        <f t="shared" ref="L174:Q174" si="33">IF(L163="","",ROUND(L163*(1-$L$109%),3))</f>
        <v/>
      </c>
      <c r="M174" s="521" t="str">
        <f t="shared" si="33"/>
        <v/>
      </c>
      <c r="N174" s="521" t="str">
        <f t="shared" si="33"/>
        <v/>
      </c>
      <c r="O174" s="521" t="str">
        <f t="shared" si="33"/>
        <v/>
      </c>
      <c r="P174" s="521" t="str">
        <f t="shared" si="33"/>
        <v/>
      </c>
      <c r="Q174" s="521" t="str">
        <f t="shared" si="33"/>
        <v/>
      </c>
      <c r="S174" s="306"/>
      <c r="T174" s="306"/>
    </row>
    <row r="175" ht="12.45" hidden="1" customHeight="1" spans="1:20">
      <c r="A175" t="str">
        <f t="shared" si="27"/>
        <v>隐藏</v>
      </c>
      <c r="C175" s="482" t="str">
        <f t="shared" si="32"/>
        <v>显示</v>
      </c>
      <c r="D175" s="482" t="str">
        <f t="shared" si="25"/>
        <v>隐藏</v>
      </c>
      <c r="E175" s="482" t="str">
        <f t="shared" si="29"/>
        <v>隐藏</v>
      </c>
      <c r="H175" s="80" t="str">
        <f t="shared" si="30"/>
        <v>Net - US Barrels (60℉)</v>
      </c>
      <c r="I175" s="47"/>
      <c r="J175" s="47"/>
      <c r="K175" s="47"/>
      <c r="L175" s="521" t="e">
        <f t="shared" ref="L175:Q175" si="34">IF(L164="","",ROUND(L164*(1-$L$109%),2))</f>
        <v>#NAME?</v>
      </c>
      <c r="M175" s="521" t="e">
        <f t="shared" si="34"/>
        <v>#NAME?</v>
      </c>
      <c r="N175" s="521" t="str">
        <f t="shared" si="34"/>
        <v/>
      </c>
      <c r="O175" s="521" t="str">
        <f t="shared" si="34"/>
        <v/>
      </c>
      <c r="P175" s="521" t="str">
        <f t="shared" si="34"/>
        <v/>
      </c>
      <c r="Q175" s="521" t="str">
        <f t="shared" si="34"/>
        <v/>
      </c>
      <c r="S175" s="306"/>
      <c r="T175" s="306"/>
    </row>
    <row r="176" ht="12.45" hidden="1" customHeight="1" spans="1:20">
      <c r="A176" t="str">
        <f t="shared" si="27"/>
        <v>隐藏</v>
      </c>
      <c r="C176" s="482" t="str">
        <f t="shared" si="32"/>
        <v>隐藏</v>
      </c>
      <c r="D176" s="482" t="str">
        <f t="shared" si="25"/>
        <v>隐藏</v>
      </c>
      <c r="E176" s="482" t="str">
        <f t="shared" si="29"/>
        <v>隐藏</v>
      </c>
      <c r="H176" s="80" t="str">
        <f t="shared" si="30"/>
        <v>Net - US Gallon (60℉)</v>
      </c>
      <c r="I176" s="47"/>
      <c r="J176" s="47"/>
      <c r="K176" s="47"/>
      <c r="L176" s="521" t="str">
        <f t="shared" ref="L176:Q176" si="35">IF(L165="","",ROUND(L165*(1-$L$109%),0))</f>
        <v/>
      </c>
      <c r="M176" s="521" t="str">
        <f t="shared" si="35"/>
        <v/>
      </c>
      <c r="N176" s="521" t="str">
        <f t="shared" si="35"/>
        <v/>
      </c>
      <c r="O176" s="521" t="str">
        <f t="shared" si="35"/>
        <v/>
      </c>
      <c r="P176" s="521" t="str">
        <f t="shared" si="35"/>
        <v/>
      </c>
      <c r="Q176" s="521" t="str">
        <f t="shared" si="35"/>
        <v/>
      </c>
      <c r="S176" s="306"/>
      <c r="T176" s="306"/>
    </row>
    <row r="177" ht="12.45" hidden="1" customHeight="1" spans="1:20">
      <c r="A177" t="str">
        <f t="shared" si="27"/>
        <v>隐藏</v>
      </c>
      <c r="C177" s="482" t="str">
        <f t="shared" si="32"/>
        <v>隐藏</v>
      </c>
      <c r="D177" s="482" t="str">
        <f t="shared" si="25"/>
        <v>隐藏</v>
      </c>
      <c r="E177" s="482" t="str">
        <f t="shared" si="29"/>
        <v>隐藏</v>
      </c>
      <c r="H177" s="80" t="str">
        <f t="shared" si="30"/>
        <v>Net - Cubic Meters (15℃)</v>
      </c>
      <c r="I177" s="47"/>
      <c r="J177" s="47"/>
      <c r="K177" s="47"/>
      <c r="L177" s="521" t="str">
        <f>IF(L166="","",ROUND(L166*(1-$L$109%),3))</f>
        <v/>
      </c>
      <c r="M177" s="521" t="str">
        <f t="shared" ref="M177:N183" si="36">IF(M166="","",ROUND(M166*(1-$L$109%),3))</f>
        <v/>
      </c>
      <c r="N177" s="521" t="str">
        <f>IF(N166="","",ROUND(N166*(1-$L$109%),3))</f>
        <v/>
      </c>
      <c r="O177" s="521" t="str">
        <f t="shared" ref="O177:P183" si="37">IF(O166="","",ROUND(O166*(1-$L$109%),3))</f>
        <v/>
      </c>
      <c r="P177" s="521" t="str">
        <f>IF(P166="","",ROUND(P166*(1-$L$109%),3))</f>
        <v/>
      </c>
      <c r="Q177" s="521" t="str">
        <f t="shared" ref="Q177:Q183" si="38">IF(Q166="","",ROUND(Q166*(1-$L$109%),3))</f>
        <v/>
      </c>
      <c r="S177" s="306"/>
      <c r="T177" s="306"/>
    </row>
    <row r="178" ht="12.45" hidden="1" customHeight="1" spans="1:20">
      <c r="A178" t="str">
        <f t="shared" si="27"/>
        <v>隐藏</v>
      </c>
      <c r="C178" s="482" t="str">
        <f t="shared" si="32"/>
        <v>显示</v>
      </c>
      <c r="D178" s="482" t="str">
        <f t="shared" si="25"/>
        <v>隐藏</v>
      </c>
      <c r="E178" s="482" t="str">
        <f t="shared" si="29"/>
        <v>隐藏</v>
      </c>
      <c r="H178" s="80" t="str">
        <f t="shared" si="30"/>
        <v>Net - Cubic Meters (20℃)</v>
      </c>
      <c r="I178" s="47"/>
      <c r="J178" s="47"/>
      <c r="K178" s="47"/>
      <c r="L178" s="521" t="e">
        <f t="shared" ref="L178:L183" si="39">IF(L167="","",ROUND(L167*(1-$L$109%),3))</f>
        <v>#NAME?</v>
      </c>
      <c r="M178" s="521">
        <f t="shared" si="36"/>
        <v>1075.255</v>
      </c>
      <c r="N178" s="521" t="str">
        <f t="shared" si="36"/>
        <v/>
      </c>
      <c r="O178" s="521" t="str">
        <f t="shared" si="37"/>
        <v/>
      </c>
      <c r="P178" s="521" t="str">
        <f t="shared" si="37"/>
        <v/>
      </c>
      <c r="Q178" s="521" t="str">
        <f t="shared" si="38"/>
        <v/>
      </c>
      <c r="S178" s="306"/>
      <c r="T178" s="306"/>
    </row>
    <row r="179" ht="12.45" hidden="1" customHeight="1" spans="1:20">
      <c r="A179" t="str">
        <f t="shared" si="27"/>
        <v>隐藏</v>
      </c>
      <c r="C179" s="482" t="str">
        <f t="shared" si="32"/>
        <v>隐藏</v>
      </c>
      <c r="D179" s="482" t="str">
        <f t="shared" si="25"/>
        <v>隐藏</v>
      </c>
      <c r="E179" s="482" t="str">
        <f t="shared" si="29"/>
        <v>隐藏</v>
      </c>
      <c r="H179" s="80" t="str">
        <f t="shared" si="30"/>
        <v>Net - Cubic Meters (30℃)</v>
      </c>
      <c r="I179" s="47"/>
      <c r="J179" s="47"/>
      <c r="K179" s="47"/>
      <c r="L179" s="521" t="str">
        <f t="shared" si="39"/>
        <v/>
      </c>
      <c r="M179" s="521" t="str">
        <f t="shared" si="36"/>
        <v/>
      </c>
      <c r="N179" s="521" t="str">
        <f t="shared" si="36"/>
        <v/>
      </c>
      <c r="O179" s="521" t="str">
        <f t="shared" si="37"/>
        <v/>
      </c>
      <c r="P179" s="521" t="str">
        <f t="shared" si="37"/>
        <v/>
      </c>
      <c r="Q179" s="521" t="str">
        <f t="shared" si="38"/>
        <v/>
      </c>
      <c r="S179" s="306"/>
      <c r="T179" s="306"/>
    </row>
    <row r="180" ht="12.45" hidden="1" customHeight="1" spans="1:20">
      <c r="A180" t="str">
        <f t="shared" si="27"/>
        <v>隐藏</v>
      </c>
      <c r="C180" s="482" t="str">
        <f t="shared" si="32"/>
        <v>隐藏</v>
      </c>
      <c r="D180" s="482" t="str">
        <f t="shared" si="25"/>
        <v>隐藏</v>
      </c>
      <c r="E180" s="482" t="str">
        <f t="shared" si="29"/>
        <v>隐藏</v>
      </c>
      <c r="H180" s="80" t="str">
        <f t="shared" si="30"/>
        <v>Net - Metric Tons (in vacuo)</v>
      </c>
      <c r="I180" s="47"/>
      <c r="J180" s="47"/>
      <c r="K180" s="47"/>
      <c r="L180" s="521" t="str">
        <f t="shared" si="39"/>
        <v/>
      </c>
      <c r="M180" s="521" t="str">
        <f t="shared" si="36"/>
        <v/>
      </c>
      <c r="N180" s="521" t="str">
        <f t="shared" si="36"/>
        <v/>
      </c>
      <c r="O180" s="521" t="str">
        <f t="shared" si="37"/>
        <v/>
      </c>
      <c r="P180" s="521" t="str">
        <f t="shared" si="37"/>
        <v/>
      </c>
      <c r="Q180" s="521" t="str">
        <f t="shared" si="38"/>
        <v/>
      </c>
      <c r="S180" s="306"/>
      <c r="T180" s="306"/>
    </row>
    <row r="181" ht="12.45" hidden="1" customHeight="1" spans="1:20">
      <c r="A181" t="str">
        <f t="shared" si="27"/>
        <v>隐藏</v>
      </c>
      <c r="C181" s="482" t="str">
        <f t="shared" si="32"/>
        <v>显示</v>
      </c>
      <c r="D181" s="482" t="str">
        <f t="shared" si="25"/>
        <v>隐藏</v>
      </c>
      <c r="E181" s="482" t="str">
        <f t="shared" si="29"/>
        <v>隐藏</v>
      </c>
      <c r="H181" s="80" t="str">
        <f t="shared" si="30"/>
        <v>Net - Metric Tons (in air)</v>
      </c>
      <c r="I181" s="47"/>
      <c r="J181" s="47"/>
      <c r="K181" s="47"/>
      <c r="L181" s="521" t="e">
        <f t="shared" si="39"/>
        <v>#NAME?</v>
      </c>
      <c r="M181" s="521">
        <f t="shared" si="36"/>
        <v>1056.115</v>
      </c>
      <c r="N181" s="521" t="str">
        <f t="shared" si="36"/>
        <v/>
      </c>
      <c r="O181" s="521" t="str">
        <f t="shared" si="37"/>
        <v/>
      </c>
      <c r="P181" s="521" t="str">
        <f t="shared" si="37"/>
        <v/>
      </c>
      <c r="Q181" s="521" t="str">
        <f t="shared" si="38"/>
        <v/>
      </c>
      <c r="S181" s="306"/>
      <c r="T181" s="306"/>
    </row>
    <row r="182" ht="12.45" hidden="1" customHeight="1" spans="1:20">
      <c r="A182" t="str">
        <f t="shared" si="27"/>
        <v>隐藏</v>
      </c>
      <c r="C182" s="482" t="str">
        <f t="shared" si="32"/>
        <v>隐藏</v>
      </c>
      <c r="D182" s="482" t="str">
        <f t="shared" si="25"/>
        <v>隐藏</v>
      </c>
      <c r="E182" s="482" t="str">
        <f t="shared" si="29"/>
        <v>隐藏</v>
      </c>
      <c r="H182" s="80" t="str">
        <f t="shared" si="30"/>
        <v>Net - Long Tons (in vacuo)</v>
      </c>
      <c r="I182" s="47"/>
      <c r="J182" s="47"/>
      <c r="K182" s="47"/>
      <c r="L182" s="521" t="str">
        <f t="shared" si="39"/>
        <v/>
      </c>
      <c r="M182" s="521" t="str">
        <f t="shared" si="36"/>
        <v/>
      </c>
      <c r="N182" s="521" t="str">
        <f t="shared" si="36"/>
        <v/>
      </c>
      <c r="O182" s="521" t="str">
        <f t="shared" si="37"/>
        <v/>
      </c>
      <c r="P182" s="521" t="str">
        <f t="shared" si="37"/>
        <v/>
      </c>
      <c r="Q182" s="521" t="str">
        <f t="shared" si="38"/>
        <v/>
      </c>
      <c r="S182" s="306"/>
      <c r="T182" s="306"/>
    </row>
    <row r="183" ht="12.45" hidden="1" customHeight="1" spans="1:20">
      <c r="A183" t="str">
        <f t="shared" si="27"/>
        <v>隐藏</v>
      </c>
      <c r="C183" s="482" t="str">
        <f t="shared" si="32"/>
        <v>显示</v>
      </c>
      <c r="D183" s="482" t="str">
        <f t="shared" si="25"/>
        <v>隐藏</v>
      </c>
      <c r="E183" s="482" t="str">
        <f t="shared" si="29"/>
        <v>隐藏</v>
      </c>
      <c r="H183" s="80" t="str">
        <f t="shared" si="30"/>
        <v>Net - Long Tons (in air)</v>
      </c>
      <c r="I183" s="47"/>
      <c r="J183" s="47"/>
      <c r="K183" s="47"/>
      <c r="L183" s="523" t="e">
        <f t="shared" si="39"/>
        <v>#NAME?</v>
      </c>
      <c r="M183" s="523">
        <f t="shared" si="36"/>
        <v>1039.436</v>
      </c>
      <c r="N183" s="523" t="str">
        <f t="shared" si="36"/>
        <v/>
      </c>
      <c r="O183" s="523" t="str">
        <f t="shared" si="37"/>
        <v/>
      </c>
      <c r="P183" s="523" t="str">
        <f t="shared" si="37"/>
        <v/>
      </c>
      <c r="Q183" s="523" t="str">
        <f t="shared" si="38"/>
        <v/>
      </c>
      <c r="S183" s="306"/>
      <c r="T183" s="306"/>
    </row>
    <row r="184" spans="1:20">
      <c r="A184" t="str">
        <f t="shared" si="27"/>
        <v>显示</v>
      </c>
      <c r="D184" s="482" t="str">
        <f t="shared" ref="D184:D195" si="40">IF(计算方法=Inventory,"隐藏","显示")</f>
        <v>显示</v>
      </c>
      <c r="E184" s="482"/>
      <c r="H184" s="86" t="str">
        <f>IF(计算方法=Delivery,P21,IF(计算方法=Received,P22,"需要隐藏"))</f>
        <v>DELIVERED QUANTITY OF INDIVIDUAL TANK </v>
      </c>
      <c r="I184" s="47"/>
      <c r="J184" s="47"/>
      <c r="K184" s="47"/>
      <c r="L184" s="524" t="str">
        <f>IF(Cargo_type="A",$P$19,"")</f>
        <v/>
      </c>
      <c r="M184" s="525" t="str">
        <f>IF(Cargo_type="A",$P$20,"")</f>
        <v/>
      </c>
      <c r="N184" s="524" t="str">
        <f>IF(Cargo_type="A",$P$19,"")</f>
        <v/>
      </c>
      <c r="O184" s="525" t="str">
        <f>IF(Cargo_type="A",$P$20,"")</f>
        <v/>
      </c>
      <c r="P184" s="524" t="str">
        <f>IF(Cargo_type="A",$P$19,"")</f>
        <v/>
      </c>
      <c r="Q184" s="525" t="str">
        <f>IF(Cargo_type="A",$P$20,"")</f>
        <v/>
      </c>
      <c r="S184" s="306"/>
      <c r="T184" s="306"/>
    </row>
    <row r="185" ht="12.45" hidden="1" customHeight="1" spans="1:20">
      <c r="A185" t="str">
        <f t="shared" si="27"/>
        <v>隐藏</v>
      </c>
      <c r="C185" s="482" t="str">
        <f>C162</f>
        <v>隐藏</v>
      </c>
      <c r="D185" s="482" t="str">
        <f t="shared" si="40"/>
        <v>显示</v>
      </c>
      <c r="E185" s="482"/>
      <c r="H185" s="80" t="str">
        <f t="shared" ref="H185:H195" si="41">P5</f>
        <v>US Barrels (Obsd. Temp.)</v>
      </c>
      <c r="I185" s="47"/>
      <c r="J185" s="47"/>
      <c r="K185" s="47"/>
      <c r="L185" s="83" t="str">
        <f t="shared" ref="L185:L195" si="42">IF(L162="","",IF(计算方法=Inventory,"需要隐藏",IF(计算方法=Received,M162-L162,L162-M162)))</f>
        <v/>
      </c>
      <c r="M185" s="83" t="str">
        <f t="shared" ref="M185:M195" si="43">IF(L173="","",IF(Cargo_type&lt;&gt;"A","",IF(计算方法=Inventory,"需要隐藏",IF(计算方法=Received,M173-L173,L173-M173))))</f>
        <v/>
      </c>
      <c r="N185" s="83" t="str">
        <f t="shared" ref="N185:N195" si="44">IF(N162="","",IF(计算方法=Inventory,"需要隐藏",IF(计算方法=Received,O162-N162,N162-O162)))</f>
        <v/>
      </c>
      <c r="O185" s="83" t="str">
        <f t="shared" ref="O185:O195" si="45">IF(N173="","",IF(Cargo_type&lt;&gt;"A","",IF(计算方法=Inventory,"需要隐藏",IF(计算方法=Received,O173-N173,N173-O173))))</f>
        <v/>
      </c>
      <c r="P185" s="83" t="str">
        <f t="shared" ref="P185:P195" si="46">IF(P162="","",IF(计算方法=Inventory,"需要隐藏",IF(计算方法=Received,Q162-P162,P162-Q162)))</f>
        <v/>
      </c>
      <c r="Q185" s="83" t="str">
        <f t="shared" ref="Q185:Q195" si="47">IF(P173="","",IF(Cargo_type&lt;&gt;"A","",IF(计算方法=Inventory,"需要隐藏",IF(计算方法=Received,Q173-P173,P173-Q173))))</f>
        <v/>
      </c>
      <c r="S185" s="306"/>
      <c r="T185" s="306"/>
    </row>
    <row r="186" ht="12.45" hidden="1" customHeight="1" spans="1:20">
      <c r="A186" t="str">
        <f t="shared" si="27"/>
        <v>隐藏</v>
      </c>
      <c r="C186" s="482" t="str">
        <f t="shared" ref="C186:C195" si="48">C163</f>
        <v>隐藏</v>
      </c>
      <c r="D186" s="482" t="str">
        <f t="shared" si="40"/>
        <v>显示</v>
      </c>
      <c r="E186" s="482"/>
      <c r="H186" s="80" t="str">
        <f t="shared" si="41"/>
        <v>Cubic Meters (Obsd. Temp.)</v>
      </c>
      <c r="I186" s="47"/>
      <c r="J186" s="47"/>
      <c r="K186" s="47"/>
      <c r="L186" s="83" t="str">
        <f t="shared" si="42"/>
        <v/>
      </c>
      <c r="M186" s="83" t="str">
        <f t="shared" si="43"/>
        <v/>
      </c>
      <c r="N186" s="83" t="str">
        <f t="shared" si="44"/>
        <v/>
      </c>
      <c r="O186" s="83" t="str">
        <f t="shared" si="45"/>
        <v/>
      </c>
      <c r="P186" s="83" t="str">
        <f t="shared" si="46"/>
        <v/>
      </c>
      <c r="Q186" s="83" t="str">
        <f t="shared" si="47"/>
        <v/>
      </c>
      <c r="S186" s="306"/>
      <c r="T186" s="306"/>
    </row>
    <row r="187" ht="12.45" customHeight="1" spans="1:20">
      <c r="A187" t="str">
        <f t="shared" si="27"/>
        <v>显示</v>
      </c>
      <c r="C187" s="482" t="str">
        <f t="shared" si="48"/>
        <v>显示</v>
      </c>
      <c r="D187" s="482" t="str">
        <f t="shared" si="40"/>
        <v>显示</v>
      </c>
      <c r="E187" s="482"/>
      <c r="H187" s="80" t="str">
        <f t="shared" si="41"/>
        <v>US Barrels (60℉)</v>
      </c>
      <c r="I187" s="47"/>
      <c r="J187" s="47"/>
      <c r="K187" s="47"/>
      <c r="L187" s="83" t="e">
        <f t="shared" si="42"/>
        <v>#NAME?</v>
      </c>
      <c r="M187" s="83" t="e">
        <f t="shared" si="43"/>
        <v>#NAME?</v>
      </c>
      <c r="N187" s="83" t="str">
        <f t="shared" si="44"/>
        <v/>
      </c>
      <c r="O187" s="83" t="str">
        <f t="shared" si="45"/>
        <v/>
      </c>
      <c r="P187" s="83" t="str">
        <f t="shared" si="46"/>
        <v/>
      </c>
      <c r="Q187" s="83" t="str">
        <f t="shared" si="47"/>
        <v/>
      </c>
      <c r="S187" s="306"/>
      <c r="T187" s="306"/>
    </row>
    <row r="188" ht="12.45" hidden="1" customHeight="1" spans="1:20">
      <c r="A188" t="str">
        <f t="shared" si="27"/>
        <v>隐藏</v>
      </c>
      <c r="C188" s="482" t="str">
        <f t="shared" si="48"/>
        <v>隐藏</v>
      </c>
      <c r="D188" s="482" t="str">
        <f t="shared" si="40"/>
        <v>显示</v>
      </c>
      <c r="E188" s="482"/>
      <c r="H188" s="80" t="str">
        <f t="shared" si="41"/>
        <v>US Gallon (60℉)</v>
      </c>
      <c r="I188" s="47"/>
      <c r="J188" s="47"/>
      <c r="K188" s="47"/>
      <c r="L188" s="83" t="str">
        <f t="shared" si="42"/>
        <v/>
      </c>
      <c r="M188" s="83" t="str">
        <f t="shared" si="43"/>
        <v/>
      </c>
      <c r="N188" s="83" t="str">
        <f t="shared" si="44"/>
        <v/>
      </c>
      <c r="O188" s="83" t="str">
        <f t="shared" si="45"/>
        <v/>
      </c>
      <c r="P188" s="83" t="str">
        <f t="shared" si="46"/>
        <v/>
      </c>
      <c r="Q188" s="83" t="str">
        <f t="shared" si="47"/>
        <v/>
      </c>
      <c r="S188" s="306"/>
      <c r="T188" s="306"/>
    </row>
    <row r="189" ht="12.45" hidden="1" customHeight="1" spans="1:20">
      <c r="A189" t="str">
        <f t="shared" si="27"/>
        <v>隐藏</v>
      </c>
      <c r="C189" s="482" t="str">
        <f t="shared" si="48"/>
        <v>隐藏</v>
      </c>
      <c r="D189" s="482" t="str">
        <f t="shared" si="40"/>
        <v>显示</v>
      </c>
      <c r="E189" s="482"/>
      <c r="H189" s="80" t="str">
        <f t="shared" si="41"/>
        <v>Cubic Meters (15℃)</v>
      </c>
      <c r="I189" s="47"/>
      <c r="J189" s="47"/>
      <c r="K189" s="47"/>
      <c r="L189" s="83" t="str">
        <f t="shared" si="42"/>
        <v/>
      </c>
      <c r="M189" s="83" t="str">
        <f t="shared" si="43"/>
        <v/>
      </c>
      <c r="N189" s="83" t="str">
        <f t="shared" si="44"/>
        <v/>
      </c>
      <c r="O189" s="83" t="str">
        <f t="shared" si="45"/>
        <v/>
      </c>
      <c r="P189" s="83" t="str">
        <f t="shared" si="46"/>
        <v/>
      </c>
      <c r="Q189" s="83" t="str">
        <f t="shared" si="47"/>
        <v/>
      </c>
      <c r="S189" s="306"/>
      <c r="T189" s="306"/>
    </row>
    <row r="190" ht="12.45" customHeight="1" spans="1:20">
      <c r="A190" t="str">
        <f t="shared" si="27"/>
        <v>显示</v>
      </c>
      <c r="C190" s="482" t="str">
        <f t="shared" si="48"/>
        <v>显示</v>
      </c>
      <c r="D190" s="482" t="str">
        <f t="shared" si="40"/>
        <v>显示</v>
      </c>
      <c r="E190" s="482"/>
      <c r="H190" s="80" t="str">
        <f t="shared" si="41"/>
        <v>Cubic Meters (20℃)</v>
      </c>
      <c r="I190" s="47"/>
      <c r="J190" s="47"/>
      <c r="K190" s="47"/>
      <c r="L190" s="83" t="e">
        <f t="shared" si="42"/>
        <v>#NAME?</v>
      </c>
      <c r="M190" s="83" t="e">
        <f t="shared" si="43"/>
        <v>#NAME?</v>
      </c>
      <c r="N190" s="83" t="str">
        <f t="shared" si="44"/>
        <v/>
      </c>
      <c r="O190" s="83" t="str">
        <f t="shared" si="45"/>
        <v/>
      </c>
      <c r="P190" s="83" t="str">
        <f t="shared" si="46"/>
        <v/>
      </c>
      <c r="Q190" s="83" t="str">
        <f t="shared" si="47"/>
        <v/>
      </c>
      <c r="S190" s="306"/>
      <c r="T190" s="306"/>
    </row>
    <row r="191" ht="12.45" hidden="1" customHeight="1" spans="1:20">
      <c r="A191" t="str">
        <f t="shared" si="27"/>
        <v>隐藏</v>
      </c>
      <c r="C191" s="482" t="str">
        <f t="shared" si="48"/>
        <v>隐藏</v>
      </c>
      <c r="D191" s="482" t="str">
        <f t="shared" si="40"/>
        <v>显示</v>
      </c>
      <c r="E191" s="482"/>
      <c r="H191" s="80" t="str">
        <f t="shared" si="41"/>
        <v>Cubic Meters (30℃)</v>
      </c>
      <c r="I191" s="47"/>
      <c r="J191" s="47"/>
      <c r="K191" s="47"/>
      <c r="L191" s="83" t="str">
        <f t="shared" si="42"/>
        <v/>
      </c>
      <c r="M191" s="83" t="str">
        <f t="shared" si="43"/>
        <v/>
      </c>
      <c r="N191" s="83" t="str">
        <f t="shared" si="44"/>
        <v/>
      </c>
      <c r="O191" s="83" t="str">
        <f t="shared" si="45"/>
        <v/>
      </c>
      <c r="P191" s="83" t="str">
        <f t="shared" si="46"/>
        <v/>
      </c>
      <c r="Q191" s="83" t="str">
        <f t="shared" si="47"/>
        <v/>
      </c>
      <c r="S191" s="306"/>
      <c r="T191" s="306"/>
    </row>
    <row r="192" ht="12.45" hidden="1" customHeight="1" spans="1:20">
      <c r="A192" t="str">
        <f t="shared" si="27"/>
        <v>隐藏</v>
      </c>
      <c r="C192" s="482" t="str">
        <f t="shared" si="48"/>
        <v>隐藏</v>
      </c>
      <c r="D192" s="482" t="str">
        <f t="shared" si="40"/>
        <v>显示</v>
      </c>
      <c r="E192" s="482"/>
      <c r="H192" s="80" t="str">
        <f t="shared" si="41"/>
        <v>Metric Tons (in vacuo)</v>
      </c>
      <c r="I192" s="47"/>
      <c r="J192" s="47"/>
      <c r="K192" s="47"/>
      <c r="L192" s="83" t="str">
        <f t="shared" si="42"/>
        <v/>
      </c>
      <c r="M192" s="83" t="str">
        <f t="shared" si="43"/>
        <v/>
      </c>
      <c r="N192" s="83" t="str">
        <f t="shared" si="44"/>
        <v/>
      </c>
      <c r="O192" s="83" t="str">
        <f t="shared" si="45"/>
        <v/>
      </c>
      <c r="P192" s="83" t="str">
        <f t="shared" si="46"/>
        <v/>
      </c>
      <c r="Q192" s="83" t="str">
        <f t="shared" si="47"/>
        <v/>
      </c>
      <c r="S192" s="306"/>
      <c r="T192" s="306"/>
    </row>
    <row r="193" ht="12.45" customHeight="1" spans="1:20">
      <c r="A193" t="str">
        <f t="shared" si="27"/>
        <v>显示</v>
      </c>
      <c r="C193" s="482" t="str">
        <f t="shared" si="48"/>
        <v>显示</v>
      </c>
      <c r="D193" s="482" t="str">
        <f t="shared" si="40"/>
        <v>显示</v>
      </c>
      <c r="E193" s="482"/>
      <c r="H193" s="80" t="str">
        <f t="shared" si="41"/>
        <v>Metric Tons (in air)</v>
      </c>
      <c r="I193" s="47"/>
      <c r="J193" s="47"/>
      <c r="K193" s="47"/>
      <c r="L193" s="83" t="e">
        <f t="shared" si="42"/>
        <v>#NAME?</v>
      </c>
      <c r="M193" s="83" t="e">
        <f t="shared" si="43"/>
        <v>#NAME?</v>
      </c>
      <c r="N193" s="83" t="str">
        <f t="shared" si="44"/>
        <v/>
      </c>
      <c r="O193" s="83" t="str">
        <f t="shared" si="45"/>
        <v/>
      </c>
      <c r="P193" s="83" t="str">
        <f t="shared" si="46"/>
        <v/>
      </c>
      <c r="Q193" s="83" t="str">
        <f t="shared" si="47"/>
        <v/>
      </c>
      <c r="S193" s="306"/>
      <c r="T193" s="306"/>
    </row>
    <row r="194" ht="12.45" hidden="1" customHeight="1" spans="1:20">
      <c r="A194" t="str">
        <f t="shared" si="27"/>
        <v>隐藏</v>
      </c>
      <c r="C194" s="482" t="str">
        <f t="shared" si="48"/>
        <v>隐藏</v>
      </c>
      <c r="D194" s="482" t="str">
        <f t="shared" si="40"/>
        <v>显示</v>
      </c>
      <c r="E194" s="482"/>
      <c r="H194" s="80" t="str">
        <f t="shared" si="41"/>
        <v>Long Tons (in vacuo)</v>
      </c>
      <c r="I194" s="47"/>
      <c r="J194" s="47"/>
      <c r="K194" s="47"/>
      <c r="L194" s="83" t="str">
        <f t="shared" si="42"/>
        <v/>
      </c>
      <c r="M194" s="83" t="str">
        <f t="shared" si="43"/>
        <v/>
      </c>
      <c r="N194" s="83" t="str">
        <f t="shared" si="44"/>
        <v/>
      </c>
      <c r="O194" s="83" t="str">
        <f t="shared" si="45"/>
        <v/>
      </c>
      <c r="P194" s="83" t="str">
        <f t="shared" si="46"/>
        <v/>
      </c>
      <c r="Q194" s="83" t="str">
        <f t="shared" si="47"/>
        <v/>
      </c>
      <c r="S194" s="306"/>
      <c r="T194" s="306"/>
    </row>
    <row r="195" ht="12.45" customHeight="1" spans="1:20">
      <c r="A195" t="str">
        <f t="shared" si="27"/>
        <v>显示</v>
      </c>
      <c r="C195" s="482" t="str">
        <f t="shared" si="48"/>
        <v>显示</v>
      </c>
      <c r="D195" s="482" t="str">
        <f t="shared" si="40"/>
        <v>显示</v>
      </c>
      <c r="E195" s="482"/>
      <c r="H195" s="80" t="str">
        <f t="shared" si="41"/>
        <v>Long Tons (in air)</v>
      </c>
      <c r="I195" s="47"/>
      <c r="J195" s="47"/>
      <c r="K195" s="47"/>
      <c r="L195" s="83" t="e">
        <f t="shared" si="42"/>
        <v>#NAME?</v>
      </c>
      <c r="M195" s="83" t="e">
        <f t="shared" si="43"/>
        <v>#NAME?</v>
      </c>
      <c r="N195" s="83" t="str">
        <f t="shared" si="44"/>
        <v/>
      </c>
      <c r="O195" s="83" t="str">
        <f t="shared" si="45"/>
        <v/>
      </c>
      <c r="P195" s="83" t="str">
        <f t="shared" si="46"/>
        <v/>
      </c>
      <c r="Q195" s="83" t="str">
        <f t="shared" si="47"/>
        <v/>
      </c>
      <c r="S195" s="306"/>
      <c r="T195" s="306"/>
    </row>
    <row r="196" spans="1:20">
      <c r="A196" t="str">
        <f t="shared" si="27"/>
        <v>显示</v>
      </c>
      <c r="H196" s="86" t="str">
        <f>IF(计算方法=Delivery,P24,IF(计算方法=Received,P25,P23))</f>
        <v>TOTAL DELIVED QUANTITY</v>
      </c>
      <c r="I196" s="47"/>
      <c r="J196" s="47"/>
      <c r="K196" s="47"/>
      <c r="L196" s="525" t="str">
        <f>IF(Cargo_type="A",$P$19,"")</f>
        <v/>
      </c>
      <c r="M196" s="84" t="str">
        <f>IF(Cargo_type="A",$P$20,"")</f>
        <v/>
      </c>
      <c r="N196" s="142"/>
      <c r="O196" s="47"/>
      <c r="P196" s="142"/>
      <c r="Q196" s="47"/>
      <c r="S196" s="306"/>
      <c r="T196" s="306"/>
    </row>
    <row r="197" ht="13.05" hidden="1" customHeight="1" spans="1:20">
      <c r="A197" t="str">
        <f t="shared" si="27"/>
        <v>隐藏</v>
      </c>
      <c r="C197" s="482" t="str">
        <f>C185</f>
        <v>隐藏</v>
      </c>
      <c r="H197" s="80" t="str">
        <f>P5</f>
        <v>US Barrels (Obsd. Temp.)</v>
      </c>
      <c r="I197" s="47"/>
      <c r="J197" s="47"/>
      <c r="K197" s="47"/>
      <c r="L197" s="82">
        <f>IF(计算方法=Inventory,SUM(L162:Q162),SUM(L185,N185,P185))</f>
        <v>0</v>
      </c>
      <c r="M197" s="83" t="str">
        <f t="shared" ref="M197:M207" si="49">IF(Cargo_type&lt;&gt;"A","",IF(计算方法=Inventory,SUM(L173:Q173),SUM(M185,O185,Q185)))</f>
        <v/>
      </c>
      <c r="N197" s="47"/>
      <c r="O197" s="47"/>
      <c r="P197" s="47"/>
      <c r="Q197" s="47"/>
      <c r="S197" s="306"/>
      <c r="T197" s="306"/>
    </row>
    <row r="198" ht="13.05" hidden="1" customHeight="1" spans="1:20">
      <c r="A198" t="str">
        <f t="shared" si="27"/>
        <v>隐藏</v>
      </c>
      <c r="C198" s="482" t="str">
        <f t="shared" ref="C198:C207" si="50">C186</f>
        <v>隐藏</v>
      </c>
      <c r="H198" s="80" t="str">
        <f t="shared" ref="H198:H207" si="51">P6</f>
        <v>Cubic Meters (Obsd. Temp.)</v>
      </c>
      <c r="I198" s="47"/>
      <c r="J198" s="47"/>
      <c r="K198" s="47"/>
      <c r="L198" s="82">
        <f t="shared" ref="L198:L207" si="52">IF(计算方法=Inventory,SUM(L163:Q163),SUM(L186,N186,P186))</f>
        <v>0</v>
      </c>
      <c r="M198" s="83" t="str">
        <f t="shared" si="49"/>
        <v/>
      </c>
      <c r="N198" s="47"/>
      <c r="O198" s="47"/>
      <c r="P198" s="47"/>
      <c r="Q198" s="47"/>
      <c r="S198" s="306"/>
      <c r="T198" s="306"/>
    </row>
    <row r="199" ht="13.05" customHeight="1" spans="1:20">
      <c r="A199" t="str">
        <f t="shared" si="27"/>
        <v>显示</v>
      </c>
      <c r="C199" s="482" t="str">
        <f t="shared" si="50"/>
        <v>显示</v>
      </c>
      <c r="H199" s="80" t="str">
        <f t="shared" si="51"/>
        <v>US Barrels (60℉)</v>
      </c>
      <c r="I199" s="47"/>
      <c r="J199" s="47"/>
      <c r="K199" s="47"/>
      <c r="L199" s="82" t="e">
        <f t="shared" si="52"/>
        <v>#NAME?</v>
      </c>
      <c r="M199" s="83" t="str">
        <f t="shared" si="49"/>
        <v/>
      </c>
      <c r="N199" s="47"/>
      <c r="O199" s="47"/>
      <c r="P199" s="47"/>
      <c r="Q199" s="47"/>
      <c r="S199" s="306"/>
      <c r="T199" s="306"/>
    </row>
    <row r="200" ht="13.05" hidden="1" customHeight="1" spans="1:20">
      <c r="A200" t="str">
        <f t="shared" si="27"/>
        <v>隐藏</v>
      </c>
      <c r="C200" s="482" t="str">
        <f t="shared" si="50"/>
        <v>隐藏</v>
      </c>
      <c r="H200" s="80" t="str">
        <f t="shared" si="51"/>
        <v>US Gallon (60℉)</v>
      </c>
      <c r="I200" s="47"/>
      <c r="J200" s="47"/>
      <c r="K200" s="47"/>
      <c r="L200" s="82">
        <f t="shared" si="52"/>
        <v>0</v>
      </c>
      <c r="M200" s="83" t="str">
        <f t="shared" si="49"/>
        <v/>
      </c>
      <c r="N200" s="47"/>
      <c r="O200" s="47"/>
      <c r="P200" s="47"/>
      <c r="Q200" s="47"/>
      <c r="S200" s="306"/>
      <c r="T200" s="306"/>
    </row>
    <row r="201" ht="13.05" hidden="1" customHeight="1" spans="1:20">
      <c r="A201" t="str">
        <f t="shared" si="27"/>
        <v>隐藏</v>
      </c>
      <c r="C201" s="482" t="str">
        <f t="shared" si="50"/>
        <v>隐藏</v>
      </c>
      <c r="H201" s="80" t="str">
        <f t="shared" si="51"/>
        <v>Cubic Meters (15℃)</v>
      </c>
      <c r="I201" s="47"/>
      <c r="J201" s="47"/>
      <c r="K201" s="47"/>
      <c r="L201" s="82">
        <f t="shared" si="52"/>
        <v>0</v>
      </c>
      <c r="M201" s="83" t="str">
        <f t="shared" si="49"/>
        <v/>
      </c>
      <c r="N201" s="47"/>
      <c r="O201" s="47"/>
      <c r="P201" s="47"/>
      <c r="Q201" s="47"/>
      <c r="S201" s="306"/>
      <c r="T201" s="306"/>
    </row>
    <row r="202" ht="13.05" customHeight="1" spans="1:20">
      <c r="A202" t="str">
        <f t="shared" si="27"/>
        <v>显示</v>
      </c>
      <c r="C202" s="482" t="str">
        <f t="shared" si="50"/>
        <v>显示</v>
      </c>
      <c r="H202" s="80" t="str">
        <f t="shared" si="51"/>
        <v>Cubic Meters (20℃)</v>
      </c>
      <c r="I202" s="47"/>
      <c r="J202" s="47"/>
      <c r="K202" s="47"/>
      <c r="L202" s="82" t="e">
        <f>IF(计算方法=Inventory,SUM(L167:Q167),SUM(L190,N190,P190))</f>
        <v>#NAME?</v>
      </c>
      <c r="M202" s="83" t="str">
        <f t="shared" si="49"/>
        <v/>
      </c>
      <c r="N202" s="47"/>
      <c r="O202" s="47"/>
      <c r="P202" s="47"/>
      <c r="Q202" s="47"/>
      <c r="S202" s="306"/>
      <c r="T202" s="306"/>
    </row>
    <row r="203" ht="13.05" hidden="1" customHeight="1" spans="1:20">
      <c r="A203" t="str">
        <f t="shared" si="27"/>
        <v>隐藏</v>
      </c>
      <c r="C203" s="482" t="str">
        <f t="shared" si="50"/>
        <v>隐藏</v>
      </c>
      <c r="H203" s="80" t="str">
        <f t="shared" si="51"/>
        <v>Cubic Meters (30℃)</v>
      </c>
      <c r="I203" s="47"/>
      <c r="J203" s="47"/>
      <c r="K203" s="47"/>
      <c r="L203" s="82">
        <f t="shared" si="52"/>
        <v>0</v>
      </c>
      <c r="M203" s="83" t="str">
        <f t="shared" si="49"/>
        <v/>
      </c>
      <c r="N203" s="47"/>
      <c r="O203" s="47"/>
      <c r="P203" s="47"/>
      <c r="Q203" s="47"/>
      <c r="S203" s="306"/>
      <c r="T203" s="306"/>
    </row>
    <row r="204" ht="13.05" hidden="1" customHeight="1" spans="1:20">
      <c r="A204" t="str">
        <f t="shared" si="27"/>
        <v>隐藏</v>
      </c>
      <c r="C204" s="482" t="str">
        <f t="shared" si="50"/>
        <v>隐藏</v>
      </c>
      <c r="H204" s="80" t="str">
        <f t="shared" si="51"/>
        <v>Metric Tons (in vacuo)</v>
      </c>
      <c r="I204" s="47"/>
      <c r="J204" s="47"/>
      <c r="K204" s="47"/>
      <c r="L204" s="82">
        <f t="shared" si="52"/>
        <v>0</v>
      </c>
      <c r="M204" s="83" t="str">
        <f t="shared" si="49"/>
        <v/>
      </c>
      <c r="N204" s="47"/>
      <c r="O204" s="47"/>
      <c r="P204" s="47"/>
      <c r="Q204" s="47"/>
      <c r="S204" s="306"/>
      <c r="T204" s="306"/>
    </row>
    <row r="205" ht="13.05" customHeight="1" spans="1:20">
      <c r="A205" t="str">
        <f t="shared" si="27"/>
        <v>显示</v>
      </c>
      <c r="C205" s="482" t="str">
        <f t="shared" si="50"/>
        <v>显示</v>
      </c>
      <c r="H205" s="80" t="str">
        <f t="shared" si="51"/>
        <v>Metric Tons (in air)</v>
      </c>
      <c r="I205" s="47"/>
      <c r="J205" s="47"/>
      <c r="K205" s="47"/>
      <c r="L205" s="82" t="e">
        <f t="shared" si="52"/>
        <v>#NAME?</v>
      </c>
      <c r="M205" s="83" t="str">
        <f t="shared" si="49"/>
        <v/>
      </c>
      <c r="N205" s="47"/>
      <c r="O205" s="47"/>
      <c r="P205" s="47"/>
      <c r="Q205" s="47"/>
      <c r="S205" s="306"/>
      <c r="T205" s="306"/>
    </row>
    <row r="206" ht="13.05" hidden="1" customHeight="1" spans="1:20">
      <c r="A206" t="str">
        <f t="shared" si="27"/>
        <v>隐藏</v>
      </c>
      <c r="C206" s="482" t="str">
        <f t="shared" si="50"/>
        <v>隐藏</v>
      </c>
      <c r="H206" s="80" t="str">
        <f t="shared" si="51"/>
        <v>Long Tons (in vacuo)</v>
      </c>
      <c r="I206" s="47"/>
      <c r="J206" s="47"/>
      <c r="K206" s="47"/>
      <c r="L206" s="82">
        <f t="shared" si="52"/>
        <v>0</v>
      </c>
      <c r="M206" s="83" t="str">
        <f t="shared" si="49"/>
        <v/>
      </c>
      <c r="N206" s="47"/>
      <c r="O206" s="47"/>
      <c r="P206" s="47"/>
      <c r="Q206" s="47"/>
      <c r="S206" s="306"/>
      <c r="T206" s="306"/>
    </row>
    <row r="207" ht="13.05" customHeight="1" spans="1:20">
      <c r="A207" t="str">
        <f t="shared" si="27"/>
        <v>显示</v>
      </c>
      <c r="C207" s="482" t="str">
        <f t="shared" si="50"/>
        <v>显示</v>
      </c>
      <c r="H207" s="80" t="str">
        <f t="shared" si="51"/>
        <v>Long Tons (in air)</v>
      </c>
      <c r="I207" s="47"/>
      <c r="J207" s="47"/>
      <c r="K207" s="47"/>
      <c r="L207" s="82" t="e">
        <f t="shared" si="52"/>
        <v>#NAME?</v>
      </c>
      <c r="M207" s="83" t="str">
        <f t="shared" si="49"/>
        <v/>
      </c>
      <c r="N207" s="47"/>
      <c r="O207" s="47"/>
      <c r="P207" s="47"/>
      <c r="Q207" s="47"/>
      <c r="S207" s="306"/>
      <c r="T207" s="306"/>
    </row>
    <row r="208" spans="1:20">
      <c r="A208" t="str">
        <f t="shared" si="27"/>
        <v>显示</v>
      </c>
      <c r="H208" s="80" t="str">
        <f>S10</f>
        <v>Remark:</v>
      </c>
      <c r="I208" s="47"/>
      <c r="J208" s="47"/>
      <c r="K208" s="47"/>
      <c r="L208" s="47"/>
      <c r="M208" s="47"/>
      <c r="N208" s="47"/>
      <c r="O208" s="47"/>
      <c r="P208" s="47"/>
      <c r="Q208" s="47"/>
      <c r="S208" s="306"/>
      <c r="T208" s="306"/>
    </row>
    <row r="209" ht="12" customHeight="1" spans="1:20">
      <c r="A209" t="str">
        <f t="shared" si="27"/>
        <v>显示</v>
      </c>
      <c r="H209" s="80" t="str">
        <f>S11</f>
        <v>- Reference Standards: API MPMS Chapter 3, Chapter 7 (2012), Chapter 11.1 (R2012), Chapter 11.5(E2011), Chapter 12.1.1(E2015).</v>
      </c>
      <c r="I209" s="47"/>
      <c r="J209" s="47"/>
      <c r="K209" s="47"/>
      <c r="L209" s="47"/>
      <c r="M209" s="47"/>
      <c r="N209" s="47"/>
      <c r="O209" s="47"/>
      <c r="P209" s="47"/>
      <c r="Q209" s="47"/>
      <c r="S209" s="306"/>
      <c r="T209" s="306"/>
    </row>
    <row r="210" ht="12" customHeight="1" spans="1:17">
      <c r="A210" t="str">
        <f t="shared" si="27"/>
        <v>显示</v>
      </c>
      <c r="H210" s="80" t="str">
        <f>IF(Cargo_type="A",S13,S12)</f>
        <v>- Density Source:</v>
      </c>
      <c r="I210" s="47"/>
      <c r="J210" s="104"/>
      <c r="K210" s="104"/>
      <c r="L210" s="104"/>
      <c r="M210" s="104"/>
      <c r="N210" s="104"/>
      <c r="O210" s="104"/>
      <c r="P210" s="104"/>
      <c r="Q210" s="47"/>
    </row>
    <row r="211" ht="12" customHeight="1" spans="1:17">
      <c r="A211" t="str">
        <f t="shared" si="27"/>
        <v>显示</v>
      </c>
      <c r="H211" s="80" t="str">
        <f>S14</f>
        <v>- Free Water Determination:</v>
      </c>
      <c r="I211" s="47"/>
      <c r="J211" s="105"/>
      <c r="K211" s="105"/>
      <c r="L211" s="105"/>
      <c r="M211" s="105"/>
      <c r="N211" s="105"/>
      <c r="O211" s="105"/>
      <c r="P211" s="105"/>
      <c r="Q211" s="47"/>
    </row>
    <row r="212" spans="1:17">
      <c r="A212" t="str">
        <f t="shared" si="27"/>
        <v>显示</v>
      </c>
      <c r="H212" s="47"/>
      <c r="I212" s="47"/>
      <c r="J212" s="47"/>
      <c r="K212" s="47"/>
      <c r="L212" s="47"/>
      <c r="M212" s="47"/>
      <c r="N212" s="47"/>
      <c r="O212" s="47"/>
      <c r="P212" s="47"/>
      <c r="Q212" s="47"/>
    </row>
    <row r="213" hidden="1" spans="1:17">
      <c r="A213" t="str">
        <f t="shared" si="27"/>
        <v>隐藏</v>
      </c>
      <c r="D213" s="482" t="str">
        <f>IF(Report_type="正式报告 Official Report","隐藏","显示")</f>
        <v>隐藏</v>
      </c>
      <c r="E213" s="482"/>
      <c r="H213" s="47"/>
      <c r="I213" s="47" t="str">
        <f>I80</f>
        <v>Terminal Representative</v>
      </c>
      <c r="J213" s="47"/>
      <c r="K213" s="47"/>
      <c r="L213" s="47"/>
      <c r="M213" s="47"/>
      <c r="N213" s="47" t="str">
        <f>I81</f>
        <v>CCIC Surveyor</v>
      </c>
      <c r="O213" s="47"/>
      <c r="P213" s="47"/>
      <c r="Q213" s="47"/>
    </row>
    <row r="214" ht="15" hidden="1" customHeight="1" spans="1:17">
      <c r="A214" t="str">
        <f t="shared" si="27"/>
        <v>隐藏</v>
      </c>
      <c r="D214" s="482" t="str">
        <f>IF(Report_type="正式报告 Official Report","隐藏","显示")</f>
        <v>隐藏</v>
      </c>
      <c r="E214" s="482"/>
      <c r="H214" s="47"/>
      <c r="I214" s="47" t="str">
        <f>I82</f>
        <v>Name</v>
      </c>
      <c r="J214" s="104"/>
      <c r="K214" s="104"/>
      <c r="L214" s="47"/>
      <c r="M214" s="47"/>
      <c r="N214" s="47" t="str">
        <f>I82</f>
        <v>Name</v>
      </c>
      <c r="O214" s="107" t="s">
        <v>10</v>
      </c>
      <c r="P214" s="107"/>
      <c r="Q214" s="47"/>
    </row>
    <row r="215" ht="15" hidden="1" customHeight="1" spans="1:17">
      <c r="A215" t="str">
        <f t="shared" si="27"/>
        <v>隐藏</v>
      </c>
      <c r="D215" s="482" t="str">
        <f>IF(Report_type="正式报告 Official Report","隐藏","显示")</f>
        <v>隐藏</v>
      </c>
      <c r="E215" s="482"/>
      <c r="H215" s="47"/>
      <c r="I215" s="47" t="str">
        <f>I83</f>
        <v>Signature</v>
      </c>
      <c r="J215" s="105"/>
      <c r="K215" s="105"/>
      <c r="L215" s="47"/>
      <c r="M215" s="47"/>
      <c r="N215" s="47" t="str">
        <f>I83</f>
        <v>Signature</v>
      </c>
      <c r="O215" s="105"/>
      <c r="P215" s="105"/>
      <c r="Q215" s="47"/>
    </row>
    <row r="216" ht="31.2" customHeight="1" spans="1:17">
      <c r="A216" t="str">
        <f t="shared" si="27"/>
        <v>显示</v>
      </c>
      <c r="D216" s="482" t="str">
        <f>IF(Report_type="正式报告 Official Report","显示","隐藏")</f>
        <v>显示</v>
      </c>
      <c r="E216" s="482"/>
      <c r="H216" s="47"/>
      <c r="I216" s="47"/>
      <c r="J216" s="47"/>
      <c r="K216" s="47"/>
      <c r="L216" s="47"/>
      <c r="M216" s="47"/>
      <c r="N216" s="47"/>
      <c r="O216" s="47"/>
      <c r="P216" s="47"/>
      <c r="Q216" s="47"/>
    </row>
    <row r="217" spans="1:17">
      <c r="A217" t="str">
        <f t="shared" si="27"/>
        <v>显示</v>
      </c>
      <c r="D217" s="482" t="str">
        <f>IF(Report_type="正式报告 Official Report","显示","隐藏")</f>
        <v>显示</v>
      </c>
      <c r="E217" s="482"/>
      <c r="H217" s="47"/>
      <c r="I217" s="47"/>
      <c r="J217" s="47"/>
      <c r="K217" s="47"/>
      <c r="L217" s="47"/>
      <c r="M217" s="47"/>
      <c r="N217" s="108" t="str">
        <f>I84</f>
        <v>Authorized Signature (S)</v>
      </c>
      <c r="O217" s="108"/>
      <c r="P217" s="47"/>
      <c r="Q217" s="47"/>
    </row>
    <row r="218" ht="5.4" customHeight="1" spans="1:17">
      <c r="A218" t="str">
        <f t="shared" si="27"/>
        <v>显示</v>
      </c>
      <c r="H218" s="47"/>
      <c r="I218" s="47"/>
      <c r="J218" s="47"/>
      <c r="K218" s="47"/>
      <c r="L218" s="47"/>
      <c r="M218" s="47"/>
      <c r="N218" s="47"/>
      <c r="O218" s="47"/>
      <c r="P218" s="47"/>
      <c r="Q218" s="47"/>
    </row>
    <row r="219" ht="16.8" customHeight="1" spans="1:17">
      <c r="A219" t="str">
        <f t="shared" si="27"/>
        <v>显示</v>
      </c>
      <c r="H219" s="151" t="str">
        <f>I85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I219" s="151"/>
      <c r="J219" s="151"/>
      <c r="K219" s="151"/>
      <c r="L219" s="151"/>
      <c r="M219" s="151"/>
      <c r="N219" s="151"/>
      <c r="O219" s="151"/>
      <c r="P219" s="151"/>
      <c r="Q219" s="151"/>
    </row>
  </sheetData>
  <autoFilter ref="A88:A219">
    <filterColumn colId="0">
      <customFilters>
        <customFilter operator="equal" val="显示"/>
      </customFilters>
    </filterColumn>
    <extLst/>
  </autoFilter>
  <mergeCells count="31">
    <mergeCell ref="N93:Q93"/>
    <mergeCell ref="N94:Q94"/>
    <mergeCell ref="N95:Q95"/>
    <mergeCell ref="N96:Q96"/>
    <mergeCell ref="N97:Q97"/>
    <mergeCell ref="N98:Q98"/>
    <mergeCell ref="N99:Q99"/>
    <mergeCell ref="L113:M113"/>
    <mergeCell ref="N113:O113"/>
    <mergeCell ref="P113:Q113"/>
    <mergeCell ref="L116:M116"/>
    <mergeCell ref="N116:O116"/>
    <mergeCell ref="P116:Q116"/>
    <mergeCell ref="L148:M148"/>
    <mergeCell ref="N148:O148"/>
    <mergeCell ref="P148:Q148"/>
    <mergeCell ref="L151:M151"/>
    <mergeCell ref="N151:O151"/>
    <mergeCell ref="P151:Q151"/>
    <mergeCell ref="L153:M153"/>
    <mergeCell ref="N153:O153"/>
    <mergeCell ref="P153:Q153"/>
    <mergeCell ref="L157:M157"/>
    <mergeCell ref="N157:O157"/>
    <mergeCell ref="P157:Q157"/>
    <mergeCell ref="L159:M159"/>
    <mergeCell ref="N159:O159"/>
    <mergeCell ref="P159:Q159"/>
    <mergeCell ref="O214:P214"/>
    <mergeCell ref="H219:Q219"/>
    <mergeCell ref="H93:K99"/>
  </mergeCells>
  <conditionalFormatting sqref="N131:Q131">
    <cfRule type="expression" dxfId="11" priority="1">
      <formula>AND(表体积单位&lt;&gt;$P$16)</formula>
    </cfRule>
    <cfRule type="expression" dxfId="12" priority="2">
      <formula>AND(表体积单位=$P$16)</formula>
    </cfRule>
  </conditionalFormatting>
  <conditionalFormatting sqref="L156:Q156">
    <cfRule type="expression" dxfId="13" priority="19">
      <formula>IF(AND($K$13=3,$K$3=1),TRUE)</formula>
    </cfRule>
    <cfRule type="expression" dxfId="14" priority="21">
      <formula>IF(AND($K$13=3,$K$3&lt;&gt;1),TRUE)</formula>
    </cfRule>
  </conditionalFormatting>
  <conditionalFormatting sqref="L157:Q157">
    <cfRule type="expression" dxfId="14" priority="14">
      <formula>IF(OR($K$13&lt;&gt;3,$K$3&lt;&gt;1),TRUE)</formula>
    </cfRule>
  </conditionalFormatting>
  <conditionalFormatting sqref="L158:Q158">
    <cfRule type="expression" dxfId="14" priority="20">
      <formula>IF(AND($K$13=3,$K$3=1),TRUE)</formula>
    </cfRule>
  </conditionalFormatting>
  <conditionalFormatting sqref="L173:Q173">
    <cfRule type="expression" dxfId="15" priority="18">
      <formula>IF($K$3&lt;&gt;1,TRUE)</formula>
    </cfRule>
  </conditionalFormatting>
  <conditionalFormatting sqref="M197:M207">
    <cfRule type="expression" dxfId="7" priority="4">
      <formula>IF($K$3=1,TRUE)</formula>
    </cfRule>
  </conditionalFormatting>
  <conditionalFormatting sqref="L105:Q112 L114:Q115 L149:Q150 L152:Q152 L154:Q155 L117:Q147">
    <cfRule type="expression" dxfId="13" priority="24">
      <formula>IF($K$13=3,TRUE)</formula>
    </cfRule>
  </conditionalFormatting>
  <conditionalFormatting sqref="L105:L112 L114:L115 L117:L147 L149:L150 L152 L154:L155 N105:N112 N114:N115 N149:N150 N152 N154:N155 P105:P112 P114:P115 P149:P150 P152 P154:P155 N117:N147 P117:P147">
    <cfRule type="expression" dxfId="16" priority="23">
      <formula>IF($K$13&lt;&gt;3,TRUE)</formula>
    </cfRule>
  </conditionalFormatting>
  <conditionalFormatting sqref="M105:M112 M114:M115 M117:M147 M149:M150 M152 M154:M155 O105:O112 O114:O115 O149:O150 O152 O154:O155 Q105:Q112 Q114:Q115 Q149:Q150 Q152 Q154:Q155 O117:O147 Q117:Q147">
    <cfRule type="expression" dxfId="17" priority="22">
      <formula>IF($K$13&lt;&gt;3,TRUE)</formula>
    </cfRule>
  </conditionalFormatting>
  <conditionalFormatting sqref="L111:Q111 L124:Q125">
    <cfRule type="expression" dxfId="4" priority="35">
      <formula>AND($K$111=$P$65)</formula>
    </cfRule>
    <cfRule type="expression" dxfId="1" priority="36">
      <formula>AND($K$111=$P$64)</formula>
    </cfRule>
  </conditionalFormatting>
  <conditionalFormatting sqref="L126:M132">
    <cfRule type="expression" dxfId="11" priority="33">
      <formula>AND(表体积单位&lt;&gt;$P$16)</formula>
    </cfRule>
    <cfRule type="expression" dxfId="12" priority="34">
      <formula>AND(表体积单位=$P$16)</formula>
    </cfRule>
  </conditionalFormatting>
  <conditionalFormatting sqref="N126:O132">
    <cfRule type="expression" dxfId="11" priority="29">
      <formula>AND(表体积单位&lt;&gt;$P$16)</formula>
    </cfRule>
    <cfRule type="expression" dxfId="12" priority="30">
      <formula>AND(表体积单位=$P$16)</formula>
    </cfRule>
  </conditionalFormatting>
  <conditionalFormatting sqref="P126:Q132">
    <cfRule type="expression" dxfId="11" priority="25">
      <formula>AND(表体积单位&lt;&gt;$P$16)</formula>
    </cfRule>
    <cfRule type="expression" dxfId="12" priority="26">
      <formula>AND(表体积单位=$P$16)</formula>
    </cfRule>
  </conditionalFormatting>
  <conditionalFormatting sqref="L150:M153">
    <cfRule type="expression" dxfId="11" priority="37">
      <formula>AND(LEFT(vcfTab,4)&lt;&gt;"T-54",LEFT(vcfTab,4)&lt;&gt;"T-60")</formula>
    </cfRule>
    <cfRule type="expression" dxfId="12" priority="38">
      <formula>OR(LEFT(vcfTab,4)="T-54",LEFT(vcfTab,4)="T-60")</formula>
    </cfRule>
  </conditionalFormatting>
  <conditionalFormatting sqref="N150:O153">
    <cfRule type="expression" dxfId="11" priority="31">
      <formula>AND(LEFT(vcfTab,4)&lt;&gt;"T-54",LEFT(vcfTab,4)&lt;&gt;"T-60")</formula>
    </cfRule>
    <cfRule type="expression" dxfId="12" priority="32">
      <formula>OR(LEFT(vcfTab,4)="T-54",LEFT(vcfTab,4)="T-60")</formula>
    </cfRule>
  </conditionalFormatting>
  <conditionalFormatting sqref="P150:Q153">
    <cfRule type="expression" dxfId="11" priority="27">
      <formula>AND(LEFT(vcfTab,4)&lt;&gt;"T-54",LEFT(vcfTab,4)&lt;&gt;"T-60")</formula>
    </cfRule>
    <cfRule type="expression" dxfId="12" priority="28">
      <formula>OR(LEFT(vcfTab,4)="T-54",LEFT(vcfTab,4)="T-60")</formula>
    </cfRule>
  </conditionalFormatting>
  <conditionalFormatting sqref="L156 N156 P156">
    <cfRule type="expression" dxfId="16" priority="17">
      <formula>IF($K$13&lt;&gt;3,TRUE)</formula>
    </cfRule>
  </conditionalFormatting>
  <conditionalFormatting sqref="M156 O156 Q156">
    <cfRule type="expression" dxfId="17" priority="16">
      <formula>IF($K$13&lt;&gt;3,TRUE)</formula>
    </cfRule>
  </conditionalFormatting>
  <conditionalFormatting sqref="L158 N158 P158">
    <cfRule type="expression" dxfId="16" priority="15">
      <formula>IF($K$13&lt;&gt;3,TRUE)</formula>
    </cfRule>
  </conditionalFormatting>
  <conditionalFormatting sqref="M184 O184 Q184">
    <cfRule type="expression" dxfId="18" priority="13">
      <formula>IF($K$3=1,TRUE)</formula>
    </cfRule>
  </conditionalFormatting>
  <conditionalFormatting sqref="P185 N185 L185">
    <cfRule type="expression" dxfId="19" priority="8">
      <formula>IF($K$3=1,TRUE)</formula>
    </cfRule>
  </conditionalFormatting>
  <conditionalFormatting sqref="L185 N185 P185">
    <cfRule type="expression" dxfId="8" priority="7">
      <formula>IF($K$3&lt;&gt;1,TRUE)</formula>
    </cfRule>
  </conditionalFormatting>
  <conditionalFormatting sqref="Q185 Q195">
    <cfRule type="expression" dxfId="20" priority="3">
      <formula>IF(Cargo_type="A",TRUE)</formula>
    </cfRule>
  </conditionalFormatting>
  <conditionalFormatting sqref="L186:L194 N186:N194 P186:P194">
    <cfRule type="expression" dxfId="16" priority="10">
      <formula>IF($K$3=1,TRUE)</formula>
    </cfRule>
    <cfRule type="expression" dxfId="8" priority="11">
      <formula>IF($K$3&lt;&gt;1,TRUE)</formula>
    </cfRule>
  </conditionalFormatting>
  <conditionalFormatting sqref="M186:M194 O186:O194 Q186:Q194">
    <cfRule type="expression" dxfId="17" priority="9">
      <formula>IF($K$3=1,TRUE)</formula>
    </cfRule>
  </conditionalFormatting>
  <conditionalFormatting sqref="L195 N195 P195">
    <cfRule type="expression" dxfId="8" priority="5">
      <formula>IF($K$3&lt;&gt;1,TRUE)</formula>
    </cfRule>
    <cfRule type="expression" dxfId="21" priority="6">
      <formula>IF($K$3=1,TRUE)</formula>
    </cfRule>
  </conditionalFormatting>
  <conditionalFormatting sqref="M196 O196 Q196">
    <cfRule type="expression" dxfId="22" priority="12">
      <formula>IF($K$3=1,TRUE)</formula>
    </cfRule>
  </conditionalFormatting>
  <dataValidations count="4">
    <dataValidation type="list" allowBlank="1" showInputMessage="1" showErrorMessage="1" sqref="L110:Q110">
      <formula1>$P$72:$P$73</formula1>
    </dataValidation>
    <dataValidation type="list" allowBlank="1" showInputMessage="1" showErrorMessage="1" sqref="K109">
      <formula1>$P$68:$P$69</formula1>
    </dataValidation>
    <dataValidation type="list" allowBlank="1" showInputMessage="1" showErrorMessage="1" sqref="K111 K124">
      <formula1>$P$64:$P$65</formula1>
    </dataValidation>
    <dataValidation type="list" allowBlank="1" showInputMessage="1" showErrorMessage="1" sqref="L120:Q120">
      <formula1>$P$76:$P$77</formula1>
    </dataValidation>
  </dataValidations>
  <pageMargins left="0.236220472440945" right="0.236220472440945" top="0.31496062992126" bottom="0.393700787401575" header="0.31496062992126" footer="0.31496062992126"/>
  <pageSetup paperSize="9" orientation="portrait"/>
  <headerFooter>
    <oddHeader>&amp;L&amp;G</oddHeader>
  </headerFooter>
  <drawing r:id="rId1"/>
  <legacyDrawing r:id="rId2"/>
  <legacyDrawingHF r:id="rId6"/>
  <mc:AlternateContent xmlns:mc="http://schemas.openxmlformats.org/markup-compatibility/2006">
    <mc:Choice Requires="x14">
      <controls>
        <mc:AlternateContent xmlns:mc="http://schemas.openxmlformats.org/markup-compatibility/2006">
          <mc:Choice Requires="x14">
            <control shapeId="32793" name="Button 25" r:id="rId3">
              <controlPr print="0" defaultSize="0">
                <anchor moveWithCells="1">
                  <from>
                    <xdr:col>17</xdr:col>
                    <xdr:colOff>311150</xdr:colOff>
                    <xdr:row>93</xdr:row>
                    <xdr:rowOff>31750</xdr:rowOff>
                  </from>
                  <to>
                    <xdr:col>21</xdr:col>
                    <xdr:colOff>212090</xdr:colOff>
                    <xdr:row>94</xdr:row>
                    <xdr:rowOff>108585</xdr:rowOff>
                  </to>
                </anchor>
              </controlPr>
            </control>
          </mc:Choice>
        </mc:AlternateContent>
        <mc:AlternateContent xmlns:mc="http://schemas.openxmlformats.org/markup-compatibility/2006">
          <mc:Choice Requires="x14">
            <control shapeId="32794" name="Button 26" r:id="rId4">
              <controlPr print="0" defaultSize="0">
                <anchor moveWithCells="1">
                  <from>
                    <xdr:col>17</xdr:col>
                    <xdr:colOff>311150</xdr:colOff>
                    <xdr:row>90</xdr:row>
                    <xdr:rowOff>53340</xdr:rowOff>
                  </from>
                  <to>
                    <xdr:col>21</xdr:col>
                    <xdr:colOff>212090</xdr:colOff>
                    <xdr:row>92</xdr:row>
                    <xdr:rowOff>99695</xdr:rowOff>
                  </to>
                </anchor>
              </controlPr>
            </control>
          </mc:Choice>
        </mc:AlternateContent>
        <mc:AlternateContent xmlns:mc="http://schemas.openxmlformats.org/markup-compatibility/2006">
          <mc:Choice Requires="x14">
            <control shapeId="32795" name="Button 27" r:id="rId5">
              <controlPr print="0" defaultSize="0">
                <anchor moveWithCells="1">
                  <from>
                    <xdr:col>17</xdr:col>
                    <xdr:colOff>311150</xdr:colOff>
                    <xdr:row>88</xdr:row>
                    <xdr:rowOff>50800</xdr:rowOff>
                  </from>
                  <to>
                    <xdr:col>21</xdr:col>
                    <xdr:colOff>212090</xdr:colOff>
                    <xdr:row>89</xdr:row>
                    <xdr:rowOff>121285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AK182"/>
  <sheetViews>
    <sheetView showGridLines="0" zoomScale="99" zoomScaleNormal="99" topLeftCell="O111" workbookViewId="0">
      <selection activeCell="Q122" sqref="Q122"/>
    </sheetView>
  </sheetViews>
  <sheetFormatPr defaultColWidth="9" defaultRowHeight="11.25"/>
  <cols>
    <col min="1" max="13" width="8.88333333333333" style="357" hidden="1" customWidth="1"/>
    <col min="14" max="14" width="5" style="357" hidden="1" customWidth="1"/>
    <col min="15" max="15" width="5.10833333333333" style="357" customWidth="1"/>
    <col min="16" max="17" width="2.775" style="357" customWidth="1"/>
    <col min="18" max="19" width="5.33333333333333" style="357" customWidth="1"/>
    <col min="20" max="20" width="7.66666666666667" style="357" customWidth="1"/>
    <col min="21" max="22" width="7.55833333333333" style="357" customWidth="1"/>
    <col min="23" max="23" width="2.775" style="357" customWidth="1"/>
    <col min="24" max="24" width="5.33333333333333" style="357" customWidth="1"/>
    <col min="25" max="27" width="7.55833333333333" style="357" customWidth="1"/>
    <col min="28" max="28" width="4.775" style="357" customWidth="1"/>
    <col min="29" max="29" width="6.775" style="357" customWidth="1"/>
    <col min="30" max="30" width="7.33333333333333" style="357" customWidth="1"/>
    <col min="31" max="31" width="0.558333333333333" style="357" customWidth="1"/>
    <col min="32" max="32" width="8.88333333333333" style="357"/>
    <col min="33" max="33" width="16.4416666666667" style="357" customWidth="1"/>
    <col min="34" max="34" width="12.1083333333333" style="357" customWidth="1"/>
    <col min="35" max="35" width="13.3333333333333" style="357" customWidth="1"/>
    <col min="36" max="36" width="9.775" style="357" customWidth="1"/>
    <col min="37" max="37" width="11.5583333333333" style="357" customWidth="1"/>
    <col min="38" max="38" width="11" style="357" customWidth="1"/>
    <col min="39" max="39" width="13.8833333333333" style="357" customWidth="1"/>
    <col min="40" max="40" width="12.775" style="357" customWidth="1"/>
    <col min="41" max="41" width="8.88333333333333" style="357"/>
    <col min="42" max="42" width="10" style="357" customWidth="1"/>
    <col min="43" max="43" width="10.6666666666667" style="357" customWidth="1"/>
    <col min="44" max="44" width="8.88333333333333" style="357"/>
    <col min="45" max="74" width="8.88333333333333" style="357" customWidth="1"/>
    <col min="75" max="269" width="8.88333333333333" style="357"/>
    <col min="270" max="270" width="5" style="357" customWidth="1"/>
    <col min="271" max="271" width="5.10833333333333" style="357" customWidth="1"/>
    <col min="272" max="273" width="2.775" style="357" customWidth="1"/>
    <col min="274" max="275" width="5.33333333333333" style="357" customWidth="1"/>
    <col min="276" max="278" width="7.55833333333333" style="357" customWidth="1"/>
    <col min="279" max="279" width="2.775" style="357" customWidth="1"/>
    <col min="280" max="280" width="5.33333333333333" style="357" customWidth="1"/>
    <col min="281" max="283" width="7.55833333333333" style="357" customWidth="1"/>
    <col min="284" max="284" width="4.775" style="357" customWidth="1"/>
    <col min="285" max="285" width="6.775" style="357" customWidth="1"/>
    <col min="286" max="286" width="7.33333333333333" style="357" customWidth="1"/>
    <col min="287" max="287" width="0.558333333333333" style="357" customWidth="1"/>
    <col min="288" max="288" width="8.88333333333333" style="357"/>
    <col min="289" max="289" width="16.4416666666667" style="357" customWidth="1"/>
    <col min="290" max="290" width="12.1083333333333" style="357" customWidth="1"/>
    <col min="291" max="291" width="13.3333333333333" style="357" customWidth="1"/>
    <col min="292" max="292" width="9.775" style="357" customWidth="1"/>
    <col min="293" max="293" width="11.5583333333333" style="357" customWidth="1"/>
    <col min="294" max="294" width="11" style="357" customWidth="1"/>
    <col min="295" max="295" width="13.8833333333333" style="357" customWidth="1"/>
    <col min="296" max="296" width="12.775" style="357" customWidth="1"/>
    <col min="297" max="297" width="8.88333333333333" style="357"/>
    <col min="298" max="298" width="10" style="357" customWidth="1"/>
    <col min="299" max="299" width="10.6666666666667" style="357" customWidth="1"/>
    <col min="300" max="525" width="8.88333333333333" style="357"/>
    <col min="526" max="526" width="5" style="357" customWidth="1"/>
    <col min="527" max="527" width="5.10833333333333" style="357" customWidth="1"/>
    <col min="528" max="529" width="2.775" style="357" customWidth="1"/>
    <col min="530" max="531" width="5.33333333333333" style="357" customWidth="1"/>
    <col min="532" max="534" width="7.55833333333333" style="357" customWidth="1"/>
    <col min="535" max="535" width="2.775" style="357" customWidth="1"/>
    <col min="536" max="536" width="5.33333333333333" style="357" customWidth="1"/>
    <col min="537" max="539" width="7.55833333333333" style="357" customWidth="1"/>
    <col min="540" max="540" width="4.775" style="357" customWidth="1"/>
    <col min="541" max="541" width="6.775" style="357" customWidth="1"/>
    <col min="542" max="542" width="7.33333333333333" style="357" customWidth="1"/>
    <col min="543" max="543" width="0.558333333333333" style="357" customWidth="1"/>
    <col min="544" max="544" width="8.88333333333333" style="357"/>
    <col min="545" max="545" width="16.4416666666667" style="357" customWidth="1"/>
    <col min="546" max="546" width="12.1083333333333" style="357" customWidth="1"/>
    <col min="547" max="547" width="13.3333333333333" style="357" customWidth="1"/>
    <col min="548" max="548" width="9.775" style="357" customWidth="1"/>
    <col min="549" max="549" width="11.5583333333333" style="357" customWidth="1"/>
    <col min="550" max="550" width="11" style="357" customWidth="1"/>
    <col min="551" max="551" width="13.8833333333333" style="357" customWidth="1"/>
    <col min="552" max="552" width="12.775" style="357" customWidth="1"/>
    <col min="553" max="553" width="8.88333333333333" style="357"/>
    <col min="554" max="554" width="10" style="357" customWidth="1"/>
    <col min="555" max="555" width="10.6666666666667" style="357" customWidth="1"/>
    <col min="556" max="781" width="8.88333333333333" style="357"/>
    <col min="782" max="782" width="5" style="357" customWidth="1"/>
    <col min="783" max="783" width="5.10833333333333" style="357" customWidth="1"/>
    <col min="784" max="785" width="2.775" style="357" customWidth="1"/>
    <col min="786" max="787" width="5.33333333333333" style="357" customWidth="1"/>
    <col min="788" max="790" width="7.55833333333333" style="357" customWidth="1"/>
    <col min="791" max="791" width="2.775" style="357" customWidth="1"/>
    <col min="792" max="792" width="5.33333333333333" style="357" customWidth="1"/>
    <col min="793" max="795" width="7.55833333333333" style="357" customWidth="1"/>
    <col min="796" max="796" width="4.775" style="357" customWidth="1"/>
    <col min="797" max="797" width="6.775" style="357" customWidth="1"/>
    <col min="798" max="798" width="7.33333333333333" style="357" customWidth="1"/>
    <col min="799" max="799" width="0.558333333333333" style="357" customWidth="1"/>
    <col min="800" max="800" width="8.88333333333333" style="357"/>
    <col min="801" max="801" width="16.4416666666667" style="357" customWidth="1"/>
    <col min="802" max="802" width="12.1083333333333" style="357" customWidth="1"/>
    <col min="803" max="803" width="13.3333333333333" style="357" customWidth="1"/>
    <col min="804" max="804" width="9.775" style="357" customWidth="1"/>
    <col min="805" max="805" width="11.5583333333333" style="357" customWidth="1"/>
    <col min="806" max="806" width="11" style="357" customWidth="1"/>
    <col min="807" max="807" width="13.8833333333333" style="357" customWidth="1"/>
    <col min="808" max="808" width="12.775" style="357" customWidth="1"/>
    <col min="809" max="809" width="8.88333333333333" style="357"/>
    <col min="810" max="810" width="10" style="357" customWidth="1"/>
    <col min="811" max="811" width="10.6666666666667" style="357" customWidth="1"/>
    <col min="812" max="1037" width="8.88333333333333" style="357"/>
    <col min="1038" max="1038" width="5" style="357" customWidth="1"/>
    <col min="1039" max="1039" width="5.10833333333333" style="357" customWidth="1"/>
    <col min="1040" max="1041" width="2.775" style="357" customWidth="1"/>
    <col min="1042" max="1043" width="5.33333333333333" style="357" customWidth="1"/>
    <col min="1044" max="1046" width="7.55833333333333" style="357" customWidth="1"/>
    <col min="1047" max="1047" width="2.775" style="357" customWidth="1"/>
    <col min="1048" max="1048" width="5.33333333333333" style="357" customWidth="1"/>
    <col min="1049" max="1051" width="7.55833333333333" style="357" customWidth="1"/>
    <col min="1052" max="1052" width="4.775" style="357" customWidth="1"/>
    <col min="1053" max="1053" width="6.775" style="357" customWidth="1"/>
    <col min="1054" max="1054" width="7.33333333333333" style="357" customWidth="1"/>
    <col min="1055" max="1055" width="0.558333333333333" style="357" customWidth="1"/>
    <col min="1056" max="1056" width="8.88333333333333" style="357"/>
    <col min="1057" max="1057" width="16.4416666666667" style="357" customWidth="1"/>
    <col min="1058" max="1058" width="12.1083333333333" style="357" customWidth="1"/>
    <col min="1059" max="1059" width="13.3333333333333" style="357" customWidth="1"/>
    <col min="1060" max="1060" width="9.775" style="357" customWidth="1"/>
    <col min="1061" max="1061" width="11.5583333333333" style="357" customWidth="1"/>
    <col min="1062" max="1062" width="11" style="357" customWidth="1"/>
    <col min="1063" max="1063" width="13.8833333333333" style="357" customWidth="1"/>
    <col min="1064" max="1064" width="12.775" style="357" customWidth="1"/>
    <col min="1065" max="1065" width="8.88333333333333" style="357"/>
    <col min="1066" max="1066" width="10" style="357" customWidth="1"/>
    <col min="1067" max="1067" width="10.6666666666667" style="357" customWidth="1"/>
    <col min="1068" max="1293" width="8.88333333333333" style="357"/>
    <col min="1294" max="1294" width="5" style="357" customWidth="1"/>
    <col min="1295" max="1295" width="5.10833333333333" style="357" customWidth="1"/>
    <col min="1296" max="1297" width="2.775" style="357" customWidth="1"/>
    <col min="1298" max="1299" width="5.33333333333333" style="357" customWidth="1"/>
    <col min="1300" max="1302" width="7.55833333333333" style="357" customWidth="1"/>
    <col min="1303" max="1303" width="2.775" style="357" customWidth="1"/>
    <col min="1304" max="1304" width="5.33333333333333" style="357" customWidth="1"/>
    <col min="1305" max="1307" width="7.55833333333333" style="357" customWidth="1"/>
    <col min="1308" max="1308" width="4.775" style="357" customWidth="1"/>
    <col min="1309" max="1309" width="6.775" style="357" customWidth="1"/>
    <col min="1310" max="1310" width="7.33333333333333" style="357" customWidth="1"/>
    <col min="1311" max="1311" width="0.558333333333333" style="357" customWidth="1"/>
    <col min="1312" max="1312" width="8.88333333333333" style="357"/>
    <col min="1313" max="1313" width="16.4416666666667" style="357" customWidth="1"/>
    <col min="1314" max="1314" width="12.1083333333333" style="357" customWidth="1"/>
    <col min="1315" max="1315" width="13.3333333333333" style="357" customWidth="1"/>
    <col min="1316" max="1316" width="9.775" style="357" customWidth="1"/>
    <col min="1317" max="1317" width="11.5583333333333" style="357" customWidth="1"/>
    <col min="1318" max="1318" width="11" style="357" customWidth="1"/>
    <col min="1319" max="1319" width="13.8833333333333" style="357" customWidth="1"/>
    <col min="1320" max="1320" width="12.775" style="357" customWidth="1"/>
    <col min="1321" max="1321" width="8.88333333333333" style="357"/>
    <col min="1322" max="1322" width="10" style="357" customWidth="1"/>
    <col min="1323" max="1323" width="10.6666666666667" style="357" customWidth="1"/>
    <col min="1324" max="1549" width="8.88333333333333" style="357"/>
    <col min="1550" max="1550" width="5" style="357" customWidth="1"/>
    <col min="1551" max="1551" width="5.10833333333333" style="357" customWidth="1"/>
    <col min="1552" max="1553" width="2.775" style="357" customWidth="1"/>
    <col min="1554" max="1555" width="5.33333333333333" style="357" customWidth="1"/>
    <col min="1556" max="1558" width="7.55833333333333" style="357" customWidth="1"/>
    <col min="1559" max="1559" width="2.775" style="357" customWidth="1"/>
    <col min="1560" max="1560" width="5.33333333333333" style="357" customWidth="1"/>
    <col min="1561" max="1563" width="7.55833333333333" style="357" customWidth="1"/>
    <col min="1564" max="1564" width="4.775" style="357" customWidth="1"/>
    <col min="1565" max="1565" width="6.775" style="357" customWidth="1"/>
    <col min="1566" max="1566" width="7.33333333333333" style="357" customWidth="1"/>
    <col min="1567" max="1567" width="0.558333333333333" style="357" customWidth="1"/>
    <col min="1568" max="1568" width="8.88333333333333" style="357"/>
    <col min="1569" max="1569" width="16.4416666666667" style="357" customWidth="1"/>
    <col min="1570" max="1570" width="12.1083333333333" style="357" customWidth="1"/>
    <col min="1571" max="1571" width="13.3333333333333" style="357" customWidth="1"/>
    <col min="1572" max="1572" width="9.775" style="357" customWidth="1"/>
    <col min="1573" max="1573" width="11.5583333333333" style="357" customWidth="1"/>
    <col min="1574" max="1574" width="11" style="357" customWidth="1"/>
    <col min="1575" max="1575" width="13.8833333333333" style="357" customWidth="1"/>
    <col min="1576" max="1576" width="12.775" style="357" customWidth="1"/>
    <col min="1577" max="1577" width="8.88333333333333" style="357"/>
    <col min="1578" max="1578" width="10" style="357" customWidth="1"/>
    <col min="1579" max="1579" width="10.6666666666667" style="357" customWidth="1"/>
    <col min="1580" max="1805" width="8.88333333333333" style="357"/>
    <col min="1806" max="1806" width="5" style="357" customWidth="1"/>
    <col min="1807" max="1807" width="5.10833333333333" style="357" customWidth="1"/>
    <col min="1808" max="1809" width="2.775" style="357" customWidth="1"/>
    <col min="1810" max="1811" width="5.33333333333333" style="357" customWidth="1"/>
    <col min="1812" max="1814" width="7.55833333333333" style="357" customWidth="1"/>
    <col min="1815" max="1815" width="2.775" style="357" customWidth="1"/>
    <col min="1816" max="1816" width="5.33333333333333" style="357" customWidth="1"/>
    <col min="1817" max="1819" width="7.55833333333333" style="357" customWidth="1"/>
    <col min="1820" max="1820" width="4.775" style="357" customWidth="1"/>
    <col min="1821" max="1821" width="6.775" style="357" customWidth="1"/>
    <col min="1822" max="1822" width="7.33333333333333" style="357" customWidth="1"/>
    <col min="1823" max="1823" width="0.558333333333333" style="357" customWidth="1"/>
    <col min="1824" max="1824" width="8.88333333333333" style="357"/>
    <col min="1825" max="1825" width="16.4416666666667" style="357" customWidth="1"/>
    <col min="1826" max="1826" width="12.1083333333333" style="357" customWidth="1"/>
    <col min="1827" max="1827" width="13.3333333333333" style="357" customWidth="1"/>
    <col min="1828" max="1828" width="9.775" style="357" customWidth="1"/>
    <col min="1829" max="1829" width="11.5583333333333" style="357" customWidth="1"/>
    <col min="1830" max="1830" width="11" style="357" customWidth="1"/>
    <col min="1831" max="1831" width="13.8833333333333" style="357" customWidth="1"/>
    <col min="1832" max="1832" width="12.775" style="357" customWidth="1"/>
    <col min="1833" max="1833" width="8.88333333333333" style="357"/>
    <col min="1834" max="1834" width="10" style="357" customWidth="1"/>
    <col min="1835" max="1835" width="10.6666666666667" style="357" customWidth="1"/>
    <col min="1836" max="2061" width="8.88333333333333" style="357"/>
    <col min="2062" max="2062" width="5" style="357" customWidth="1"/>
    <col min="2063" max="2063" width="5.10833333333333" style="357" customWidth="1"/>
    <col min="2064" max="2065" width="2.775" style="357" customWidth="1"/>
    <col min="2066" max="2067" width="5.33333333333333" style="357" customWidth="1"/>
    <col min="2068" max="2070" width="7.55833333333333" style="357" customWidth="1"/>
    <col min="2071" max="2071" width="2.775" style="357" customWidth="1"/>
    <col min="2072" max="2072" width="5.33333333333333" style="357" customWidth="1"/>
    <col min="2073" max="2075" width="7.55833333333333" style="357" customWidth="1"/>
    <col min="2076" max="2076" width="4.775" style="357" customWidth="1"/>
    <col min="2077" max="2077" width="6.775" style="357" customWidth="1"/>
    <col min="2078" max="2078" width="7.33333333333333" style="357" customWidth="1"/>
    <col min="2079" max="2079" width="0.558333333333333" style="357" customWidth="1"/>
    <col min="2080" max="2080" width="8.88333333333333" style="357"/>
    <col min="2081" max="2081" width="16.4416666666667" style="357" customWidth="1"/>
    <col min="2082" max="2082" width="12.1083333333333" style="357" customWidth="1"/>
    <col min="2083" max="2083" width="13.3333333333333" style="357" customWidth="1"/>
    <col min="2084" max="2084" width="9.775" style="357" customWidth="1"/>
    <col min="2085" max="2085" width="11.5583333333333" style="357" customWidth="1"/>
    <col min="2086" max="2086" width="11" style="357" customWidth="1"/>
    <col min="2087" max="2087" width="13.8833333333333" style="357" customWidth="1"/>
    <col min="2088" max="2088" width="12.775" style="357" customWidth="1"/>
    <col min="2089" max="2089" width="8.88333333333333" style="357"/>
    <col min="2090" max="2090" width="10" style="357" customWidth="1"/>
    <col min="2091" max="2091" width="10.6666666666667" style="357" customWidth="1"/>
    <col min="2092" max="2317" width="8.88333333333333" style="357"/>
    <col min="2318" max="2318" width="5" style="357" customWidth="1"/>
    <col min="2319" max="2319" width="5.10833333333333" style="357" customWidth="1"/>
    <col min="2320" max="2321" width="2.775" style="357" customWidth="1"/>
    <col min="2322" max="2323" width="5.33333333333333" style="357" customWidth="1"/>
    <col min="2324" max="2326" width="7.55833333333333" style="357" customWidth="1"/>
    <col min="2327" max="2327" width="2.775" style="357" customWidth="1"/>
    <col min="2328" max="2328" width="5.33333333333333" style="357" customWidth="1"/>
    <col min="2329" max="2331" width="7.55833333333333" style="357" customWidth="1"/>
    <col min="2332" max="2332" width="4.775" style="357" customWidth="1"/>
    <col min="2333" max="2333" width="6.775" style="357" customWidth="1"/>
    <col min="2334" max="2334" width="7.33333333333333" style="357" customWidth="1"/>
    <col min="2335" max="2335" width="0.558333333333333" style="357" customWidth="1"/>
    <col min="2336" max="2336" width="8.88333333333333" style="357"/>
    <col min="2337" max="2337" width="16.4416666666667" style="357" customWidth="1"/>
    <col min="2338" max="2338" width="12.1083333333333" style="357" customWidth="1"/>
    <col min="2339" max="2339" width="13.3333333333333" style="357" customWidth="1"/>
    <col min="2340" max="2340" width="9.775" style="357" customWidth="1"/>
    <col min="2341" max="2341" width="11.5583333333333" style="357" customWidth="1"/>
    <col min="2342" max="2342" width="11" style="357" customWidth="1"/>
    <col min="2343" max="2343" width="13.8833333333333" style="357" customWidth="1"/>
    <col min="2344" max="2344" width="12.775" style="357" customWidth="1"/>
    <col min="2345" max="2345" width="8.88333333333333" style="357"/>
    <col min="2346" max="2346" width="10" style="357" customWidth="1"/>
    <col min="2347" max="2347" width="10.6666666666667" style="357" customWidth="1"/>
    <col min="2348" max="2573" width="8.88333333333333" style="357"/>
    <col min="2574" max="2574" width="5" style="357" customWidth="1"/>
    <col min="2575" max="2575" width="5.10833333333333" style="357" customWidth="1"/>
    <col min="2576" max="2577" width="2.775" style="357" customWidth="1"/>
    <col min="2578" max="2579" width="5.33333333333333" style="357" customWidth="1"/>
    <col min="2580" max="2582" width="7.55833333333333" style="357" customWidth="1"/>
    <col min="2583" max="2583" width="2.775" style="357" customWidth="1"/>
    <col min="2584" max="2584" width="5.33333333333333" style="357" customWidth="1"/>
    <col min="2585" max="2587" width="7.55833333333333" style="357" customWidth="1"/>
    <col min="2588" max="2588" width="4.775" style="357" customWidth="1"/>
    <col min="2589" max="2589" width="6.775" style="357" customWidth="1"/>
    <col min="2590" max="2590" width="7.33333333333333" style="357" customWidth="1"/>
    <col min="2591" max="2591" width="0.558333333333333" style="357" customWidth="1"/>
    <col min="2592" max="2592" width="8.88333333333333" style="357"/>
    <col min="2593" max="2593" width="16.4416666666667" style="357" customWidth="1"/>
    <col min="2594" max="2594" width="12.1083333333333" style="357" customWidth="1"/>
    <col min="2595" max="2595" width="13.3333333333333" style="357" customWidth="1"/>
    <col min="2596" max="2596" width="9.775" style="357" customWidth="1"/>
    <col min="2597" max="2597" width="11.5583333333333" style="357" customWidth="1"/>
    <col min="2598" max="2598" width="11" style="357" customWidth="1"/>
    <col min="2599" max="2599" width="13.8833333333333" style="357" customWidth="1"/>
    <col min="2600" max="2600" width="12.775" style="357" customWidth="1"/>
    <col min="2601" max="2601" width="8.88333333333333" style="357"/>
    <col min="2602" max="2602" width="10" style="357" customWidth="1"/>
    <col min="2603" max="2603" width="10.6666666666667" style="357" customWidth="1"/>
    <col min="2604" max="2829" width="8.88333333333333" style="357"/>
    <col min="2830" max="2830" width="5" style="357" customWidth="1"/>
    <col min="2831" max="2831" width="5.10833333333333" style="357" customWidth="1"/>
    <col min="2832" max="2833" width="2.775" style="357" customWidth="1"/>
    <col min="2834" max="2835" width="5.33333333333333" style="357" customWidth="1"/>
    <col min="2836" max="2838" width="7.55833333333333" style="357" customWidth="1"/>
    <col min="2839" max="2839" width="2.775" style="357" customWidth="1"/>
    <col min="2840" max="2840" width="5.33333333333333" style="357" customWidth="1"/>
    <col min="2841" max="2843" width="7.55833333333333" style="357" customWidth="1"/>
    <col min="2844" max="2844" width="4.775" style="357" customWidth="1"/>
    <col min="2845" max="2845" width="6.775" style="357" customWidth="1"/>
    <col min="2846" max="2846" width="7.33333333333333" style="357" customWidth="1"/>
    <col min="2847" max="2847" width="0.558333333333333" style="357" customWidth="1"/>
    <col min="2848" max="2848" width="8.88333333333333" style="357"/>
    <col min="2849" max="2849" width="16.4416666666667" style="357" customWidth="1"/>
    <col min="2850" max="2850" width="12.1083333333333" style="357" customWidth="1"/>
    <col min="2851" max="2851" width="13.3333333333333" style="357" customWidth="1"/>
    <col min="2852" max="2852" width="9.775" style="357" customWidth="1"/>
    <col min="2853" max="2853" width="11.5583333333333" style="357" customWidth="1"/>
    <col min="2854" max="2854" width="11" style="357" customWidth="1"/>
    <col min="2855" max="2855" width="13.8833333333333" style="357" customWidth="1"/>
    <col min="2856" max="2856" width="12.775" style="357" customWidth="1"/>
    <col min="2857" max="2857" width="8.88333333333333" style="357"/>
    <col min="2858" max="2858" width="10" style="357" customWidth="1"/>
    <col min="2859" max="2859" width="10.6666666666667" style="357" customWidth="1"/>
    <col min="2860" max="3085" width="8.88333333333333" style="357"/>
    <col min="3086" max="3086" width="5" style="357" customWidth="1"/>
    <col min="3087" max="3087" width="5.10833333333333" style="357" customWidth="1"/>
    <col min="3088" max="3089" width="2.775" style="357" customWidth="1"/>
    <col min="3090" max="3091" width="5.33333333333333" style="357" customWidth="1"/>
    <col min="3092" max="3094" width="7.55833333333333" style="357" customWidth="1"/>
    <col min="3095" max="3095" width="2.775" style="357" customWidth="1"/>
    <col min="3096" max="3096" width="5.33333333333333" style="357" customWidth="1"/>
    <col min="3097" max="3099" width="7.55833333333333" style="357" customWidth="1"/>
    <col min="3100" max="3100" width="4.775" style="357" customWidth="1"/>
    <col min="3101" max="3101" width="6.775" style="357" customWidth="1"/>
    <col min="3102" max="3102" width="7.33333333333333" style="357" customWidth="1"/>
    <col min="3103" max="3103" width="0.558333333333333" style="357" customWidth="1"/>
    <col min="3104" max="3104" width="8.88333333333333" style="357"/>
    <col min="3105" max="3105" width="16.4416666666667" style="357" customWidth="1"/>
    <col min="3106" max="3106" width="12.1083333333333" style="357" customWidth="1"/>
    <col min="3107" max="3107" width="13.3333333333333" style="357" customWidth="1"/>
    <col min="3108" max="3108" width="9.775" style="357" customWidth="1"/>
    <col min="3109" max="3109" width="11.5583333333333" style="357" customWidth="1"/>
    <col min="3110" max="3110" width="11" style="357" customWidth="1"/>
    <col min="3111" max="3111" width="13.8833333333333" style="357" customWidth="1"/>
    <col min="3112" max="3112" width="12.775" style="357" customWidth="1"/>
    <col min="3113" max="3113" width="8.88333333333333" style="357"/>
    <col min="3114" max="3114" width="10" style="357" customWidth="1"/>
    <col min="3115" max="3115" width="10.6666666666667" style="357" customWidth="1"/>
    <col min="3116" max="3341" width="8.88333333333333" style="357"/>
    <col min="3342" max="3342" width="5" style="357" customWidth="1"/>
    <col min="3343" max="3343" width="5.10833333333333" style="357" customWidth="1"/>
    <col min="3344" max="3345" width="2.775" style="357" customWidth="1"/>
    <col min="3346" max="3347" width="5.33333333333333" style="357" customWidth="1"/>
    <col min="3348" max="3350" width="7.55833333333333" style="357" customWidth="1"/>
    <col min="3351" max="3351" width="2.775" style="357" customWidth="1"/>
    <col min="3352" max="3352" width="5.33333333333333" style="357" customWidth="1"/>
    <col min="3353" max="3355" width="7.55833333333333" style="357" customWidth="1"/>
    <col min="3356" max="3356" width="4.775" style="357" customWidth="1"/>
    <col min="3357" max="3357" width="6.775" style="357" customWidth="1"/>
    <col min="3358" max="3358" width="7.33333333333333" style="357" customWidth="1"/>
    <col min="3359" max="3359" width="0.558333333333333" style="357" customWidth="1"/>
    <col min="3360" max="3360" width="8.88333333333333" style="357"/>
    <col min="3361" max="3361" width="16.4416666666667" style="357" customWidth="1"/>
    <col min="3362" max="3362" width="12.1083333333333" style="357" customWidth="1"/>
    <col min="3363" max="3363" width="13.3333333333333" style="357" customWidth="1"/>
    <col min="3364" max="3364" width="9.775" style="357" customWidth="1"/>
    <col min="3365" max="3365" width="11.5583333333333" style="357" customWidth="1"/>
    <col min="3366" max="3366" width="11" style="357" customWidth="1"/>
    <col min="3367" max="3367" width="13.8833333333333" style="357" customWidth="1"/>
    <col min="3368" max="3368" width="12.775" style="357" customWidth="1"/>
    <col min="3369" max="3369" width="8.88333333333333" style="357"/>
    <col min="3370" max="3370" width="10" style="357" customWidth="1"/>
    <col min="3371" max="3371" width="10.6666666666667" style="357" customWidth="1"/>
    <col min="3372" max="3597" width="8.88333333333333" style="357"/>
    <col min="3598" max="3598" width="5" style="357" customWidth="1"/>
    <col min="3599" max="3599" width="5.10833333333333" style="357" customWidth="1"/>
    <col min="3600" max="3601" width="2.775" style="357" customWidth="1"/>
    <col min="3602" max="3603" width="5.33333333333333" style="357" customWidth="1"/>
    <col min="3604" max="3606" width="7.55833333333333" style="357" customWidth="1"/>
    <col min="3607" max="3607" width="2.775" style="357" customWidth="1"/>
    <col min="3608" max="3608" width="5.33333333333333" style="357" customWidth="1"/>
    <col min="3609" max="3611" width="7.55833333333333" style="357" customWidth="1"/>
    <col min="3612" max="3612" width="4.775" style="357" customWidth="1"/>
    <col min="3613" max="3613" width="6.775" style="357" customWidth="1"/>
    <col min="3614" max="3614" width="7.33333333333333" style="357" customWidth="1"/>
    <col min="3615" max="3615" width="0.558333333333333" style="357" customWidth="1"/>
    <col min="3616" max="3616" width="8.88333333333333" style="357"/>
    <col min="3617" max="3617" width="16.4416666666667" style="357" customWidth="1"/>
    <col min="3618" max="3618" width="12.1083333333333" style="357" customWidth="1"/>
    <col min="3619" max="3619" width="13.3333333333333" style="357" customWidth="1"/>
    <col min="3620" max="3620" width="9.775" style="357" customWidth="1"/>
    <col min="3621" max="3621" width="11.5583333333333" style="357" customWidth="1"/>
    <col min="3622" max="3622" width="11" style="357" customWidth="1"/>
    <col min="3623" max="3623" width="13.8833333333333" style="357" customWidth="1"/>
    <col min="3624" max="3624" width="12.775" style="357" customWidth="1"/>
    <col min="3625" max="3625" width="8.88333333333333" style="357"/>
    <col min="3626" max="3626" width="10" style="357" customWidth="1"/>
    <col min="3627" max="3627" width="10.6666666666667" style="357" customWidth="1"/>
    <col min="3628" max="3853" width="8.88333333333333" style="357"/>
    <col min="3854" max="3854" width="5" style="357" customWidth="1"/>
    <col min="3855" max="3855" width="5.10833333333333" style="357" customWidth="1"/>
    <col min="3856" max="3857" width="2.775" style="357" customWidth="1"/>
    <col min="3858" max="3859" width="5.33333333333333" style="357" customWidth="1"/>
    <col min="3860" max="3862" width="7.55833333333333" style="357" customWidth="1"/>
    <col min="3863" max="3863" width="2.775" style="357" customWidth="1"/>
    <col min="3864" max="3864" width="5.33333333333333" style="357" customWidth="1"/>
    <col min="3865" max="3867" width="7.55833333333333" style="357" customWidth="1"/>
    <col min="3868" max="3868" width="4.775" style="357" customWidth="1"/>
    <col min="3869" max="3869" width="6.775" style="357" customWidth="1"/>
    <col min="3870" max="3870" width="7.33333333333333" style="357" customWidth="1"/>
    <col min="3871" max="3871" width="0.558333333333333" style="357" customWidth="1"/>
    <col min="3872" max="3872" width="8.88333333333333" style="357"/>
    <col min="3873" max="3873" width="16.4416666666667" style="357" customWidth="1"/>
    <col min="3874" max="3874" width="12.1083333333333" style="357" customWidth="1"/>
    <col min="3875" max="3875" width="13.3333333333333" style="357" customWidth="1"/>
    <col min="3876" max="3876" width="9.775" style="357" customWidth="1"/>
    <col min="3877" max="3877" width="11.5583333333333" style="357" customWidth="1"/>
    <col min="3878" max="3878" width="11" style="357" customWidth="1"/>
    <col min="3879" max="3879" width="13.8833333333333" style="357" customWidth="1"/>
    <col min="3880" max="3880" width="12.775" style="357" customWidth="1"/>
    <col min="3881" max="3881" width="8.88333333333333" style="357"/>
    <col min="3882" max="3882" width="10" style="357" customWidth="1"/>
    <col min="3883" max="3883" width="10.6666666666667" style="357" customWidth="1"/>
    <col min="3884" max="4109" width="8.88333333333333" style="357"/>
    <col min="4110" max="4110" width="5" style="357" customWidth="1"/>
    <col min="4111" max="4111" width="5.10833333333333" style="357" customWidth="1"/>
    <col min="4112" max="4113" width="2.775" style="357" customWidth="1"/>
    <col min="4114" max="4115" width="5.33333333333333" style="357" customWidth="1"/>
    <col min="4116" max="4118" width="7.55833333333333" style="357" customWidth="1"/>
    <col min="4119" max="4119" width="2.775" style="357" customWidth="1"/>
    <col min="4120" max="4120" width="5.33333333333333" style="357" customWidth="1"/>
    <col min="4121" max="4123" width="7.55833333333333" style="357" customWidth="1"/>
    <col min="4124" max="4124" width="4.775" style="357" customWidth="1"/>
    <col min="4125" max="4125" width="6.775" style="357" customWidth="1"/>
    <col min="4126" max="4126" width="7.33333333333333" style="357" customWidth="1"/>
    <col min="4127" max="4127" width="0.558333333333333" style="357" customWidth="1"/>
    <col min="4128" max="4128" width="8.88333333333333" style="357"/>
    <col min="4129" max="4129" width="16.4416666666667" style="357" customWidth="1"/>
    <col min="4130" max="4130" width="12.1083333333333" style="357" customWidth="1"/>
    <col min="4131" max="4131" width="13.3333333333333" style="357" customWidth="1"/>
    <col min="4132" max="4132" width="9.775" style="357" customWidth="1"/>
    <col min="4133" max="4133" width="11.5583333333333" style="357" customWidth="1"/>
    <col min="4134" max="4134" width="11" style="357" customWidth="1"/>
    <col min="4135" max="4135" width="13.8833333333333" style="357" customWidth="1"/>
    <col min="4136" max="4136" width="12.775" style="357" customWidth="1"/>
    <col min="4137" max="4137" width="8.88333333333333" style="357"/>
    <col min="4138" max="4138" width="10" style="357" customWidth="1"/>
    <col min="4139" max="4139" width="10.6666666666667" style="357" customWidth="1"/>
    <col min="4140" max="4365" width="8.88333333333333" style="357"/>
    <col min="4366" max="4366" width="5" style="357" customWidth="1"/>
    <col min="4367" max="4367" width="5.10833333333333" style="357" customWidth="1"/>
    <col min="4368" max="4369" width="2.775" style="357" customWidth="1"/>
    <col min="4370" max="4371" width="5.33333333333333" style="357" customWidth="1"/>
    <col min="4372" max="4374" width="7.55833333333333" style="357" customWidth="1"/>
    <col min="4375" max="4375" width="2.775" style="357" customWidth="1"/>
    <col min="4376" max="4376" width="5.33333333333333" style="357" customWidth="1"/>
    <col min="4377" max="4379" width="7.55833333333333" style="357" customWidth="1"/>
    <col min="4380" max="4380" width="4.775" style="357" customWidth="1"/>
    <col min="4381" max="4381" width="6.775" style="357" customWidth="1"/>
    <col min="4382" max="4382" width="7.33333333333333" style="357" customWidth="1"/>
    <col min="4383" max="4383" width="0.558333333333333" style="357" customWidth="1"/>
    <col min="4384" max="4384" width="8.88333333333333" style="357"/>
    <col min="4385" max="4385" width="16.4416666666667" style="357" customWidth="1"/>
    <col min="4386" max="4386" width="12.1083333333333" style="357" customWidth="1"/>
    <col min="4387" max="4387" width="13.3333333333333" style="357" customWidth="1"/>
    <col min="4388" max="4388" width="9.775" style="357" customWidth="1"/>
    <col min="4389" max="4389" width="11.5583333333333" style="357" customWidth="1"/>
    <col min="4390" max="4390" width="11" style="357" customWidth="1"/>
    <col min="4391" max="4391" width="13.8833333333333" style="357" customWidth="1"/>
    <col min="4392" max="4392" width="12.775" style="357" customWidth="1"/>
    <col min="4393" max="4393" width="8.88333333333333" style="357"/>
    <col min="4394" max="4394" width="10" style="357" customWidth="1"/>
    <col min="4395" max="4395" width="10.6666666666667" style="357" customWidth="1"/>
    <col min="4396" max="4621" width="8.88333333333333" style="357"/>
    <col min="4622" max="4622" width="5" style="357" customWidth="1"/>
    <col min="4623" max="4623" width="5.10833333333333" style="357" customWidth="1"/>
    <col min="4624" max="4625" width="2.775" style="357" customWidth="1"/>
    <col min="4626" max="4627" width="5.33333333333333" style="357" customWidth="1"/>
    <col min="4628" max="4630" width="7.55833333333333" style="357" customWidth="1"/>
    <col min="4631" max="4631" width="2.775" style="357" customWidth="1"/>
    <col min="4632" max="4632" width="5.33333333333333" style="357" customWidth="1"/>
    <col min="4633" max="4635" width="7.55833333333333" style="357" customWidth="1"/>
    <col min="4636" max="4636" width="4.775" style="357" customWidth="1"/>
    <col min="4637" max="4637" width="6.775" style="357" customWidth="1"/>
    <col min="4638" max="4638" width="7.33333333333333" style="357" customWidth="1"/>
    <col min="4639" max="4639" width="0.558333333333333" style="357" customWidth="1"/>
    <col min="4640" max="4640" width="8.88333333333333" style="357"/>
    <col min="4641" max="4641" width="16.4416666666667" style="357" customWidth="1"/>
    <col min="4642" max="4642" width="12.1083333333333" style="357" customWidth="1"/>
    <col min="4643" max="4643" width="13.3333333333333" style="357" customWidth="1"/>
    <col min="4644" max="4644" width="9.775" style="357" customWidth="1"/>
    <col min="4645" max="4645" width="11.5583333333333" style="357" customWidth="1"/>
    <col min="4646" max="4646" width="11" style="357" customWidth="1"/>
    <col min="4647" max="4647" width="13.8833333333333" style="357" customWidth="1"/>
    <col min="4648" max="4648" width="12.775" style="357" customWidth="1"/>
    <col min="4649" max="4649" width="8.88333333333333" style="357"/>
    <col min="4650" max="4650" width="10" style="357" customWidth="1"/>
    <col min="4651" max="4651" width="10.6666666666667" style="357" customWidth="1"/>
    <col min="4652" max="4877" width="8.88333333333333" style="357"/>
    <col min="4878" max="4878" width="5" style="357" customWidth="1"/>
    <col min="4879" max="4879" width="5.10833333333333" style="357" customWidth="1"/>
    <col min="4880" max="4881" width="2.775" style="357" customWidth="1"/>
    <col min="4882" max="4883" width="5.33333333333333" style="357" customWidth="1"/>
    <col min="4884" max="4886" width="7.55833333333333" style="357" customWidth="1"/>
    <col min="4887" max="4887" width="2.775" style="357" customWidth="1"/>
    <col min="4888" max="4888" width="5.33333333333333" style="357" customWidth="1"/>
    <col min="4889" max="4891" width="7.55833333333333" style="357" customWidth="1"/>
    <col min="4892" max="4892" width="4.775" style="357" customWidth="1"/>
    <col min="4893" max="4893" width="6.775" style="357" customWidth="1"/>
    <col min="4894" max="4894" width="7.33333333333333" style="357" customWidth="1"/>
    <col min="4895" max="4895" width="0.558333333333333" style="357" customWidth="1"/>
    <col min="4896" max="4896" width="8.88333333333333" style="357"/>
    <col min="4897" max="4897" width="16.4416666666667" style="357" customWidth="1"/>
    <col min="4898" max="4898" width="12.1083333333333" style="357" customWidth="1"/>
    <col min="4899" max="4899" width="13.3333333333333" style="357" customWidth="1"/>
    <col min="4900" max="4900" width="9.775" style="357" customWidth="1"/>
    <col min="4901" max="4901" width="11.5583333333333" style="357" customWidth="1"/>
    <col min="4902" max="4902" width="11" style="357" customWidth="1"/>
    <col min="4903" max="4903" width="13.8833333333333" style="357" customWidth="1"/>
    <col min="4904" max="4904" width="12.775" style="357" customWidth="1"/>
    <col min="4905" max="4905" width="8.88333333333333" style="357"/>
    <col min="4906" max="4906" width="10" style="357" customWidth="1"/>
    <col min="4907" max="4907" width="10.6666666666667" style="357" customWidth="1"/>
    <col min="4908" max="5133" width="8.88333333333333" style="357"/>
    <col min="5134" max="5134" width="5" style="357" customWidth="1"/>
    <col min="5135" max="5135" width="5.10833333333333" style="357" customWidth="1"/>
    <col min="5136" max="5137" width="2.775" style="357" customWidth="1"/>
    <col min="5138" max="5139" width="5.33333333333333" style="357" customWidth="1"/>
    <col min="5140" max="5142" width="7.55833333333333" style="357" customWidth="1"/>
    <col min="5143" max="5143" width="2.775" style="357" customWidth="1"/>
    <col min="5144" max="5144" width="5.33333333333333" style="357" customWidth="1"/>
    <col min="5145" max="5147" width="7.55833333333333" style="357" customWidth="1"/>
    <col min="5148" max="5148" width="4.775" style="357" customWidth="1"/>
    <col min="5149" max="5149" width="6.775" style="357" customWidth="1"/>
    <col min="5150" max="5150" width="7.33333333333333" style="357" customWidth="1"/>
    <col min="5151" max="5151" width="0.558333333333333" style="357" customWidth="1"/>
    <col min="5152" max="5152" width="8.88333333333333" style="357"/>
    <col min="5153" max="5153" width="16.4416666666667" style="357" customWidth="1"/>
    <col min="5154" max="5154" width="12.1083333333333" style="357" customWidth="1"/>
    <col min="5155" max="5155" width="13.3333333333333" style="357" customWidth="1"/>
    <col min="5156" max="5156" width="9.775" style="357" customWidth="1"/>
    <col min="5157" max="5157" width="11.5583333333333" style="357" customWidth="1"/>
    <col min="5158" max="5158" width="11" style="357" customWidth="1"/>
    <col min="5159" max="5159" width="13.8833333333333" style="357" customWidth="1"/>
    <col min="5160" max="5160" width="12.775" style="357" customWidth="1"/>
    <col min="5161" max="5161" width="8.88333333333333" style="357"/>
    <col min="5162" max="5162" width="10" style="357" customWidth="1"/>
    <col min="5163" max="5163" width="10.6666666666667" style="357" customWidth="1"/>
    <col min="5164" max="5389" width="8.88333333333333" style="357"/>
    <col min="5390" max="5390" width="5" style="357" customWidth="1"/>
    <col min="5391" max="5391" width="5.10833333333333" style="357" customWidth="1"/>
    <col min="5392" max="5393" width="2.775" style="357" customWidth="1"/>
    <col min="5394" max="5395" width="5.33333333333333" style="357" customWidth="1"/>
    <col min="5396" max="5398" width="7.55833333333333" style="357" customWidth="1"/>
    <col min="5399" max="5399" width="2.775" style="357" customWidth="1"/>
    <col min="5400" max="5400" width="5.33333333333333" style="357" customWidth="1"/>
    <col min="5401" max="5403" width="7.55833333333333" style="357" customWidth="1"/>
    <col min="5404" max="5404" width="4.775" style="357" customWidth="1"/>
    <col min="5405" max="5405" width="6.775" style="357" customWidth="1"/>
    <col min="5406" max="5406" width="7.33333333333333" style="357" customWidth="1"/>
    <col min="5407" max="5407" width="0.558333333333333" style="357" customWidth="1"/>
    <col min="5408" max="5408" width="8.88333333333333" style="357"/>
    <col min="5409" max="5409" width="16.4416666666667" style="357" customWidth="1"/>
    <col min="5410" max="5410" width="12.1083333333333" style="357" customWidth="1"/>
    <col min="5411" max="5411" width="13.3333333333333" style="357" customWidth="1"/>
    <col min="5412" max="5412" width="9.775" style="357" customWidth="1"/>
    <col min="5413" max="5413" width="11.5583333333333" style="357" customWidth="1"/>
    <col min="5414" max="5414" width="11" style="357" customWidth="1"/>
    <col min="5415" max="5415" width="13.8833333333333" style="357" customWidth="1"/>
    <col min="5416" max="5416" width="12.775" style="357" customWidth="1"/>
    <col min="5417" max="5417" width="8.88333333333333" style="357"/>
    <col min="5418" max="5418" width="10" style="357" customWidth="1"/>
    <col min="5419" max="5419" width="10.6666666666667" style="357" customWidth="1"/>
    <col min="5420" max="5645" width="8.88333333333333" style="357"/>
    <col min="5646" max="5646" width="5" style="357" customWidth="1"/>
    <col min="5647" max="5647" width="5.10833333333333" style="357" customWidth="1"/>
    <col min="5648" max="5649" width="2.775" style="357" customWidth="1"/>
    <col min="5650" max="5651" width="5.33333333333333" style="357" customWidth="1"/>
    <col min="5652" max="5654" width="7.55833333333333" style="357" customWidth="1"/>
    <col min="5655" max="5655" width="2.775" style="357" customWidth="1"/>
    <col min="5656" max="5656" width="5.33333333333333" style="357" customWidth="1"/>
    <col min="5657" max="5659" width="7.55833333333333" style="357" customWidth="1"/>
    <col min="5660" max="5660" width="4.775" style="357" customWidth="1"/>
    <col min="5661" max="5661" width="6.775" style="357" customWidth="1"/>
    <col min="5662" max="5662" width="7.33333333333333" style="357" customWidth="1"/>
    <col min="5663" max="5663" width="0.558333333333333" style="357" customWidth="1"/>
    <col min="5664" max="5664" width="8.88333333333333" style="357"/>
    <col min="5665" max="5665" width="16.4416666666667" style="357" customWidth="1"/>
    <col min="5666" max="5666" width="12.1083333333333" style="357" customWidth="1"/>
    <col min="5667" max="5667" width="13.3333333333333" style="357" customWidth="1"/>
    <col min="5668" max="5668" width="9.775" style="357" customWidth="1"/>
    <col min="5669" max="5669" width="11.5583333333333" style="357" customWidth="1"/>
    <col min="5670" max="5670" width="11" style="357" customWidth="1"/>
    <col min="5671" max="5671" width="13.8833333333333" style="357" customWidth="1"/>
    <col min="5672" max="5672" width="12.775" style="357" customWidth="1"/>
    <col min="5673" max="5673" width="8.88333333333333" style="357"/>
    <col min="5674" max="5674" width="10" style="357" customWidth="1"/>
    <col min="5675" max="5675" width="10.6666666666667" style="357" customWidth="1"/>
    <col min="5676" max="5901" width="8.88333333333333" style="357"/>
    <col min="5902" max="5902" width="5" style="357" customWidth="1"/>
    <col min="5903" max="5903" width="5.10833333333333" style="357" customWidth="1"/>
    <col min="5904" max="5905" width="2.775" style="357" customWidth="1"/>
    <col min="5906" max="5907" width="5.33333333333333" style="357" customWidth="1"/>
    <col min="5908" max="5910" width="7.55833333333333" style="357" customWidth="1"/>
    <col min="5911" max="5911" width="2.775" style="357" customWidth="1"/>
    <col min="5912" max="5912" width="5.33333333333333" style="357" customWidth="1"/>
    <col min="5913" max="5915" width="7.55833333333333" style="357" customWidth="1"/>
    <col min="5916" max="5916" width="4.775" style="357" customWidth="1"/>
    <col min="5917" max="5917" width="6.775" style="357" customWidth="1"/>
    <col min="5918" max="5918" width="7.33333333333333" style="357" customWidth="1"/>
    <col min="5919" max="5919" width="0.558333333333333" style="357" customWidth="1"/>
    <col min="5920" max="5920" width="8.88333333333333" style="357"/>
    <col min="5921" max="5921" width="16.4416666666667" style="357" customWidth="1"/>
    <col min="5922" max="5922" width="12.1083333333333" style="357" customWidth="1"/>
    <col min="5923" max="5923" width="13.3333333333333" style="357" customWidth="1"/>
    <col min="5924" max="5924" width="9.775" style="357" customWidth="1"/>
    <col min="5925" max="5925" width="11.5583333333333" style="357" customWidth="1"/>
    <col min="5926" max="5926" width="11" style="357" customWidth="1"/>
    <col min="5927" max="5927" width="13.8833333333333" style="357" customWidth="1"/>
    <col min="5928" max="5928" width="12.775" style="357" customWidth="1"/>
    <col min="5929" max="5929" width="8.88333333333333" style="357"/>
    <col min="5930" max="5930" width="10" style="357" customWidth="1"/>
    <col min="5931" max="5931" width="10.6666666666667" style="357" customWidth="1"/>
    <col min="5932" max="6157" width="8.88333333333333" style="357"/>
    <col min="6158" max="6158" width="5" style="357" customWidth="1"/>
    <col min="6159" max="6159" width="5.10833333333333" style="357" customWidth="1"/>
    <col min="6160" max="6161" width="2.775" style="357" customWidth="1"/>
    <col min="6162" max="6163" width="5.33333333333333" style="357" customWidth="1"/>
    <col min="6164" max="6166" width="7.55833333333333" style="357" customWidth="1"/>
    <col min="6167" max="6167" width="2.775" style="357" customWidth="1"/>
    <col min="6168" max="6168" width="5.33333333333333" style="357" customWidth="1"/>
    <col min="6169" max="6171" width="7.55833333333333" style="357" customWidth="1"/>
    <col min="6172" max="6172" width="4.775" style="357" customWidth="1"/>
    <col min="6173" max="6173" width="6.775" style="357" customWidth="1"/>
    <col min="6174" max="6174" width="7.33333333333333" style="357" customWidth="1"/>
    <col min="6175" max="6175" width="0.558333333333333" style="357" customWidth="1"/>
    <col min="6176" max="6176" width="8.88333333333333" style="357"/>
    <col min="6177" max="6177" width="16.4416666666667" style="357" customWidth="1"/>
    <col min="6178" max="6178" width="12.1083333333333" style="357" customWidth="1"/>
    <col min="6179" max="6179" width="13.3333333333333" style="357" customWidth="1"/>
    <col min="6180" max="6180" width="9.775" style="357" customWidth="1"/>
    <col min="6181" max="6181" width="11.5583333333333" style="357" customWidth="1"/>
    <col min="6182" max="6182" width="11" style="357" customWidth="1"/>
    <col min="6183" max="6183" width="13.8833333333333" style="357" customWidth="1"/>
    <col min="6184" max="6184" width="12.775" style="357" customWidth="1"/>
    <col min="6185" max="6185" width="8.88333333333333" style="357"/>
    <col min="6186" max="6186" width="10" style="357" customWidth="1"/>
    <col min="6187" max="6187" width="10.6666666666667" style="357" customWidth="1"/>
    <col min="6188" max="6413" width="8.88333333333333" style="357"/>
    <col min="6414" max="6414" width="5" style="357" customWidth="1"/>
    <col min="6415" max="6415" width="5.10833333333333" style="357" customWidth="1"/>
    <col min="6416" max="6417" width="2.775" style="357" customWidth="1"/>
    <col min="6418" max="6419" width="5.33333333333333" style="357" customWidth="1"/>
    <col min="6420" max="6422" width="7.55833333333333" style="357" customWidth="1"/>
    <col min="6423" max="6423" width="2.775" style="357" customWidth="1"/>
    <col min="6424" max="6424" width="5.33333333333333" style="357" customWidth="1"/>
    <col min="6425" max="6427" width="7.55833333333333" style="357" customWidth="1"/>
    <col min="6428" max="6428" width="4.775" style="357" customWidth="1"/>
    <col min="6429" max="6429" width="6.775" style="357" customWidth="1"/>
    <col min="6430" max="6430" width="7.33333333333333" style="357" customWidth="1"/>
    <col min="6431" max="6431" width="0.558333333333333" style="357" customWidth="1"/>
    <col min="6432" max="6432" width="8.88333333333333" style="357"/>
    <col min="6433" max="6433" width="16.4416666666667" style="357" customWidth="1"/>
    <col min="6434" max="6434" width="12.1083333333333" style="357" customWidth="1"/>
    <col min="6435" max="6435" width="13.3333333333333" style="357" customWidth="1"/>
    <col min="6436" max="6436" width="9.775" style="357" customWidth="1"/>
    <col min="6437" max="6437" width="11.5583333333333" style="357" customWidth="1"/>
    <col min="6438" max="6438" width="11" style="357" customWidth="1"/>
    <col min="6439" max="6439" width="13.8833333333333" style="357" customWidth="1"/>
    <col min="6440" max="6440" width="12.775" style="357" customWidth="1"/>
    <col min="6441" max="6441" width="8.88333333333333" style="357"/>
    <col min="6442" max="6442" width="10" style="357" customWidth="1"/>
    <col min="6443" max="6443" width="10.6666666666667" style="357" customWidth="1"/>
    <col min="6444" max="6669" width="8.88333333333333" style="357"/>
    <col min="6670" max="6670" width="5" style="357" customWidth="1"/>
    <col min="6671" max="6671" width="5.10833333333333" style="357" customWidth="1"/>
    <col min="6672" max="6673" width="2.775" style="357" customWidth="1"/>
    <col min="6674" max="6675" width="5.33333333333333" style="357" customWidth="1"/>
    <col min="6676" max="6678" width="7.55833333333333" style="357" customWidth="1"/>
    <col min="6679" max="6679" width="2.775" style="357" customWidth="1"/>
    <col min="6680" max="6680" width="5.33333333333333" style="357" customWidth="1"/>
    <col min="6681" max="6683" width="7.55833333333333" style="357" customWidth="1"/>
    <col min="6684" max="6684" width="4.775" style="357" customWidth="1"/>
    <col min="6685" max="6685" width="6.775" style="357" customWidth="1"/>
    <col min="6686" max="6686" width="7.33333333333333" style="357" customWidth="1"/>
    <col min="6687" max="6687" width="0.558333333333333" style="357" customWidth="1"/>
    <col min="6688" max="6688" width="8.88333333333333" style="357"/>
    <col min="6689" max="6689" width="16.4416666666667" style="357" customWidth="1"/>
    <col min="6690" max="6690" width="12.1083333333333" style="357" customWidth="1"/>
    <col min="6691" max="6691" width="13.3333333333333" style="357" customWidth="1"/>
    <col min="6692" max="6692" width="9.775" style="357" customWidth="1"/>
    <col min="6693" max="6693" width="11.5583333333333" style="357" customWidth="1"/>
    <col min="6694" max="6694" width="11" style="357" customWidth="1"/>
    <col min="6695" max="6695" width="13.8833333333333" style="357" customWidth="1"/>
    <col min="6696" max="6696" width="12.775" style="357" customWidth="1"/>
    <col min="6697" max="6697" width="8.88333333333333" style="357"/>
    <col min="6698" max="6698" width="10" style="357" customWidth="1"/>
    <col min="6699" max="6699" width="10.6666666666667" style="357" customWidth="1"/>
    <col min="6700" max="6925" width="8.88333333333333" style="357"/>
    <col min="6926" max="6926" width="5" style="357" customWidth="1"/>
    <col min="6927" max="6927" width="5.10833333333333" style="357" customWidth="1"/>
    <col min="6928" max="6929" width="2.775" style="357" customWidth="1"/>
    <col min="6930" max="6931" width="5.33333333333333" style="357" customWidth="1"/>
    <col min="6932" max="6934" width="7.55833333333333" style="357" customWidth="1"/>
    <col min="6935" max="6935" width="2.775" style="357" customWidth="1"/>
    <col min="6936" max="6936" width="5.33333333333333" style="357" customWidth="1"/>
    <col min="6937" max="6939" width="7.55833333333333" style="357" customWidth="1"/>
    <col min="6940" max="6940" width="4.775" style="357" customWidth="1"/>
    <col min="6941" max="6941" width="6.775" style="357" customWidth="1"/>
    <col min="6942" max="6942" width="7.33333333333333" style="357" customWidth="1"/>
    <col min="6943" max="6943" width="0.558333333333333" style="357" customWidth="1"/>
    <col min="6944" max="6944" width="8.88333333333333" style="357"/>
    <col min="6945" max="6945" width="16.4416666666667" style="357" customWidth="1"/>
    <col min="6946" max="6946" width="12.1083333333333" style="357" customWidth="1"/>
    <col min="6947" max="6947" width="13.3333333333333" style="357" customWidth="1"/>
    <col min="6948" max="6948" width="9.775" style="357" customWidth="1"/>
    <col min="6949" max="6949" width="11.5583333333333" style="357" customWidth="1"/>
    <col min="6950" max="6950" width="11" style="357" customWidth="1"/>
    <col min="6951" max="6951" width="13.8833333333333" style="357" customWidth="1"/>
    <col min="6952" max="6952" width="12.775" style="357" customWidth="1"/>
    <col min="6953" max="6953" width="8.88333333333333" style="357"/>
    <col min="6954" max="6954" width="10" style="357" customWidth="1"/>
    <col min="6955" max="6955" width="10.6666666666667" style="357" customWidth="1"/>
    <col min="6956" max="7181" width="8.88333333333333" style="357"/>
    <col min="7182" max="7182" width="5" style="357" customWidth="1"/>
    <col min="7183" max="7183" width="5.10833333333333" style="357" customWidth="1"/>
    <col min="7184" max="7185" width="2.775" style="357" customWidth="1"/>
    <col min="7186" max="7187" width="5.33333333333333" style="357" customWidth="1"/>
    <col min="7188" max="7190" width="7.55833333333333" style="357" customWidth="1"/>
    <col min="7191" max="7191" width="2.775" style="357" customWidth="1"/>
    <col min="7192" max="7192" width="5.33333333333333" style="357" customWidth="1"/>
    <col min="7193" max="7195" width="7.55833333333333" style="357" customWidth="1"/>
    <col min="7196" max="7196" width="4.775" style="357" customWidth="1"/>
    <col min="7197" max="7197" width="6.775" style="357" customWidth="1"/>
    <col min="7198" max="7198" width="7.33333333333333" style="357" customWidth="1"/>
    <col min="7199" max="7199" width="0.558333333333333" style="357" customWidth="1"/>
    <col min="7200" max="7200" width="8.88333333333333" style="357"/>
    <col min="7201" max="7201" width="16.4416666666667" style="357" customWidth="1"/>
    <col min="7202" max="7202" width="12.1083333333333" style="357" customWidth="1"/>
    <col min="7203" max="7203" width="13.3333333333333" style="357" customWidth="1"/>
    <col min="7204" max="7204" width="9.775" style="357" customWidth="1"/>
    <col min="7205" max="7205" width="11.5583333333333" style="357" customWidth="1"/>
    <col min="7206" max="7206" width="11" style="357" customWidth="1"/>
    <col min="7207" max="7207" width="13.8833333333333" style="357" customWidth="1"/>
    <col min="7208" max="7208" width="12.775" style="357" customWidth="1"/>
    <col min="7209" max="7209" width="8.88333333333333" style="357"/>
    <col min="7210" max="7210" width="10" style="357" customWidth="1"/>
    <col min="7211" max="7211" width="10.6666666666667" style="357" customWidth="1"/>
    <col min="7212" max="7437" width="8.88333333333333" style="357"/>
    <col min="7438" max="7438" width="5" style="357" customWidth="1"/>
    <col min="7439" max="7439" width="5.10833333333333" style="357" customWidth="1"/>
    <col min="7440" max="7441" width="2.775" style="357" customWidth="1"/>
    <col min="7442" max="7443" width="5.33333333333333" style="357" customWidth="1"/>
    <col min="7444" max="7446" width="7.55833333333333" style="357" customWidth="1"/>
    <col min="7447" max="7447" width="2.775" style="357" customWidth="1"/>
    <col min="7448" max="7448" width="5.33333333333333" style="357" customWidth="1"/>
    <col min="7449" max="7451" width="7.55833333333333" style="357" customWidth="1"/>
    <col min="7452" max="7452" width="4.775" style="357" customWidth="1"/>
    <col min="7453" max="7453" width="6.775" style="357" customWidth="1"/>
    <col min="7454" max="7454" width="7.33333333333333" style="357" customWidth="1"/>
    <col min="7455" max="7455" width="0.558333333333333" style="357" customWidth="1"/>
    <col min="7456" max="7456" width="8.88333333333333" style="357"/>
    <col min="7457" max="7457" width="16.4416666666667" style="357" customWidth="1"/>
    <col min="7458" max="7458" width="12.1083333333333" style="357" customWidth="1"/>
    <col min="7459" max="7459" width="13.3333333333333" style="357" customWidth="1"/>
    <col min="7460" max="7460" width="9.775" style="357" customWidth="1"/>
    <col min="7461" max="7461" width="11.5583333333333" style="357" customWidth="1"/>
    <col min="7462" max="7462" width="11" style="357" customWidth="1"/>
    <col min="7463" max="7463" width="13.8833333333333" style="357" customWidth="1"/>
    <col min="7464" max="7464" width="12.775" style="357" customWidth="1"/>
    <col min="7465" max="7465" width="8.88333333333333" style="357"/>
    <col min="7466" max="7466" width="10" style="357" customWidth="1"/>
    <col min="7467" max="7467" width="10.6666666666667" style="357" customWidth="1"/>
    <col min="7468" max="7693" width="8.88333333333333" style="357"/>
    <col min="7694" max="7694" width="5" style="357" customWidth="1"/>
    <col min="7695" max="7695" width="5.10833333333333" style="357" customWidth="1"/>
    <col min="7696" max="7697" width="2.775" style="357" customWidth="1"/>
    <col min="7698" max="7699" width="5.33333333333333" style="357" customWidth="1"/>
    <col min="7700" max="7702" width="7.55833333333333" style="357" customWidth="1"/>
    <col min="7703" max="7703" width="2.775" style="357" customWidth="1"/>
    <col min="7704" max="7704" width="5.33333333333333" style="357" customWidth="1"/>
    <col min="7705" max="7707" width="7.55833333333333" style="357" customWidth="1"/>
    <col min="7708" max="7708" width="4.775" style="357" customWidth="1"/>
    <col min="7709" max="7709" width="6.775" style="357" customWidth="1"/>
    <col min="7710" max="7710" width="7.33333333333333" style="357" customWidth="1"/>
    <col min="7711" max="7711" width="0.558333333333333" style="357" customWidth="1"/>
    <col min="7712" max="7712" width="8.88333333333333" style="357"/>
    <col min="7713" max="7713" width="16.4416666666667" style="357" customWidth="1"/>
    <col min="7714" max="7714" width="12.1083333333333" style="357" customWidth="1"/>
    <col min="7715" max="7715" width="13.3333333333333" style="357" customWidth="1"/>
    <col min="7716" max="7716" width="9.775" style="357" customWidth="1"/>
    <col min="7717" max="7717" width="11.5583333333333" style="357" customWidth="1"/>
    <col min="7718" max="7718" width="11" style="357" customWidth="1"/>
    <col min="7719" max="7719" width="13.8833333333333" style="357" customWidth="1"/>
    <col min="7720" max="7720" width="12.775" style="357" customWidth="1"/>
    <col min="7721" max="7721" width="8.88333333333333" style="357"/>
    <col min="7722" max="7722" width="10" style="357" customWidth="1"/>
    <col min="7723" max="7723" width="10.6666666666667" style="357" customWidth="1"/>
    <col min="7724" max="7949" width="8.88333333333333" style="357"/>
    <col min="7950" max="7950" width="5" style="357" customWidth="1"/>
    <col min="7951" max="7951" width="5.10833333333333" style="357" customWidth="1"/>
    <col min="7952" max="7953" width="2.775" style="357" customWidth="1"/>
    <col min="7954" max="7955" width="5.33333333333333" style="357" customWidth="1"/>
    <col min="7956" max="7958" width="7.55833333333333" style="357" customWidth="1"/>
    <col min="7959" max="7959" width="2.775" style="357" customWidth="1"/>
    <col min="7960" max="7960" width="5.33333333333333" style="357" customWidth="1"/>
    <col min="7961" max="7963" width="7.55833333333333" style="357" customWidth="1"/>
    <col min="7964" max="7964" width="4.775" style="357" customWidth="1"/>
    <col min="7965" max="7965" width="6.775" style="357" customWidth="1"/>
    <col min="7966" max="7966" width="7.33333333333333" style="357" customWidth="1"/>
    <col min="7967" max="7967" width="0.558333333333333" style="357" customWidth="1"/>
    <col min="7968" max="7968" width="8.88333333333333" style="357"/>
    <col min="7969" max="7969" width="16.4416666666667" style="357" customWidth="1"/>
    <col min="7970" max="7970" width="12.1083333333333" style="357" customWidth="1"/>
    <col min="7971" max="7971" width="13.3333333333333" style="357" customWidth="1"/>
    <col min="7972" max="7972" width="9.775" style="357" customWidth="1"/>
    <col min="7973" max="7973" width="11.5583333333333" style="357" customWidth="1"/>
    <col min="7974" max="7974" width="11" style="357" customWidth="1"/>
    <col min="7975" max="7975" width="13.8833333333333" style="357" customWidth="1"/>
    <col min="7976" max="7976" width="12.775" style="357" customWidth="1"/>
    <col min="7977" max="7977" width="8.88333333333333" style="357"/>
    <col min="7978" max="7978" width="10" style="357" customWidth="1"/>
    <col min="7979" max="7979" width="10.6666666666667" style="357" customWidth="1"/>
    <col min="7980" max="8205" width="8.88333333333333" style="357"/>
    <col min="8206" max="8206" width="5" style="357" customWidth="1"/>
    <col min="8207" max="8207" width="5.10833333333333" style="357" customWidth="1"/>
    <col min="8208" max="8209" width="2.775" style="357" customWidth="1"/>
    <col min="8210" max="8211" width="5.33333333333333" style="357" customWidth="1"/>
    <col min="8212" max="8214" width="7.55833333333333" style="357" customWidth="1"/>
    <col min="8215" max="8215" width="2.775" style="357" customWidth="1"/>
    <col min="8216" max="8216" width="5.33333333333333" style="357" customWidth="1"/>
    <col min="8217" max="8219" width="7.55833333333333" style="357" customWidth="1"/>
    <col min="8220" max="8220" width="4.775" style="357" customWidth="1"/>
    <col min="8221" max="8221" width="6.775" style="357" customWidth="1"/>
    <col min="8222" max="8222" width="7.33333333333333" style="357" customWidth="1"/>
    <col min="8223" max="8223" width="0.558333333333333" style="357" customWidth="1"/>
    <col min="8224" max="8224" width="8.88333333333333" style="357"/>
    <col min="8225" max="8225" width="16.4416666666667" style="357" customWidth="1"/>
    <col min="8226" max="8226" width="12.1083333333333" style="357" customWidth="1"/>
    <col min="8227" max="8227" width="13.3333333333333" style="357" customWidth="1"/>
    <col min="8228" max="8228" width="9.775" style="357" customWidth="1"/>
    <col min="8229" max="8229" width="11.5583333333333" style="357" customWidth="1"/>
    <col min="8230" max="8230" width="11" style="357" customWidth="1"/>
    <col min="8231" max="8231" width="13.8833333333333" style="357" customWidth="1"/>
    <col min="8232" max="8232" width="12.775" style="357" customWidth="1"/>
    <col min="8233" max="8233" width="8.88333333333333" style="357"/>
    <col min="8234" max="8234" width="10" style="357" customWidth="1"/>
    <col min="8235" max="8235" width="10.6666666666667" style="357" customWidth="1"/>
    <col min="8236" max="8461" width="8.88333333333333" style="357"/>
    <col min="8462" max="8462" width="5" style="357" customWidth="1"/>
    <col min="8463" max="8463" width="5.10833333333333" style="357" customWidth="1"/>
    <col min="8464" max="8465" width="2.775" style="357" customWidth="1"/>
    <col min="8466" max="8467" width="5.33333333333333" style="357" customWidth="1"/>
    <col min="8468" max="8470" width="7.55833333333333" style="357" customWidth="1"/>
    <col min="8471" max="8471" width="2.775" style="357" customWidth="1"/>
    <col min="8472" max="8472" width="5.33333333333333" style="357" customWidth="1"/>
    <col min="8473" max="8475" width="7.55833333333333" style="357" customWidth="1"/>
    <col min="8476" max="8476" width="4.775" style="357" customWidth="1"/>
    <col min="8477" max="8477" width="6.775" style="357" customWidth="1"/>
    <col min="8478" max="8478" width="7.33333333333333" style="357" customWidth="1"/>
    <col min="8479" max="8479" width="0.558333333333333" style="357" customWidth="1"/>
    <col min="8480" max="8480" width="8.88333333333333" style="357"/>
    <col min="8481" max="8481" width="16.4416666666667" style="357" customWidth="1"/>
    <col min="8482" max="8482" width="12.1083333333333" style="357" customWidth="1"/>
    <col min="8483" max="8483" width="13.3333333333333" style="357" customWidth="1"/>
    <col min="8484" max="8484" width="9.775" style="357" customWidth="1"/>
    <col min="8485" max="8485" width="11.5583333333333" style="357" customWidth="1"/>
    <col min="8486" max="8486" width="11" style="357" customWidth="1"/>
    <col min="8487" max="8487" width="13.8833333333333" style="357" customWidth="1"/>
    <col min="8488" max="8488" width="12.775" style="357" customWidth="1"/>
    <col min="8489" max="8489" width="8.88333333333333" style="357"/>
    <col min="8490" max="8490" width="10" style="357" customWidth="1"/>
    <col min="8491" max="8491" width="10.6666666666667" style="357" customWidth="1"/>
    <col min="8492" max="8717" width="8.88333333333333" style="357"/>
    <col min="8718" max="8718" width="5" style="357" customWidth="1"/>
    <col min="8719" max="8719" width="5.10833333333333" style="357" customWidth="1"/>
    <col min="8720" max="8721" width="2.775" style="357" customWidth="1"/>
    <col min="8722" max="8723" width="5.33333333333333" style="357" customWidth="1"/>
    <col min="8724" max="8726" width="7.55833333333333" style="357" customWidth="1"/>
    <col min="8727" max="8727" width="2.775" style="357" customWidth="1"/>
    <col min="8728" max="8728" width="5.33333333333333" style="357" customWidth="1"/>
    <col min="8729" max="8731" width="7.55833333333333" style="357" customWidth="1"/>
    <col min="8732" max="8732" width="4.775" style="357" customWidth="1"/>
    <col min="8733" max="8733" width="6.775" style="357" customWidth="1"/>
    <col min="8734" max="8734" width="7.33333333333333" style="357" customWidth="1"/>
    <col min="8735" max="8735" width="0.558333333333333" style="357" customWidth="1"/>
    <col min="8736" max="8736" width="8.88333333333333" style="357"/>
    <col min="8737" max="8737" width="16.4416666666667" style="357" customWidth="1"/>
    <col min="8738" max="8738" width="12.1083333333333" style="357" customWidth="1"/>
    <col min="8739" max="8739" width="13.3333333333333" style="357" customWidth="1"/>
    <col min="8740" max="8740" width="9.775" style="357" customWidth="1"/>
    <col min="8741" max="8741" width="11.5583333333333" style="357" customWidth="1"/>
    <col min="8742" max="8742" width="11" style="357" customWidth="1"/>
    <col min="8743" max="8743" width="13.8833333333333" style="357" customWidth="1"/>
    <col min="8744" max="8744" width="12.775" style="357" customWidth="1"/>
    <col min="8745" max="8745" width="8.88333333333333" style="357"/>
    <col min="8746" max="8746" width="10" style="357" customWidth="1"/>
    <col min="8747" max="8747" width="10.6666666666667" style="357" customWidth="1"/>
    <col min="8748" max="8973" width="8.88333333333333" style="357"/>
    <col min="8974" max="8974" width="5" style="357" customWidth="1"/>
    <col min="8975" max="8975" width="5.10833333333333" style="357" customWidth="1"/>
    <col min="8976" max="8977" width="2.775" style="357" customWidth="1"/>
    <col min="8978" max="8979" width="5.33333333333333" style="357" customWidth="1"/>
    <col min="8980" max="8982" width="7.55833333333333" style="357" customWidth="1"/>
    <col min="8983" max="8983" width="2.775" style="357" customWidth="1"/>
    <col min="8984" max="8984" width="5.33333333333333" style="357" customWidth="1"/>
    <col min="8985" max="8987" width="7.55833333333333" style="357" customWidth="1"/>
    <col min="8988" max="8988" width="4.775" style="357" customWidth="1"/>
    <col min="8989" max="8989" width="6.775" style="357" customWidth="1"/>
    <col min="8990" max="8990" width="7.33333333333333" style="357" customWidth="1"/>
    <col min="8991" max="8991" width="0.558333333333333" style="357" customWidth="1"/>
    <col min="8992" max="8992" width="8.88333333333333" style="357"/>
    <col min="8993" max="8993" width="16.4416666666667" style="357" customWidth="1"/>
    <col min="8994" max="8994" width="12.1083333333333" style="357" customWidth="1"/>
    <col min="8995" max="8995" width="13.3333333333333" style="357" customWidth="1"/>
    <col min="8996" max="8996" width="9.775" style="357" customWidth="1"/>
    <col min="8997" max="8997" width="11.5583333333333" style="357" customWidth="1"/>
    <col min="8998" max="8998" width="11" style="357" customWidth="1"/>
    <col min="8999" max="8999" width="13.8833333333333" style="357" customWidth="1"/>
    <col min="9000" max="9000" width="12.775" style="357" customWidth="1"/>
    <col min="9001" max="9001" width="8.88333333333333" style="357"/>
    <col min="9002" max="9002" width="10" style="357" customWidth="1"/>
    <col min="9003" max="9003" width="10.6666666666667" style="357" customWidth="1"/>
    <col min="9004" max="9229" width="8.88333333333333" style="357"/>
    <col min="9230" max="9230" width="5" style="357" customWidth="1"/>
    <col min="9231" max="9231" width="5.10833333333333" style="357" customWidth="1"/>
    <col min="9232" max="9233" width="2.775" style="357" customWidth="1"/>
    <col min="9234" max="9235" width="5.33333333333333" style="357" customWidth="1"/>
    <col min="9236" max="9238" width="7.55833333333333" style="357" customWidth="1"/>
    <col min="9239" max="9239" width="2.775" style="357" customWidth="1"/>
    <col min="9240" max="9240" width="5.33333333333333" style="357" customWidth="1"/>
    <col min="9241" max="9243" width="7.55833333333333" style="357" customWidth="1"/>
    <col min="9244" max="9244" width="4.775" style="357" customWidth="1"/>
    <col min="9245" max="9245" width="6.775" style="357" customWidth="1"/>
    <col min="9246" max="9246" width="7.33333333333333" style="357" customWidth="1"/>
    <col min="9247" max="9247" width="0.558333333333333" style="357" customWidth="1"/>
    <col min="9248" max="9248" width="8.88333333333333" style="357"/>
    <col min="9249" max="9249" width="16.4416666666667" style="357" customWidth="1"/>
    <col min="9250" max="9250" width="12.1083333333333" style="357" customWidth="1"/>
    <col min="9251" max="9251" width="13.3333333333333" style="357" customWidth="1"/>
    <col min="9252" max="9252" width="9.775" style="357" customWidth="1"/>
    <col min="9253" max="9253" width="11.5583333333333" style="357" customWidth="1"/>
    <col min="9254" max="9254" width="11" style="357" customWidth="1"/>
    <col min="9255" max="9255" width="13.8833333333333" style="357" customWidth="1"/>
    <col min="9256" max="9256" width="12.775" style="357" customWidth="1"/>
    <col min="9257" max="9257" width="8.88333333333333" style="357"/>
    <col min="9258" max="9258" width="10" style="357" customWidth="1"/>
    <col min="9259" max="9259" width="10.6666666666667" style="357" customWidth="1"/>
    <col min="9260" max="9485" width="8.88333333333333" style="357"/>
    <col min="9486" max="9486" width="5" style="357" customWidth="1"/>
    <col min="9487" max="9487" width="5.10833333333333" style="357" customWidth="1"/>
    <col min="9488" max="9489" width="2.775" style="357" customWidth="1"/>
    <col min="9490" max="9491" width="5.33333333333333" style="357" customWidth="1"/>
    <col min="9492" max="9494" width="7.55833333333333" style="357" customWidth="1"/>
    <col min="9495" max="9495" width="2.775" style="357" customWidth="1"/>
    <col min="9496" max="9496" width="5.33333333333333" style="357" customWidth="1"/>
    <col min="9497" max="9499" width="7.55833333333333" style="357" customWidth="1"/>
    <col min="9500" max="9500" width="4.775" style="357" customWidth="1"/>
    <col min="9501" max="9501" width="6.775" style="357" customWidth="1"/>
    <col min="9502" max="9502" width="7.33333333333333" style="357" customWidth="1"/>
    <col min="9503" max="9503" width="0.558333333333333" style="357" customWidth="1"/>
    <col min="9504" max="9504" width="8.88333333333333" style="357"/>
    <col min="9505" max="9505" width="16.4416666666667" style="357" customWidth="1"/>
    <col min="9506" max="9506" width="12.1083333333333" style="357" customWidth="1"/>
    <col min="9507" max="9507" width="13.3333333333333" style="357" customWidth="1"/>
    <col min="9508" max="9508" width="9.775" style="357" customWidth="1"/>
    <col min="9509" max="9509" width="11.5583333333333" style="357" customWidth="1"/>
    <col min="9510" max="9510" width="11" style="357" customWidth="1"/>
    <col min="9511" max="9511" width="13.8833333333333" style="357" customWidth="1"/>
    <col min="9512" max="9512" width="12.775" style="357" customWidth="1"/>
    <col min="9513" max="9513" width="8.88333333333333" style="357"/>
    <col min="9514" max="9514" width="10" style="357" customWidth="1"/>
    <col min="9515" max="9515" width="10.6666666666667" style="357" customWidth="1"/>
    <col min="9516" max="9741" width="8.88333333333333" style="357"/>
    <col min="9742" max="9742" width="5" style="357" customWidth="1"/>
    <col min="9743" max="9743" width="5.10833333333333" style="357" customWidth="1"/>
    <col min="9744" max="9745" width="2.775" style="357" customWidth="1"/>
    <col min="9746" max="9747" width="5.33333333333333" style="357" customWidth="1"/>
    <col min="9748" max="9750" width="7.55833333333333" style="357" customWidth="1"/>
    <col min="9751" max="9751" width="2.775" style="357" customWidth="1"/>
    <col min="9752" max="9752" width="5.33333333333333" style="357" customWidth="1"/>
    <col min="9753" max="9755" width="7.55833333333333" style="357" customWidth="1"/>
    <col min="9756" max="9756" width="4.775" style="357" customWidth="1"/>
    <col min="9757" max="9757" width="6.775" style="357" customWidth="1"/>
    <col min="9758" max="9758" width="7.33333333333333" style="357" customWidth="1"/>
    <col min="9759" max="9759" width="0.558333333333333" style="357" customWidth="1"/>
    <col min="9760" max="9760" width="8.88333333333333" style="357"/>
    <col min="9761" max="9761" width="16.4416666666667" style="357" customWidth="1"/>
    <col min="9762" max="9762" width="12.1083333333333" style="357" customWidth="1"/>
    <col min="9763" max="9763" width="13.3333333333333" style="357" customWidth="1"/>
    <col min="9764" max="9764" width="9.775" style="357" customWidth="1"/>
    <col min="9765" max="9765" width="11.5583333333333" style="357" customWidth="1"/>
    <col min="9766" max="9766" width="11" style="357" customWidth="1"/>
    <col min="9767" max="9767" width="13.8833333333333" style="357" customWidth="1"/>
    <col min="9768" max="9768" width="12.775" style="357" customWidth="1"/>
    <col min="9769" max="9769" width="8.88333333333333" style="357"/>
    <col min="9770" max="9770" width="10" style="357" customWidth="1"/>
    <col min="9771" max="9771" width="10.6666666666667" style="357" customWidth="1"/>
    <col min="9772" max="9997" width="8.88333333333333" style="357"/>
    <col min="9998" max="9998" width="5" style="357" customWidth="1"/>
    <col min="9999" max="9999" width="5.10833333333333" style="357" customWidth="1"/>
    <col min="10000" max="10001" width="2.775" style="357" customWidth="1"/>
    <col min="10002" max="10003" width="5.33333333333333" style="357" customWidth="1"/>
    <col min="10004" max="10006" width="7.55833333333333" style="357" customWidth="1"/>
    <col min="10007" max="10007" width="2.775" style="357" customWidth="1"/>
    <col min="10008" max="10008" width="5.33333333333333" style="357" customWidth="1"/>
    <col min="10009" max="10011" width="7.55833333333333" style="357" customWidth="1"/>
    <col min="10012" max="10012" width="4.775" style="357" customWidth="1"/>
    <col min="10013" max="10013" width="6.775" style="357" customWidth="1"/>
    <col min="10014" max="10014" width="7.33333333333333" style="357" customWidth="1"/>
    <col min="10015" max="10015" width="0.558333333333333" style="357" customWidth="1"/>
    <col min="10016" max="10016" width="8.88333333333333" style="357"/>
    <col min="10017" max="10017" width="16.4416666666667" style="357" customWidth="1"/>
    <col min="10018" max="10018" width="12.1083333333333" style="357" customWidth="1"/>
    <col min="10019" max="10019" width="13.3333333333333" style="357" customWidth="1"/>
    <col min="10020" max="10020" width="9.775" style="357" customWidth="1"/>
    <col min="10021" max="10021" width="11.5583333333333" style="357" customWidth="1"/>
    <col min="10022" max="10022" width="11" style="357" customWidth="1"/>
    <col min="10023" max="10023" width="13.8833333333333" style="357" customWidth="1"/>
    <col min="10024" max="10024" width="12.775" style="357" customWidth="1"/>
    <col min="10025" max="10025" width="8.88333333333333" style="357"/>
    <col min="10026" max="10026" width="10" style="357" customWidth="1"/>
    <col min="10027" max="10027" width="10.6666666666667" style="357" customWidth="1"/>
    <col min="10028" max="10253" width="8.88333333333333" style="357"/>
    <col min="10254" max="10254" width="5" style="357" customWidth="1"/>
    <col min="10255" max="10255" width="5.10833333333333" style="357" customWidth="1"/>
    <col min="10256" max="10257" width="2.775" style="357" customWidth="1"/>
    <col min="10258" max="10259" width="5.33333333333333" style="357" customWidth="1"/>
    <col min="10260" max="10262" width="7.55833333333333" style="357" customWidth="1"/>
    <col min="10263" max="10263" width="2.775" style="357" customWidth="1"/>
    <col min="10264" max="10264" width="5.33333333333333" style="357" customWidth="1"/>
    <col min="10265" max="10267" width="7.55833333333333" style="357" customWidth="1"/>
    <col min="10268" max="10268" width="4.775" style="357" customWidth="1"/>
    <col min="10269" max="10269" width="6.775" style="357" customWidth="1"/>
    <col min="10270" max="10270" width="7.33333333333333" style="357" customWidth="1"/>
    <col min="10271" max="10271" width="0.558333333333333" style="357" customWidth="1"/>
    <col min="10272" max="10272" width="8.88333333333333" style="357"/>
    <col min="10273" max="10273" width="16.4416666666667" style="357" customWidth="1"/>
    <col min="10274" max="10274" width="12.1083333333333" style="357" customWidth="1"/>
    <col min="10275" max="10275" width="13.3333333333333" style="357" customWidth="1"/>
    <col min="10276" max="10276" width="9.775" style="357" customWidth="1"/>
    <col min="10277" max="10277" width="11.5583333333333" style="357" customWidth="1"/>
    <col min="10278" max="10278" width="11" style="357" customWidth="1"/>
    <col min="10279" max="10279" width="13.8833333333333" style="357" customWidth="1"/>
    <col min="10280" max="10280" width="12.775" style="357" customWidth="1"/>
    <col min="10281" max="10281" width="8.88333333333333" style="357"/>
    <col min="10282" max="10282" width="10" style="357" customWidth="1"/>
    <col min="10283" max="10283" width="10.6666666666667" style="357" customWidth="1"/>
    <col min="10284" max="10509" width="8.88333333333333" style="357"/>
    <col min="10510" max="10510" width="5" style="357" customWidth="1"/>
    <col min="10511" max="10511" width="5.10833333333333" style="357" customWidth="1"/>
    <col min="10512" max="10513" width="2.775" style="357" customWidth="1"/>
    <col min="10514" max="10515" width="5.33333333333333" style="357" customWidth="1"/>
    <col min="10516" max="10518" width="7.55833333333333" style="357" customWidth="1"/>
    <col min="10519" max="10519" width="2.775" style="357" customWidth="1"/>
    <col min="10520" max="10520" width="5.33333333333333" style="357" customWidth="1"/>
    <col min="10521" max="10523" width="7.55833333333333" style="357" customWidth="1"/>
    <col min="10524" max="10524" width="4.775" style="357" customWidth="1"/>
    <col min="10525" max="10525" width="6.775" style="357" customWidth="1"/>
    <col min="10526" max="10526" width="7.33333333333333" style="357" customWidth="1"/>
    <col min="10527" max="10527" width="0.558333333333333" style="357" customWidth="1"/>
    <col min="10528" max="10528" width="8.88333333333333" style="357"/>
    <col min="10529" max="10529" width="16.4416666666667" style="357" customWidth="1"/>
    <col min="10530" max="10530" width="12.1083333333333" style="357" customWidth="1"/>
    <col min="10531" max="10531" width="13.3333333333333" style="357" customWidth="1"/>
    <col min="10532" max="10532" width="9.775" style="357" customWidth="1"/>
    <col min="10533" max="10533" width="11.5583333333333" style="357" customWidth="1"/>
    <col min="10534" max="10534" width="11" style="357" customWidth="1"/>
    <col min="10535" max="10535" width="13.8833333333333" style="357" customWidth="1"/>
    <col min="10536" max="10536" width="12.775" style="357" customWidth="1"/>
    <col min="10537" max="10537" width="8.88333333333333" style="357"/>
    <col min="10538" max="10538" width="10" style="357" customWidth="1"/>
    <col min="10539" max="10539" width="10.6666666666667" style="357" customWidth="1"/>
    <col min="10540" max="10765" width="8.88333333333333" style="357"/>
    <col min="10766" max="10766" width="5" style="357" customWidth="1"/>
    <col min="10767" max="10767" width="5.10833333333333" style="357" customWidth="1"/>
    <col min="10768" max="10769" width="2.775" style="357" customWidth="1"/>
    <col min="10770" max="10771" width="5.33333333333333" style="357" customWidth="1"/>
    <col min="10772" max="10774" width="7.55833333333333" style="357" customWidth="1"/>
    <col min="10775" max="10775" width="2.775" style="357" customWidth="1"/>
    <col min="10776" max="10776" width="5.33333333333333" style="357" customWidth="1"/>
    <col min="10777" max="10779" width="7.55833333333333" style="357" customWidth="1"/>
    <col min="10780" max="10780" width="4.775" style="357" customWidth="1"/>
    <col min="10781" max="10781" width="6.775" style="357" customWidth="1"/>
    <col min="10782" max="10782" width="7.33333333333333" style="357" customWidth="1"/>
    <col min="10783" max="10783" width="0.558333333333333" style="357" customWidth="1"/>
    <col min="10784" max="10784" width="8.88333333333333" style="357"/>
    <col min="10785" max="10785" width="16.4416666666667" style="357" customWidth="1"/>
    <col min="10786" max="10786" width="12.1083333333333" style="357" customWidth="1"/>
    <col min="10787" max="10787" width="13.3333333333333" style="357" customWidth="1"/>
    <col min="10788" max="10788" width="9.775" style="357" customWidth="1"/>
    <col min="10789" max="10789" width="11.5583333333333" style="357" customWidth="1"/>
    <col min="10790" max="10790" width="11" style="357" customWidth="1"/>
    <col min="10791" max="10791" width="13.8833333333333" style="357" customWidth="1"/>
    <col min="10792" max="10792" width="12.775" style="357" customWidth="1"/>
    <col min="10793" max="10793" width="8.88333333333333" style="357"/>
    <col min="10794" max="10794" width="10" style="357" customWidth="1"/>
    <col min="10795" max="10795" width="10.6666666666667" style="357" customWidth="1"/>
    <col min="10796" max="11021" width="8.88333333333333" style="357"/>
    <col min="11022" max="11022" width="5" style="357" customWidth="1"/>
    <col min="11023" max="11023" width="5.10833333333333" style="357" customWidth="1"/>
    <col min="11024" max="11025" width="2.775" style="357" customWidth="1"/>
    <col min="11026" max="11027" width="5.33333333333333" style="357" customWidth="1"/>
    <col min="11028" max="11030" width="7.55833333333333" style="357" customWidth="1"/>
    <col min="11031" max="11031" width="2.775" style="357" customWidth="1"/>
    <col min="11032" max="11032" width="5.33333333333333" style="357" customWidth="1"/>
    <col min="11033" max="11035" width="7.55833333333333" style="357" customWidth="1"/>
    <col min="11036" max="11036" width="4.775" style="357" customWidth="1"/>
    <col min="11037" max="11037" width="6.775" style="357" customWidth="1"/>
    <col min="11038" max="11038" width="7.33333333333333" style="357" customWidth="1"/>
    <col min="11039" max="11039" width="0.558333333333333" style="357" customWidth="1"/>
    <col min="11040" max="11040" width="8.88333333333333" style="357"/>
    <col min="11041" max="11041" width="16.4416666666667" style="357" customWidth="1"/>
    <col min="11042" max="11042" width="12.1083333333333" style="357" customWidth="1"/>
    <col min="11043" max="11043" width="13.3333333333333" style="357" customWidth="1"/>
    <col min="11044" max="11044" width="9.775" style="357" customWidth="1"/>
    <col min="11045" max="11045" width="11.5583333333333" style="357" customWidth="1"/>
    <col min="11046" max="11046" width="11" style="357" customWidth="1"/>
    <col min="11047" max="11047" width="13.8833333333333" style="357" customWidth="1"/>
    <col min="11048" max="11048" width="12.775" style="357" customWidth="1"/>
    <col min="11049" max="11049" width="8.88333333333333" style="357"/>
    <col min="11050" max="11050" width="10" style="357" customWidth="1"/>
    <col min="11051" max="11051" width="10.6666666666667" style="357" customWidth="1"/>
    <col min="11052" max="11277" width="8.88333333333333" style="357"/>
    <col min="11278" max="11278" width="5" style="357" customWidth="1"/>
    <col min="11279" max="11279" width="5.10833333333333" style="357" customWidth="1"/>
    <col min="11280" max="11281" width="2.775" style="357" customWidth="1"/>
    <col min="11282" max="11283" width="5.33333333333333" style="357" customWidth="1"/>
    <col min="11284" max="11286" width="7.55833333333333" style="357" customWidth="1"/>
    <col min="11287" max="11287" width="2.775" style="357" customWidth="1"/>
    <col min="11288" max="11288" width="5.33333333333333" style="357" customWidth="1"/>
    <col min="11289" max="11291" width="7.55833333333333" style="357" customWidth="1"/>
    <col min="11292" max="11292" width="4.775" style="357" customWidth="1"/>
    <col min="11293" max="11293" width="6.775" style="357" customWidth="1"/>
    <col min="11294" max="11294" width="7.33333333333333" style="357" customWidth="1"/>
    <col min="11295" max="11295" width="0.558333333333333" style="357" customWidth="1"/>
    <col min="11296" max="11296" width="8.88333333333333" style="357"/>
    <col min="11297" max="11297" width="16.4416666666667" style="357" customWidth="1"/>
    <col min="11298" max="11298" width="12.1083333333333" style="357" customWidth="1"/>
    <col min="11299" max="11299" width="13.3333333333333" style="357" customWidth="1"/>
    <col min="11300" max="11300" width="9.775" style="357" customWidth="1"/>
    <col min="11301" max="11301" width="11.5583333333333" style="357" customWidth="1"/>
    <col min="11302" max="11302" width="11" style="357" customWidth="1"/>
    <col min="11303" max="11303" width="13.8833333333333" style="357" customWidth="1"/>
    <col min="11304" max="11304" width="12.775" style="357" customWidth="1"/>
    <col min="11305" max="11305" width="8.88333333333333" style="357"/>
    <col min="11306" max="11306" width="10" style="357" customWidth="1"/>
    <col min="11307" max="11307" width="10.6666666666667" style="357" customWidth="1"/>
    <col min="11308" max="11533" width="8.88333333333333" style="357"/>
    <col min="11534" max="11534" width="5" style="357" customWidth="1"/>
    <col min="11535" max="11535" width="5.10833333333333" style="357" customWidth="1"/>
    <col min="11536" max="11537" width="2.775" style="357" customWidth="1"/>
    <col min="11538" max="11539" width="5.33333333333333" style="357" customWidth="1"/>
    <col min="11540" max="11542" width="7.55833333333333" style="357" customWidth="1"/>
    <col min="11543" max="11543" width="2.775" style="357" customWidth="1"/>
    <col min="11544" max="11544" width="5.33333333333333" style="357" customWidth="1"/>
    <col min="11545" max="11547" width="7.55833333333333" style="357" customWidth="1"/>
    <col min="11548" max="11548" width="4.775" style="357" customWidth="1"/>
    <col min="11549" max="11549" width="6.775" style="357" customWidth="1"/>
    <col min="11550" max="11550" width="7.33333333333333" style="357" customWidth="1"/>
    <col min="11551" max="11551" width="0.558333333333333" style="357" customWidth="1"/>
    <col min="11552" max="11552" width="8.88333333333333" style="357"/>
    <col min="11553" max="11553" width="16.4416666666667" style="357" customWidth="1"/>
    <col min="11554" max="11554" width="12.1083333333333" style="357" customWidth="1"/>
    <col min="11555" max="11555" width="13.3333333333333" style="357" customWidth="1"/>
    <col min="11556" max="11556" width="9.775" style="357" customWidth="1"/>
    <col min="11557" max="11557" width="11.5583333333333" style="357" customWidth="1"/>
    <col min="11558" max="11558" width="11" style="357" customWidth="1"/>
    <col min="11559" max="11559" width="13.8833333333333" style="357" customWidth="1"/>
    <col min="11560" max="11560" width="12.775" style="357" customWidth="1"/>
    <col min="11561" max="11561" width="8.88333333333333" style="357"/>
    <col min="11562" max="11562" width="10" style="357" customWidth="1"/>
    <col min="11563" max="11563" width="10.6666666666667" style="357" customWidth="1"/>
    <col min="11564" max="11789" width="8.88333333333333" style="357"/>
    <col min="11790" max="11790" width="5" style="357" customWidth="1"/>
    <col min="11791" max="11791" width="5.10833333333333" style="357" customWidth="1"/>
    <col min="11792" max="11793" width="2.775" style="357" customWidth="1"/>
    <col min="11794" max="11795" width="5.33333333333333" style="357" customWidth="1"/>
    <col min="11796" max="11798" width="7.55833333333333" style="357" customWidth="1"/>
    <col min="11799" max="11799" width="2.775" style="357" customWidth="1"/>
    <col min="11800" max="11800" width="5.33333333333333" style="357" customWidth="1"/>
    <col min="11801" max="11803" width="7.55833333333333" style="357" customWidth="1"/>
    <col min="11804" max="11804" width="4.775" style="357" customWidth="1"/>
    <col min="11805" max="11805" width="6.775" style="357" customWidth="1"/>
    <col min="11806" max="11806" width="7.33333333333333" style="357" customWidth="1"/>
    <col min="11807" max="11807" width="0.558333333333333" style="357" customWidth="1"/>
    <col min="11808" max="11808" width="8.88333333333333" style="357"/>
    <col min="11809" max="11809" width="16.4416666666667" style="357" customWidth="1"/>
    <col min="11810" max="11810" width="12.1083333333333" style="357" customWidth="1"/>
    <col min="11811" max="11811" width="13.3333333333333" style="357" customWidth="1"/>
    <col min="11812" max="11812" width="9.775" style="357" customWidth="1"/>
    <col min="11813" max="11813" width="11.5583333333333" style="357" customWidth="1"/>
    <col min="11814" max="11814" width="11" style="357" customWidth="1"/>
    <col min="11815" max="11815" width="13.8833333333333" style="357" customWidth="1"/>
    <col min="11816" max="11816" width="12.775" style="357" customWidth="1"/>
    <col min="11817" max="11817" width="8.88333333333333" style="357"/>
    <col min="11818" max="11818" width="10" style="357" customWidth="1"/>
    <col min="11819" max="11819" width="10.6666666666667" style="357" customWidth="1"/>
    <col min="11820" max="12045" width="8.88333333333333" style="357"/>
    <col min="12046" max="12046" width="5" style="357" customWidth="1"/>
    <col min="12047" max="12047" width="5.10833333333333" style="357" customWidth="1"/>
    <col min="12048" max="12049" width="2.775" style="357" customWidth="1"/>
    <col min="12050" max="12051" width="5.33333333333333" style="357" customWidth="1"/>
    <col min="12052" max="12054" width="7.55833333333333" style="357" customWidth="1"/>
    <col min="12055" max="12055" width="2.775" style="357" customWidth="1"/>
    <col min="12056" max="12056" width="5.33333333333333" style="357" customWidth="1"/>
    <col min="12057" max="12059" width="7.55833333333333" style="357" customWidth="1"/>
    <col min="12060" max="12060" width="4.775" style="357" customWidth="1"/>
    <col min="12061" max="12061" width="6.775" style="357" customWidth="1"/>
    <col min="12062" max="12062" width="7.33333333333333" style="357" customWidth="1"/>
    <col min="12063" max="12063" width="0.558333333333333" style="357" customWidth="1"/>
    <col min="12064" max="12064" width="8.88333333333333" style="357"/>
    <col min="12065" max="12065" width="16.4416666666667" style="357" customWidth="1"/>
    <col min="12066" max="12066" width="12.1083333333333" style="357" customWidth="1"/>
    <col min="12067" max="12067" width="13.3333333333333" style="357" customWidth="1"/>
    <col min="12068" max="12068" width="9.775" style="357" customWidth="1"/>
    <col min="12069" max="12069" width="11.5583333333333" style="357" customWidth="1"/>
    <col min="12070" max="12070" width="11" style="357" customWidth="1"/>
    <col min="12071" max="12071" width="13.8833333333333" style="357" customWidth="1"/>
    <col min="12072" max="12072" width="12.775" style="357" customWidth="1"/>
    <col min="12073" max="12073" width="8.88333333333333" style="357"/>
    <col min="12074" max="12074" width="10" style="357" customWidth="1"/>
    <col min="12075" max="12075" width="10.6666666666667" style="357" customWidth="1"/>
    <col min="12076" max="12301" width="8.88333333333333" style="357"/>
    <col min="12302" max="12302" width="5" style="357" customWidth="1"/>
    <col min="12303" max="12303" width="5.10833333333333" style="357" customWidth="1"/>
    <col min="12304" max="12305" width="2.775" style="357" customWidth="1"/>
    <col min="12306" max="12307" width="5.33333333333333" style="357" customWidth="1"/>
    <col min="12308" max="12310" width="7.55833333333333" style="357" customWidth="1"/>
    <col min="12311" max="12311" width="2.775" style="357" customWidth="1"/>
    <col min="12312" max="12312" width="5.33333333333333" style="357" customWidth="1"/>
    <col min="12313" max="12315" width="7.55833333333333" style="357" customWidth="1"/>
    <col min="12316" max="12316" width="4.775" style="357" customWidth="1"/>
    <col min="12317" max="12317" width="6.775" style="357" customWidth="1"/>
    <col min="12318" max="12318" width="7.33333333333333" style="357" customWidth="1"/>
    <col min="12319" max="12319" width="0.558333333333333" style="357" customWidth="1"/>
    <col min="12320" max="12320" width="8.88333333333333" style="357"/>
    <col min="12321" max="12321" width="16.4416666666667" style="357" customWidth="1"/>
    <col min="12322" max="12322" width="12.1083333333333" style="357" customWidth="1"/>
    <col min="12323" max="12323" width="13.3333333333333" style="357" customWidth="1"/>
    <col min="12324" max="12324" width="9.775" style="357" customWidth="1"/>
    <col min="12325" max="12325" width="11.5583333333333" style="357" customWidth="1"/>
    <col min="12326" max="12326" width="11" style="357" customWidth="1"/>
    <col min="12327" max="12327" width="13.8833333333333" style="357" customWidth="1"/>
    <col min="12328" max="12328" width="12.775" style="357" customWidth="1"/>
    <col min="12329" max="12329" width="8.88333333333333" style="357"/>
    <col min="12330" max="12330" width="10" style="357" customWidth="1"/>
    <col min="12331" max="12331" width="10.6666666666667" style="357" customWidth="1"/>
    <col min="12332" max="12557" width="8.88333333333333" style="357"/>
    <col min="12558" max="12558" width="5" style="357" customWidth="1"/>
    <col min="12559" max="12559" width="5.10833333333333" style="357" customWidth="1"/>
    <col min="12560" max="12561" width="2.775" style="357" customWidth="1"/>
    <col min="12562" max="12563" width="5.33333333333333" style="357" customWidth="1"/>
    <col min="12564" max="12566" width="7.55833333333333" style="357" customWidth="1"/>
    <col min="12567" max="12567" width="2.775" style="357" customWidth="1"/>
    <col min="12568" max="12568" width="5.33333333333333" style="357" customWidth="1"/>
    <col min="12569" max="12571" width="7.55833333333333" style="357" customWidth="1"/>
    <col min="12572" max="12572" width="4.775" style="357" customWidth="1"/>
    <col min="12573" max="12573" width="6.775" style="357" customWidth="1"/>
    <col min="12574" max="12574" width="7.33333333333333" style="357" customWidth="1"/>
    <col min="12575" max="12575" width="0.558333333333333" style="357" customWidth="1"/>
    <col min="12576" max="12576" width="8.88333333333333" style="357"/>
    <col min="12577" max="12577" width="16.4416666666667" style="357" customWidth="1"/>
    <col min="12578" max="12578" width="12.1083333333333" style="357" customWidth="1"/>
    <col min="12579" max="12579" width="13.3333333333333" style="357" customWidth="1"/>
    <col min="12580" max="12580" width="9.775" style="357" customWidth="1"/>
    <col min="12581" max="12581" width="11.5583333333333" style="357" customWidth="1"/>
    <col min="12582" max="12582" width="11" style="357" customWidth="1"/>
    <col min="12583" max="12583" width="13.8833333333333" style="357" customWidth="1"/>
    <col min="12584" max="12584" width="12.775" style="357" customWidth="1"/>
    <col min="12585" max="12585" width="8.88333333333333" style="357"/>
    <col min="12586" max="12586" width="10" style="357" customWidth="1"/>
    <col min="12587" max="12587" width="10.6666666666667" style="357" customWidth="1"/>
    <col min="12588" max="12813" width="8.88333333333333" style="357"/>
    <col min="12814" max="12814" width="5" style="357" customWidth="1"/>
    <col min="12815" max="12815" width="5.10833333333333" style="357" customWidth="1"/>
    <col min="12816" max="12817" width="2.775" style="357" customWidth="1"/>
    <col min="12818" max="12819" width="5.33333333333333" style="357" customWidth="1"/>
    <col min="12820" max="12822" width="7.55833333333333" style="357" customWidth="1"/>
    <col min="12823" max="12823" width="2.775" style="357" customWidth="1"/>
    <col min="12824" max="12824" width="5.33333333333333" style="357" customWidth="1"/>
    <col min="12825" max="12827" width="7.55833333333333" style="357" customWidth="1"/>
    <col min="12828" max="12828" width="4.775" style="357" customWidth="1"/>
    <col min="12829" max="12829" width="6.775" style="357" customWidth="1"/>
    <col min="12830" max="12830" width="7.33333333333333" style="357" customWidth="1"/>
    <col min="12831" max="12831" width="0.558333333333333" style="357" customWidth="1"/>
    <col min="12832" max="12832" width="8.88333333333333" style="357"/>
    <col min="12833" max="12833" width="16.4416666666667" style="357" customWidth="1"/>
    <col min="12834" max="12834" width="12.1083333333333" style="357" customWidth="1"/>
    <col min="12835" max="12835" width="13.3333333333333" style="357" customWidth="1"/>
    <col min="12836" max="12836" width="9.775" style="357" customWidth="1"/>
    <col min="12837" max="12837" width="11.5583333333333" style="357" customWidth="1"/>
    <col min="12838" max="12838" width="11" style="357" customWidth="1"/>
    <col min="12839" max="12839" width="13.8833333333333" style="357" customWidth="1"/>
    <col min="12840" max="12840" width="12.775" style="357" customWidth="1"/>
    <col min="12841" max="12841" width="8.88333333333333" style="357"/>
    <col min="12842" max="12842" width="10" style="357" customWidth="1"/>
    <col min="12843" max="12843" width="10.6666666666667" style="357" customWidth="1"/>
    <col min="12844" max="13069" width="8.88333333333333" style="357"/>
    <col min="13070" max="13070" width="5" style="357" customWidth="1"/>
    <col min="13071" max="13071" width="5.10833333333333" style="357" customWidth="1"/>
    <col min="13072" max="13073" width="2.775" style="357" customWidth="1"/>
    <col min="13074" max="13075" width="5.33333333333333" style="357" customWidth="1"/>
    <col min="13076" max="13078" width="7.55833333333333" style="357" customWidth="1"/>
    <col min="13079" max="13079" width="2.775" style="357" customWidth="1"/>
    <col min="13080" max="13080" width="5.33333333333333" style="357" customWidth="1"/>
    <col min="13081" max="13083" width="7.55833333333333" style="357" customWidth="1"/>
    <col min="13084" max="13084" width="4.775" style="357" customWidth="1"/>
    <col min="13085" max="13085" width="6.775" style="357" customWidth="1"/>
    <col min="13086" max="13086" width="7.33333333333333" style="357" customWidth="1"/>
    <col min="13087" max="13087" width="0.558333333333333" style="357" customWidth="1"/>
    <col min="13088" max="13088" width="8.88333333333333" style="357"/>
    <col min="13089" max="13089" width="16.4416666666667" style="357" customWidth="1"/>
    <col min="13090" max="13090" width="12.1083333333333" style="357" customWidth="1"/>
    <col min="13091" max="13091" width="13.3333333333333" style="357" customWidth="1"/>
    <col min="13092" max="13092" width="9.775" style="357" customWidth="1"/>
    <col min="13093" max="13093" width="11.5583333333333" style="357" customWidth="1"/>
    <col min="13094" max="13094" width="11" style="357" customWidth="1"/>
    <col min="13095" max="13095" width="13.8833333333333" style="357" customWidth="1"/>
    <col min="13096" max="13096" width="12.775" style="357" customWidth="1"/>
    <col min="13097" max="13097" width="8.88333333333333" style="357"/>
    <col min="13098" max="13098" width="10" style="357" customWidth="1"/>
    <col min="13099" max="13099" width="10.6666666666667" style="357" customWidth="1"/>
    <col min="13100" max="13325" width="8.88333333333333" style="357"/>
    <col min="13326" max="13326" width="5" style="357" customWidth="1"/>
    <col min="13327" max="13327" width="5.10833333333333" style="357" customWidth="1"/>
    <col min="13328" max="13329" width="2.775" style="357" customWidth="1"/>
    <col min="13330" max="13331" width="5.33333333333333" style="357" customWidth="1"/>
    <col min="13332" max="13334" width="7.55833333333333" style="357" customWidth="1"/>
    <col min="13335" max="13335" width="2.775" style="357" customWidth="1"/>
    <col min="13336" max="13336" width="5.33333333333333" style="357" customWidth="1"/>
    <col min="13337" max="13339" width="7.55833333333333" style="357" customWidth="1"/>
    <col min="13340" max="13340" width="4.775" style="357" customWidth="1"/>
    <col min="13341" max="13341" width="6.775" style="357" customWidth="1"/>
    <col min="13342" max="13342" width="7.33333333333333" style="357" customWidth="1"/>
    <col min="13343" max="13343" width="0.558333333333333" style="357" customWidth="1"/>
    <col min="13344" max="13344" width="8.88333333333333" style="357"/>
    <col min="13345" max="13345" width="16.4416666666667" style="357" customWidth="1"/>
    <col min="13346" max="13346" width="12.1083333333333" style="357" customWidth="1"/>
    <col min="13347" max="13347" width="13.3333333333333" style="357" customWidth="1"/>
    <col min="13348" max="13348" width="9.775" style="357" customWidth="1"/>
    <col min="13349" max="13349" width="11.5583333333333" style="357" customWidth="1"/>
    <col min="13350" max="13350" width="11" style="357" customWidth="1"/>
    <col min="13351" max="13351" width="13.8833333333333" style="357" customWidth="1"/>
    <col min="13352" max="13352" width="12.775" style="357" customWidth="1"/>
    <col min="13353" max="13353" width="8.88333333333333" style="357"/>
    <col min="13354" max="13354" width="10" style="357" customWidth="1"/>
    <col min="13355" max="13355" width="10.6666666666667" style="357" customWidth="1"/>
    <col min="13356" max="13581" width="8.88333333333333" style="357"/>
    <col min="13582" max="13582" width="5" style="357" customWidth="1"/>
    <col min="13583" max="13583" width="5.10833333333333" style="357" customWidth="1"/>
    <col min="13584" max="13585" width="2.775" style="357" customWidth="1"/>
    <col min="13586" max="13587" width="5.33333333333333" style="357" customWidth="1"/>
    <col min="13588" max="13590" width="7.55833333333333" style="357" customWidth="1"/>
    <col min="13591" max="13591" width="2.775" style="357" customWidth="1"/>
    <col min="13592" max="13592" width="5.33333333333333" style="357" customWidth="1"/>
    <col min="13593" max="13595" width="7.55833333333333" style="357" customWidth="1"/>
    <col min="13596" max="13596" width="4.775" style="357" customWidth="1"/>
    <col min="13597" max="13597" width="6.775" style="357" customWidth="1"/>
    <col min="13598" max="13598" width="7.33333333333333" style="357" customWidth="1"/>
    <col min="13599" max="13599" width="0.558333333333333" style="357" customWidth="1"/>
    <col min="13600" max="13600" width="8.88333333333333" style="357"/>
    <col min="13601" max="13601" width="16.4416666666667" style="357" customWidth="1"/>
    <col min="13602" max="13602" width="12.1083333333333" style="357" customWidth="1"/>
    <col min="13603" max="13603" width="13.3333333333333" style="357" customWidth="1"/>
    <col min="13604" max="13604" width="9.775" style="357" customWidth="1"/>
    <col min="13605" max="13605" width="11.5583333333333" style="357" customWidth="1"/>
    <col min="13606" max="13606" width="11" style="357" customWidth="1"/>
    <col min="13607" max="13607" width="13.8833333333333" style="357" customWidth="1"/>
    <col min="13608" max="13608" width="12.775" style="357" customWidth="1"/>
    <col min="13609" max="13609" width="8.88333333333333" style="357"/>
    <col min="13610" max="13610" width="10" style="357" customWidth="1"/>
    <col min="13611" max="13611" width="10.6666666666667" style="357" customWidth="1"/>
    <col min="13612" max="13837" width="8.88333333333333" style="357"/>
    <col min="13838" max="13838" width="5" style="357" customWidth="1"/>
    <col min="13839" max="13839" width="5.10833333333333" style="357" customWidth="1"/>
    <col min="13840" max="13841" width="2.775" style="357" customWidth="1"/>
    <col min="13842" max="13843" width="5.33333333333333" style="357" customWidth="1"/>
    <col min="13844" max="13846" width="7.55833333333333" style="357" customWidth="1"/>
    <col min="13847" max="13847" width="2.775" style="357" customWidth="1"/>
    <col min="13848" max="13848" width="5.33333333333333" style="357" customWidth="1"/>
    <col min="13849" max="13851" width="7.55833333333333" style="357" customWidth="1"/>
    <col min="13852" max="13852" width="4.775" style="357" customWidth="1"/>
    <col min="13853" max="13853" width="6.775" style="357" customWidth="1"/>
    <col min="13854" max="13854" width="7.33333333333333" style="357" customWidth="1"/>
    <col min="13855" max="13855" width="0.558333333333333" style="357" customWidth="1"/>
    <col min="13856" max="13856" width="8.88333333333333" style="357"/>
    <col min="13857" max="13857" width="16.4416666666667" style="357" customWidth="1"/>
    <col min="13858" max="13858" width="12.1083333333333" style="357" customWidth="1"/>
    <col min="13859" max="13859" width="13.3333333333333" style="357" customWidth="1"/>
    <col min="13860" max="13860" width="9.775" style="357" customWidth="1"/>
    <col min="13861" max="13861" width="11.5583333333333" style="357" customWidth="1"/>
    <col min="13862" max="13862" width="11" style="357" customWidth="1"/>
    <col min="13863" max="13863" width="13.8833333333333" style="357" customWidth="1"/>
    <col min="13864" max="13864" width="12.775" style="357" customWidth="1"/>
    <col min="13865" max="13865" width="8.88333333333333" style="357"/>
    <col min="13866" max="13866" width="10" style="357" customWidth="1"/>
    <col min="13867" max="13867" width="10.6666666666667" style="357" customWidth="1"/>
    <col min="13868" max="14093" width="8.88333333333333" style="357"/>
    <col min="14094" max="14094" width="5" style="357" customWidth="1"/>
    <col min="14095" max="14095" width="5.10833333333333" style="357" customWidth="1"/>
    <col min="14096" max="14097" width="2.775" style="357" customWidth="1"/>
    <col min="14098" max="14099" width="5.33333333333333" style="357" customWidth="1"/>
    <col min="14100" max="14102" width="7.55833333333333" style="357" customWidth="1"/>
    <col min="14103" max="14103" width="2.775" style="357" customWidth="1"/>
    <col min="14104" max="14104" width="5.33333333333333" style="357" customWidth="1"/>
    <col min="14105" max="14107" width="7.55833333333333" style="357" customWidth="1"/>
    <col min="14108" max="14108" width="4.775" style="357" customWidth="1"/>
    <col min="14109" max="14109" width="6.775" style="357" customWidth="1"/>
    <col min="14110" max="14110" width="7.33333333333333" style="357" customWidth="1"/>
    <col min="14111" max="14111" width="0.558333333333333" style="357" customWidth="1"/>
    <col min="14112" max="14112" width="8.88333333333333" style="357"/>
    <col min="14113" max="14113" width="16.4416666666667" style="357" customWidth="1"/>
    <col min="14114" max="14114" width="12.1083333333333" style="357" customWidth="1"/>
    <col min="14115" max="14115" width="13.3333333333333" style="357" customWidth="1"/>
    <col min="14116" max="14116" width="9.775" style="357" customWidth="1"/>
    <col min="14117" max="14117" width="11.5583333333333" style="357" customWidth="1"/>
    <col min="14118" max="14118" width="11" style="357" customWidth="1"/>
    <col min="14119" max="14119" width="13.8833333333333" style="357" customWidth="1"/>
    <col min="14120" max="14120" width="12.775" style="357" customWidth="1"/>
    <col min="14121" max="14121" width="8.88333333333333" style="357"/>
    <col min="14122" max="14122" width="10" style="357" customWidth="1"/>
    <col min="14123" max="14123" width="10.6666666666667" style="357" customWidth="1"/>
    <col min="14124" max="14349" width="8.88333333333333" style="357"/>
    <col min="14350" max="14350" width="5" style="357" customWidth="1"/>
    <col min="14351" max="14351" width="5.10833333333333" style="357" customWidth="1"/>
    <col min="14352" max="14353" width="2.775" style="357" customWidth="1"/>
    <col min="14354" max="14355" width="5.33333333333333" style="357" customWidth="1"/>
    <col min="14356" max="14358" width="7.55833333333333" style="357" customWidth="1"/>
    <col min="14359" max="14359" width="2.775" style="357" customWidth="1"/>
    <col min="14360" max="14360" width="5.33333333333333" style="357" customWidth="1"/>
    <col min="14361" max="14363" width="7.55833333333333" style="357" customWidth="1"/>
    <col min="14364" max="14364" width="4.775" style="357" customWidth="1"/>
    <col min="14365" max="14365" width="6.775" style="357" customWidth="1"/>
    <col min="14366" max="14366" width="7.33333333333333" style="357" customWidth="1"/>
    <col min="14367" max="14367" width="0.558333333333333" style="357" customWidth="1"/>
    <col min="14368" max="14368" width="8.88333333333333" style="357"/>
    <col min="14369" max="14369" width="16.4416666666667" style="357" customWidth="1"/>
    <col min="14370" max="14370" width="12.1083333333333" style="357" customWidth="1"/>
    <col min="14371" max="14371" width="13.3333333333333" style="357" customWidth="1"/>
    <col min="14372" max="14372" width="9.775" style="357" customWidth="1"/>
    <col min="14373" max="14373" width="11.5583333333333" style="357" customWidth="1"/>
    <col min="14374" max="14374" width="11" style="357" customWidth="1"/>
    <col min="14375" max="14375" width="13.8833333333333" style="357" customWidth="1"/>
    <col min="14376" max="14376" width="12.775" style="357" customWidth="1"/>
    <col min="14377" max="14377" width="8.88333333333333" style="357"/>
    <col min="14378" max="14378" width="10" style="357" customWidth="1"/>
    <col min="14379" max="14379" width="10.6666666666667" style="357" customWidth="1"/>
    <col min="14380" max="14605" width="8.88333333333333" style="357"/>
    <col min="14606" max="14606" width="5" style="357" customWidth="1"/>
    <col min="14607" max="14607" width="5.10833333333333" style="357" customWidth="1"/>
    <col min="14608" max="14609" width="2.775" style="357" customWidth="1"/>
    <col min="14610" max="14611" width="5.33333333333333" style="357" customWidth="1"/>
    <col min="14612" max="14614" width="7.55833333333333" style="357" customWidth="1"/>
    <col min="14615" max="14615" width="2.775" style="357" customWidth="1"/>
    <col min="14616" max="14616" width="5.33333333333333" style="357" customWidth="1"/>
    <col min="14617" max="14619" width="7.55833333333333" style="357" customWidth="1"/>
    <col min="14620" max="14620" width="4.775" style="357" customWidth="1"/>
    <col min="14621" max="14621" width="6.775" style="357" customWidth="1"/>
    <col min="14622" max="14622" width="7.33333333333333" style="357" customWidth="1"/>
    <col min="14623" max="14623" width="0.558333333333333" style="357" customWidth="1"/>
    <col min="14624" max="14624" width="8.88333333333333" style="357"/>
    <col min="14625" max="14625" width="16.4416666666667" style="357" customWidth="1"/>
    <col min="14626" max="14626" width="12.1083333333333" style="357" customWidth="1"/>
    <col min="14627" max="14627" width="13.3333333333333" style="357" customWidth="1"/>
    <col min="14628" max="14628" width="9.775" style="357" customWidth="1"/>
    <col min="14629" max="14629" width="11.5583333333333" style="357" customWidth="1"/>
    <col min="14630" max="14630" width="11" style="357" customWidth="1"/>
    <col min="14631" max="14631" width="13.8833333333333" style="357" customWidth="1"/>
    <col min="14632" max="14632" width="12.775" style="357" customWidth="1"/>
    <col min="14633" max="14633" width="8.88333333333333" style="357"/>
    <col min="14634" max="14634" width="10" style="357" customWidth="1"/>
    <col min="14635" max="14635" width="10.6666666666667" style="357" customWidth="1"/>
    <col min="14636" max="14861" width="8.88333333333333" style="357"/>
    <col min="14862" max="14862" width="5" style="357" customWidth="1"/>
    <col min="14863" max="14863" width="5.10833333333333" style="357" customWidth="1"/>
    <col min="14864" max="14865" width="2.775" style="357" customWidth="1"/>
    <col min="14866" max="14867" width="5.33333333333333" style="357" customWidth="1"/>
    <col min="14868" max="14870" width="7.55833333333333" style="357" customWidth="1"/>
    <col min="14871" max="14871" width="2.775" style="357" customWidth="1"/>
    <col min="14872" max="14872" width="5.33333333333333" style="357" customWidth="1"/>
    <col min="14873" max="14875" width="7.55833333333333" style="357" customWidth="1"/>
    <col min="14876" max="14876" width="4.775" style="357" customWidth="1"/>
    <col min="14877" max="14877" width="6.775" style="357" customWidth="1"/>
    <col min="14878" max="14878" width="7.33333333333333" style="357" customWidth="1"/>
    <col min="14879" max="14879" width="0.558333333333333" style="357" customWidth="1"/>
    <col min="14880" max="14880" width="8.88333333333333" style="357"/>
    <col min="14881" max="14881" width="16.4416666666667" style="357" customWidth="1"/>
    <col min="14882" max="14882" width="12.1083333333333" style="357" customWidth="1"/>
    <col min="14883" max="14883" width="13.3333333333333" style="357" customWidth="1"/>
    <col min="14884" max="14884" width="9.775" style="357" customWidth="1"/>
    <col min="14885" max="14885" width="11.5583333333333" style="357" customWidth="1"/>
    <col min="14886" max="14886" width="11" style="357" customWidth="1"/>
    <col min="14887" max="14887" width="13.8833333333333" style="357" customWidth="1"/>
    <col min="14888" max="14888" width="12.775" style="357" customWidth="1"/>
    <col min="14889" max="14889" width="8.88333333333333" style="357"/>
    <col min="14890" max="14890" width="10" style="357" customWidth="1"/>
    <col min="14891" max="14891" width="10.6666666666667" style="357" customWidth="1"/>
    <col min="14892" max="15117" width="8.88333333333333" style="357"/>
    <col min="15118" max="15118" width="5" style="357" customWidth="1"/>
    <col min="15119" max="15119" width="5.10833333333333" style="357" customWidth="1"/>
    <col min="15120" max="15121" width="2.775" style="357" customWidth="1"/>
    <col min="15122" max="15123" width="5.33333333333333" style="357" customWidth="1"/>
    <col min="15124" max="15126" width="7.55833333333333" style="357" customWidth="1"/>
    <col min="15127" max="15127" width="2.775" style="357" customWidth="1"/>
    <col min="15128" max="15128" width="5.33333333333333" style="357" customWidth="1"/>
    <col min="15129" max="15131" width="7.55833333333333" style="357" customWidth="1"/>
    <col min="15132" max="15132" width="4.775" style="357" customWidth="1"/>
    <col min="15133" max="15133" width="6.775" style="357" customWidth="1"/>
    <col min="15134" max="15134" width="7.33333333333333" style="357" customWidth="1"/>
    <col min="15135" max="15135" width="0.558333333333333" style="357" customWidth="1"/>
    <col min="15136" max="15136" width="8.88333333333333" style="357"/>
    <col min="15137" max="15137" width="16.4416666666667" style="357" customWidth="1"/>
    <col min="15138" max="15138" width="12.1083333333333" style="357" customWidth="1"/>
    <col min="15139" max="15139" width="13.3333333333333" style="357" customWidth="1"/>
    <col min="15140" max="15140" width="9.775" style="357" customWidth="1"/>
    <col min="15141" max="15141" width="11.5583333333333" style="357" customWidth="1"/>
    <col min="15142" max="15142" width="11" style="357" customWidth="1"/>
    <col min="15143" max="15143" width="13.8833333333333" style="357" customWidth="1"/>
    <col min="15144" max="15144" width="12.775" style="357" customWidth="1"/>
    <col min="15145" max="15145" width="8.88333333333333" style="357"/>
    <col min="15146" max="15146" width="10" style="357" customWidth="1"/>
    <col min="15147" max="15147" width="10.6666666666667" style="357" customWidth="1"/>
    <col min="15148" max="15373" width="8.88333333333333" style="357"/>
    <col min="15374" max="15374" width="5" style="357" customWidth="1"/>
    <col min="15375" max="15375" width="5.10833333333333" style="357" customWidth="1"/>
    <col min="15376" max="15377" width="2.775" style="357" customWidth="1"/>
    <col min="15378" max="15379" width="5.33333333333333" style="357" customWidth="1"/>
    <col min="15380" max="15382" width="7.55833333333333" style="357" customWidth="1"/>
    <col min="15383" max="15383" width="2.775" style="357" customWidth="1"/>
    <col min="15384" max="15384" width="5.33333333333333" style="357" customWidth="1"/>
    <col min="15385" max="15387" width="7.55833333333333" style="357" customWidth="1"/>
    <col min="15388" max="15388" width="4.775" style="357" customWidth="1"/>
    <col min="15389" max="15389" width="6.775" style="357" customWidth="1"/>
    <col min="15390" max="15390" width="7.33333333333333" style="357" customWidth="1"/>
    <col min="15391" max="15391" width="0.558333333333333" style="357" customWidth="1"/>
    <col min="15392" max="15392" width="8.88333333333333" style="357"/>
    <col min="15393" max="15393" width="16.4416666666667" style="357" customWidth="1"/>
    <col min="15394" max="15394" width="12.1083333333333" style="357" customWidth="1"/>
    <col min="15395" max="15395" width="13.3333333333333" style="357" customWidth="1"/>
    <col min="15396" max="15396" width="9.775" style="357" customWidth="1"/>
    <col min="15397" max="15397" width="11.5583333333333" style="357" customWidth="1"/>
    <col min="15398" max="15398" width="11" style="357" customWidth="1"/>
    <col min="15399" max="15399" width="13.8833333333333" style="357" customWidth="1"/>
    <col min="15400" max="15400" width="12.775" style="357" customWidth="1"/>
    <col min="15401" max="15401" width="8.88333333333333" style="357"/>
    <col min="15402" max="15402" width="10" style="357" customWidth="1"/>
    <col min="15403" max="15403" width="10.6666666666667" style="357" customWidth="1"/>
    <col min="15404" max="15629" width="8.88333333333333" style="357"/>
    <col min="15630" max="15630" width="5" style="357" customWidth="1"/>
    <col min="15631" max="15631" width="5.10833333333333" style="357" customWidth="1"/>
    <col min="15632" max="15633" width="2.775" style="357" customWidth="1"/>
    <col min="15634" max="15635" width="5.33333333333333" style="357" customWidth="1"/>
    <col min="15636" max="15638" width="7.55833333333333" style="357" customWidth="1"/>
    <col min="15639" max="15639" width="2.775" style="357" customWidth="1"/>
    <col min="15640" max="15640" width="5.33333333333333" style="357" customWidth="1"/>
    <col min="15641" max="15643" width="7.55833333333333" style="357" customWidth="1"/>
    <col min="15644" max="15644" width="4.775" style="357" customWidth="1"/>
    <col min="15645" max="15645" width="6.775" style="357" customWidth="1"/>
    <col min="15646" max="15646" width="7.33333333333333" style="357" customWidth="1"/>
    <col min="15647" max="15647" width="0.558333333333333" style="357" customWidth="1"/>
    <col min="15648" max="15648" width="8.88333333333333" style="357"/>
    <col min="15649" max="15649" width="16.4416666666667" style="357" customWidth="1"/>
    <col min="15650" max="15650" width="12.1083333333333" style="357" customWidth="1"/>
    <col min="15651" max="15651" width="13.3333333333333" style="357" customWidth="1"/>
    <col min="15652" max="15652" width="9.775" style="357" customWidth="1"/>
    <col min="15653" max="15653" width="11.5583333333333" style="357" customWidth="1"/>
    <col min="15654" max="15654" width="11" style="357" customWidth="1"/>
    <col min="15655" max="15655" width="13.8833333333333" style="357" customWidth="1"/>
    <col min="15656" max="15656" width="12.775" style="357" customWidth="1"/>
    <col min="15657" max="15657" width="8.88333333333333" style="357"/>
    <col min="15658" max="15658" width="10" style="357" customWidth="1"/>
    <col min="15659" max="15659" width="10.6666666666667" style="357" customWidth="1"/>
    <col min="15660" max="15885" width="8.88333333333333" style="357"/>
    <col min="15886" max="15886" width="5" style="357" customWidth="1"/>
    <col min="15887" max="15887" width="5.10833333333333" style="357" customWidth="1"/>
    <col min="15888" max="15889" width="2.775" style="357" customWidth="1"/>
    <col min="15890" max="15891" width="5.33333333333333" style="357" customWidth="1"/>
    <col min="15892" max="15894" width="7.55833333333333" style="357" customWidth="1"/>
    <col min="15895" max="15895" width="2.775" style="357" customWidth="1"/>
    <col min="15896" max="15896" width="5.33333333333333" style="357" customWidth="1"/>
    <col min="15897" max="15899" width="7.55833333333333" style="357" customWidth="1"/>
    <col min="15900" max="15900" width="4.775" style="357" customWidth="1"/>
    <col min="15901" max="15901" width="6.775" style="357" customWidth="1"/>
    <col min="15902" max="15902" width="7.33333333333333" style="357" customWidth="1"/>
    <col min="15903" max="15903" width="0.558333333333333" style="357" customWidth="1"/>
    <col min="15904" max="15904" width="8.88333333333333" style="357"/>
    <col min="15905" max="15905" width="16.4416666666667" style="357" customWidth="1"/>
    <col min="15906" max="15906" width="12.1083333333333" style="357" customWidth="1"/>
    <col min="15907" max="15907" width="13.3333333333333" style="357" customWidth="1"/>
    <col min="15908" max="15908" width="9.775" style="357" customWidth="1"/>
    <col min="15909" max="15909" width="11.5583333333333" style="357" customWidth="1"/>
    <col min="15910" max="15910" width="11" style="357" customWidth="1"/>
    <col min="15911" max="15911" width="13.8833333333333" style="357" customWidth="1"/>
    <col min="15912" max="15912" width="12.775" style="357" customWidth="1"/>
    <col min="15913" max="15913" width="8.88333333333333" style="357"/>
    <col min="15914" max="15914" width="10" style="357" customWidth="1"/>
    <col min="15915" max="15915" width="10.6666666666667" style="357" customWidth="1"/>
    <col min="15916" max="16141" width="8.88333333333333" style="357"/>
    <col min="16142" max="16142" width="5" style="357" customWidth="1"/>
    <col min="16143" max="16143" width="5.10833333333333" style="357" customWidth="1"/>
    <col min="16144" max="16145" width="2.775" style="357" customWidth="1"/>
    <col min="16146" max="16147" width="5.33333333333333" style="357" customWidth="1"/>
    <col min="16148" max="16150" width="7.55833333333333" style="357" customWidth="1"/>
    <col min="16151" max="16151" width="2.775" style="357" customWidth="1"/>
    <col min="16152" max="16152" width="5.33333333333333" style="357" customWidth="1"/>
    <col min="16153" max="16155" width="7.55833333333333" style="357" customWidth="1"/>
    <col min="16156" max="16156" width="4.775" style="357" customWidth="1"/>
    <col min="16157" max="16157" width="6.775" style="357" customWidth="1"/>
    <col min="16158" max="16158" width="7.33333333333333" style="357" customWidth="1"/>
    <col min="16159" max="16159" width="0.558333333333333" style="357" customWidth="1"/>
    <col min="16160" max="16160" width="8.88333333333333" style="357"/>
    <col min="16161" max="16161" width="16.4416666666667" style="357" customWidth="1"/>
    <col min="16162" max="16162" width="12.1083333333333" style="357" customWidth="1"/>
    <col min="16163" max="16163" width="13.3333333333333" style="357" customWidth="1"/>
    <col min="16164" max="16164" width="9.775" style="357" customWidth="1"/>
    <col min="16165" max="16165" width="11.5583333333333" style="357" customWidth="1"/>
    <col min="16166" max="16166" width="11" style="357" customWidth="1"/>
    <col min="16167" max="16167" width="13.8833333333333" style="357" customWidth="1"/>
    <col min="16168" max="16168" width="12.775" style="357" customWidth="1"/>
    <col min="16169" max="16169" width="8.88333333333333" style="357"/>
    <col min="16170" max="16170" width="10" style="357" customWidth="1"/>
    <col min="16171" max="16171" width="10.6666666666667" style="357" customWidth="1"/>
    <col min="16172" max="16384" width="8.88333333333333" style="357"/>
  </cols>
  <sheetData>
    <row r="1" ht="14.25" hidden="1" spans="8:27">
      <c r="H1" s="1" t="s">
        <v>13</v>
      </c>
      <c r="I1" s="1" t="s">
        <v>14</v>
      </c>
      <c r="J1" s="2"/>
      <c r="K1" t="s">
        <v>2</v>
      </c>
      <c r="L1">
        <v>1</v>
      </c>
      <c r="M1" t="str">
        <f>INDEX(K1:K2,L1,0)</f>
        <v>英文 English</v>
      </c>
      <c r="N1"/>
      <c r="P1" s="358" t="s">
        <v>427</v>
      </c>
      <c r="Q1" s="357" t="s">
        <v>428</v>
      </c>
      <c r="R1" s="357" t="s">
        <v>429</v>
      </c>
      <c r="S1" s="357">
        <f>O102</f>
        <v>0</v>
      </c>
      <c r="Z1" s="357" t="s">
        <v>430</v>
      </c>
      <c r="AA1" s="357" t="s">
        <v>431</v>
      </c>
    </row>
    <row r="2" ht="14.25" hidden="1" spans="8:27">
      <c r="H2" s="3" t="s">
        <v>15</v>
      </c>
      <c r="I2" s="3" t="s">
        <v>16</v>
      </c>
      <c r="J2" s="2" t="str">
        <f t="shared" ref="J2:J33" si="0">IF(Report_Language=$H$1,H2,I2)</f>
        <v>JOB NO.</v>
      </c>
      <c r="K2" t="s">
        <v>1</v>
      </c>
      <c r="L2">
        <v>2</v>
      </c>
      <c r="M2" t="str">
        <f>INDEX(K26:K27,L2,0)</f>
        <v>正式报告 Official Report</v>
      </c>
      <c r="N2"/>
      <c r="P2" s="359"/>
      <c r="Q2" s="357" t="s">
        <v>15</v>
      </c>
      <c r="R2" s="357" t="s">
        <v>432</v>
      </c>
      <c r="S2" s="357" t="str">
        <f t="shared" ref="S2:S30" si="1">IF(Report_Language=$Q$1,Q2,R2)</f>
        <v>JOB NO.</v>
      </c>
      <c r="Z2" s="357" t="s">
        <v>88</v>
      </c>
      <c r="AA2" s="357" t="s">
        <v>433</v>
      </c>
    </row>
    <row r="3" ht="14.25" hidden="1" spans="8:27">
      <c r="H3" s="4" t="s">
        <v>17</v>
      </c>
      <c r="I3" s="4" t="s">
        <v>18</v>
      </c>
      <c r="J3" s="2" t="str">
        <f t="shared" si="0"/>
        <v>DATE OF REPORT</v>
      </c>
      <c r="K3" s="5" t="s">
        <v>88</v>
      </c>
      <c r="L3">
        <v>2</v>
      </c>
      <c r="M3" t="str">
        <f>INDEX(K28:K31,L3,0)</f>
        <v>B--成品油 Refined Products</v>
      </c>
      <c r="N3" t="str">
        <f>LEFT(M3,1)</f>
        <v>B</v>
      </c>
      <c r="P3" s="359"/>
      <c r="Q3" s="357" t="s">
        <v>17</v>
      </c>
      <c r="R3" s="357" t="s">
        <v>434</v>
      </c>
      <c r="S3" s="357" t="str">
        <f t="shared" si="1"/>
        <v>DATE OF REPORT</v>
      </c>
      <c r="Z3" s="357" t="s">
        <v>98</v>
      </c>
      <c r="AA3" s="357" t="s">
        <v>435</v>
      </c>
    </row>
    <row r="4" ht="14.25" hidden="1" spans="8:27">
      <c r="H4" s="3" t="s">
        <v>20</v>
      </c>
      <c r="I4" s="3" t="s">
        <v>21</v>
      </c>
      <c r="J4" s="2" t="str">
        <f t="shared" si="0"/>
        <v>APPLICANT</v>
      </c>
      <c r="K4" s="5" t="s">
        <v>91</v>
      </c>
      <c r="L4">
        <v>14</v>
      </c>
      <c r="M4" t="str">
        <f>INDEX(K3:K20,L4,0)</f>
        <v>T-60B</v>
      </c>
      <c r="N4"/>
      <c r="P4" s="359"/>
      <c r="Q4" s="357" t="s">
        <v>20</v>
      </c>
      <c r="R4" s="357" t="s">
        <v>436</v>
      </c>
      <c r="S4" s="357" t="str">
        <f t="shared" si="1"/>
        <v>APPLICANT</v>
      </c>
      <c r="Z4" s="357" t="s">
        <v>110</v>
      </c>
      <c r="AA4" s="357" t="s">
        <v>437</v>
      </c>
    </row>
    <row r="5" ht="14.25" hidden="1" spans="8:26">
      <c r="H5" s="4" t="s">
        <v>23</v>
      </c>
      <c r="I5" s="4" t="s">
        <v>24</v>
      </c>
      <c r="J5" s="2" t="str">
        <f t="shared" si="0"/>
        <v>CLIENT'S REF. NO.</v>
      </c>
      <c r="K5" s="5" t="s">
        <v>92</v>
      </c>
      <c r="L5">
        <v>3</v>
      </c>
      <c r="M5">
        <f>INDEX(K23:K25,L5,0)</f>
        <v>2004</v>
      </c>
      <c r="N5"/>
      <c r="P5" s="359"/>
      <c r="Q5" s="357" t="s">
        <v>23</v>
      </c>
      <c r="R5" s="357" t="s">
        <v>438</v>
      </c>
      <c r="S5" s="357" t="str">
        <f t="shared" si="1"/>
        <v>CLIENT'S REF. NO.</v>
      </c>
      <c r="Z5" s="375" t="s">
        <v>123</v>
      </c>
    </row>
    <row r="6" ht="14.25" hidden="1" spans="8:26">
      <c r="H6" s="3" t="s">
        <v>25</v>
      </c>
      <c r="I6" s="3" t="s">
        <v>26</v>
      </c>
      <c r="J6" s="2" t="str">
        <f t="shared" si="0"/>
        <v>COMMODITY</v>
      </c>
      <c r="K6" s="5" t="s">
        <v>95</v>
      </c>
      <c r="L6">
        <v>1</v>
      </c>
      <c r="M6" t="str">
        <f>INDEX(K21:K22,L6,0)</f>
        <v>ASTM D1250-1980</v>
      </c>
      <c r="N6"/>
      <c r="P6" s="359"/>
      <c r="Q6" s="357" t="s">
        <v>25</v>
      </c>
      <c r="R6" s="357" t="s">
        <v>439</v>
      </c>
      <c r="S6" s="357" t="str">
        <f t="shared" si="1"/>
        <v>COMMODITY</v>
      </c>
      <c r="Z6" s="375" t="s">
        <v>91</v>
      </c>
    </row>
    <row r="7" ht="14.25" hidden="1" spans="8:26">
      <c r="H7" s="4" t="s">
        <v>28</v>
      </c>
      <c r="I7" s="4" t="s">
        <v>29</v>
      </c>
      <c r="J7" s="2" t="str">
        <f t="shared" si="0"/>
        <v>VESSEL</v>
      </c>
      <c r="K7" s="5" t="s">
        <v>98</v>
      </c>
      <c r="L7">
        <v>1</v>
      </c>
      <c r="M7" t="str">
        <f>IF(L7=1,"Den15",IF(L7=2,"Den20",IF(L7=3,"API","SG")))</f>
        <v>Den15</v>
      </c>
      <c r="N7" t="str">
        <f>INDEX(J20:J23,L7,0)</f>
        <v>Density@15℃ (g/cm³)</v>
      </c>
      <c r="P7" s="359"/>
      <c r="Q7" s="357" t="s">
        <v>28</v>
      </c>
      <c r="R7" s="357" t="s">
        <v>440</v>
      </c>
      <c r="S7" s="357" t="str">
        <f t="shared" si="1"/>
        <v>VESSEL</v>
      </c>
      <c r="Z7" s="375" t="s">
        <v>101</v>
      </c>
    </row>
    <row r="8" ht="14.25" hidden="1" spans="8:26">
      <c r="H8" s="3" t="s">
        <v>31</v>
      </c>
      <c r="I8" s="3" t="s">
        <v>32</v>
      </c>
      <c r="J8" s="2" t="str">
        <f t="shared" si="0"/>
        <v>PORT</v>
      </c>
      <c r="K8" s="5" t="s">
        <v>101</v>
      </c>
      <c r="L8">
        <v>1</v>
      </c>
      <c r="M8" t="str">
        <f>INDEX(S38:S39,L8,0)</f>
        <v>m³</v>
      </c>
      <c r="N8"/>
      <c r="P8" s="359"/>
      <c r="Q8" s="357" t="s">
        <v>31</v>
      </c>
      <c r="R8" s="357" t="s">
        <v>441</v>
      </c>
      <c r="S8" s="357" t="str">
        <f t="shared" si="1"/>
        <v>PORT</v>
      </c>
      <c r="Z8" s="375" t="s">
        <v>113</v>
      </c>
    </row>
    <row r="9" ht="14.25" hidden="1" spans="8:26">
      <c r="H9" s="6" t="s">
        <v>34</v>
      </c>
      <c r="I9" s="4" t="s">
        <v>35</v>
      </c>
      <c r="J9" s="2" t="str">
        <f t="shared" si="0"/>
        <v>TERMINAL</v>
      </c>
      <c r="K9" s="5" t="s">
        <v>104</v>
      </c>
      <c r="L9"/>
      <c r="M9"/>
      <c r="N9"/>
      <c r="P9" s="359"/>
      <c r="Q9" s="357" t="s">
        <v>36</v>
      </c>
      <c r="R9" s="357" t="s">
        <v>442</v>
      </c>
      <c r="S9" s="357" t="str">
        <f t="shared" si="1"/>
        <v>DATE OF INSPECTION</v>
      </c>
      <c r="Z9" s="375" t="s">
        <v>126</v>
      </c>
    </row>
    <row r="10" ht="14.25" hidden="1" spans="8:26">
      <c r="H10" s="4" t="s">
        <v>36</v>
      </c>
      <c r="I10" s="4" t="s">
        <v>37</v>
      </c>
      <c r="J10" s="2" t="str">
        <f t="shared" si="0"/>
        <v>DATE OF INSPECTION</v>
      </c>
      <c r="K10" s="5" t="s">
        <v>107</v>
      </c>
      <c r="L10"/>
      <c r="M10"/>
      <c r="N10"/>
      <c r="P10" s="360" t="s">
        <v>443</v>
      </c>
      <c r="Q10" s="357" t="s">
        <v>355</v>
      </c>
      <c r="R10" s="357" t="s">
        <v>356</v>
      </c>
      <c r="S10" s="357" t="str">
        <f t="shared" si="1"/>
        <v>Master/Chief Officer</v>
      </c>
      <c r="Z10" s="375" t="s">
        <v>95</v>
      </c>
    </row>
    <row r="11" ht="14.25" hidden="1" spans="8:26">
      <c r="H11" s="7" t="s">
        <v>44</v>
      </c>
      <c r="I11" s="2" t="str">
        <f>H11</f>
        <v>SG0020031202-I</v>
      </c>
      <c r="J11" s="2" t="s">
        <v>45</v>
      </c>
      <c r="K11" s="5" t="s">
        <v>110</v>
      </c>
      <c r="L11"/>
      <c r="M11"/>
      <c r="N11"/>
      <c r="P11" s="361"/>
      <c r="Q11" s="357" t="s">
        <v>357</v>
      </c>
      <c r="R11" s="357" t="s">
        <v>358</v>
      </c>
      <c r="S11" s="357" t="str">
        <f t="shared" si="1"/>
        <v>CCIC Surveyor</v>
      </c>
      <c r="Z11" s="375" t="s">
        <v>107</v>
      </c>
    </row>
    <row r="12" ht="14.25" hidden="1" spans="8:26">
      <c r="H12" s="8" t="s">
        <v>46</v>
      </c>
      <c r="I12" s="2" t="str">
        <f>H12</f>
        <v>YYYY-MM-DD</v>
      </c>
      <c r="J12" s="2" t="s">
        <v>46</v>
      </c>
      <c r="K12" s="5" t="s">
        <v>113</v>
      </c>
      <c r="L12"/>
      <c r="M12"/>
      <c r="N12"/>
      <c r="P12" s="361"/>
      <c r="Q12" s="357" t="s">
        <v>359</v>
      </c>
      <c r="R12" s="357" t="s">
        <v>360</v>
      </c>
      <c r="S12" s="357" t="str">
        <f t="shared" si="1"/>
        <v>Name</v>
      </c>
      <c r="Z12" s="375" t="s">
        <v>120</v>
      </c>
    </row>
    <row r="13" ht="14.25" hidden="1" spans="8:26">
      <c r="H13" s="7" t="s">
        <v>48</v>
      </c>
      <c r="I13" s="9" t="s">
        <v>49</v>
      </c>
      <c r="J13" s="2" t="str">
        <f t="shared" si="0"/>
        <v>PETROCHINA </v>
      </c>
      <c r="K13" s="5" t="s">
        <v>116</v>
      </c>
      <c r="L13"/>
      <c r="M13"/>
      <c r="N13"/>
      <c r="P13" s="361"/>
      <c r="Q13" s="357" t="s">
        <v>361</v>
      </c>
      <c r="R13" s="357" t="s">
        <v>362</v>
      </c>
      <c r="S13" s="357" t="str">
        <f t="shared" si="1"/>
        <v>Signature</v>
      </c>
      <c r="Z13" s="375" t="s">
        <v>132</v>
      </c>
    </row>
    <row r="14" ht="14.25" hidden="1" spans="8:26">
      <c r="H14" s="7" t="s">
        <v>50</v>
      </c>
      <c r="I14" s="7" t="s">
        <v>117</v>
      </c>
      <c r="J14" s="2" t="s">
        <v>51</v>
      </c>
      <c r="K14" s="5" t="s">
        <v>120</v>
      </c>
      <c r="L14"/>
      <c r="M14"/>
      <c r="N14"/>
      <c r="P14" s="361"/>
      <c r="Q14" s="357" t="s">
        <v>363</v>
      </c>
      <c r="R14" s="357" t="s">
        <v>364</v>
      </c>
      <c r="S14" s="357" t="str">
        <f t="shared" si="1"/>
        <v>Authorized Signature (S)</v>
      </c>
      <c r="Z14" s="375" t="s">
        <v>92</v>
      </c>
    </row>
    <row r="15" ht="14.25" hidden="1" spans="8:26">
      <c r="H15" s="7" t="s">
        <v>52</v>
      </c>
      <c r="I15" s="9" t="s">
        <v>53</v>
      </c>
      <c r="J15" s="2" t="str">
        <f t="shared" si="0"/>
        <v>Crude Oil6658</v>
      </c>
      <c r="K15" s="5" t="s">
        <v>123</v>
      </c>
      <c r="L15"/>
      <c r="M15"/>
      <c r="N15"/>
      <c r="P15" s="362" t="s">
        <v>444</v>
      </c>
      <c r="Q15" s="357" t="s">
        <v>74</v>
      </c>
      <c r="R15" s="357" t="s">
        <v>75</v>
      </c>
      <c r="S15" s="357" t="str">
        <f t="shared" si="1"/>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Z15" s="375" t="s">
        <v>104</v>
      </c>
    </row>
    <row r="16" ht="14.25" hidden="1" spans="8:26">
      <c r="H16" s="7" t="s">
        <v>54</v>
      </c>
      <c r="I16" s="2" t="s">
        <v>55</v>
      </c>
      <c r="J16" s="2" t="str">
        <f t="shared" si="0"/>
        <v>MT ZhenYuanefdasdf</v>
      </c>
      <c r="K16" s="5" t="s">
        <v>126</v>
      </c>
      <c r="L16"/>
      <c r="M16"/>
      <c r="N16"/>
      <c r="P16" s="362"/>
      <c r="Q16" s="357" t="s">
        <v>445</v>
      </c>
      <c r="R16" s="357" t="s">
        <v>446</v>
      </c>
      <c r="S16" s="357" t="str">
        <f t="shared" si="1"/>
        <v>Note:</v>
      </c>
      <c r="Z16" s="375" t="s">
        <v>116</v>
      </c>
    </row>
    <row r="17" ht="14.25" hidden="1" spans="8:26">
      <c r="H17" s="7" t="s">
        <v>56</v>
      </c>
      <c r="I17" s="9" t="s">
        <v>57</v>
      </c>
      <c r="J17" s="2" t="str">
        <f t="shared" si="0"/>
        <v>Dalian, Chinafsadfa</v>
      </c>
      <c r="K17" s="5" t="s">
        <v>129</v>
      </c>
      <c r="L17"/>
      <c r="M17"/>
      <c r="N17"/>
      <c r="P17" s="362"/>
      <c r="Q17" s="357" t="s">
        <v>447</v>
      </c>
      <c r="R17" s="357" t="s">
        <v>448</v>
      </c>
      <c r="S17" s="357" t="str">
        <f t="shared" si="1"/>
        <v>Remark:</v>
      </c>
      <c r="Z17" s="375" t="s">
        <v>129</v>
      </c>
    </row>
    <row r="18" ht="14.25" hidden="1" spans="8:26">
      <c r="H18" s="7" t="s">
        <v>58</v>
      </c>
      <c r="I18" s="9" t="s">
        <v>59</v>
      </c>
      <c r="J18" s="2" t="str">
        <f t="shared" si="0"/>
        <v>Dalian Chinaoil, China1325415</v>
      </c>
      <c r="K18" s="5" t="s">
        <v>132</v>
      </c>
      <c r="L18"/>
      <c r="M18"/>
      <c r="N18"/>
      <c r="P18" s="362"/>
      <c r="Q18" s="357" t="s">
        <v>449</v>
      </c>
      <c r="R18" s="357" t="s">
        <v>450</v>
      </c>
      <c r="S18" s="357" t="str">
        <f t="shared" si="1"/>
        <v>Yes</v>
      </c>
      <c r="Z18" s="375" t="s">
        <v>136</v>
      </c>
    </row>
    <row r="19" ht="14.25" hidden="1" spans="8:26">
      <c r="H19" s="10" t="s">
        <v>133</v>
      </c>
      <c r="I19" s="11" t="str">
        <f>H19</f>
        <v>YYYY-MM-DD -- YYYY-MM-DD</v>
      </c>
      <c r="J19" s="2" t="s">
        <v>60</v>
      </c>
      <c r="K19" s="12" t="s">
        <v>136</v>
      </c>
      <c r="L19"/>
      <c r="M19"/>
      <c r="N19"/>
      <c r="P19" s="362"/>
      <c r="Q19" s="357" t="s">
        <v>451</v>
      </c>
      <c r="R19" s="357" t="s">
        <v>452</v>
      </c>
      <c r="S19" s="357" t="str">
        <f t="shared" si="1"/>
        <v>No</v>
      </c>
      <c r="Z19" s="375" t="s">
        <v>141</v>
      </c>
    </row>
    <row r="20" ht="14.25" hidden="1" spans="8:26">
      <c r="H20" s="13" t="s">
        <v>137</v>
      </c>
      <c r="I20" s="13" t="s">
        <v>138</v>
      </c>
      <c r="J20" s="2" t="str">
        <f t="shared" si="0"/>
        <v>Density@15℃ (g/cm³)</v>
      </c>
      <c r="K20" s="5" t="s">
        <v>141</v>
      </c>
      <c r="L20"/>
      <c r="M20"/>
      <c r="N20"/>
      <c r="P20" s="363" t="s">
        <v>453</v>
      </c>
      <c r="Q20" s="357" t="s">
        <v>454</v>
      </c>
      <c r="R20" s="357" t="s">
        <v>455</v>
      </c>
      <c r="S20" s="357" t="str">
        <f t="shared" si="1"/>
        <v>Date :</v>
      </c>
      <c r="Z20" s="375" t="s">
        <v>456</v>
      </c>
    </row>
    <row r="21" ht="14.25" hidden="1" spans="8:26">
      <c r="H21" s="14" t="s">
        <v>142</v>
      </c>
      <c r="I21" s="14" t="s">
        <v>143</v>
      </c>
      <c r="J21" s="2" t="str">
        <f t="shared" si="0"/>
        <v>Density@20℃ (g/cm³)</v>
      </c>
      <c r="K21" s="5" t="s">
        <v>5</v>
      </c>
      <c r="L21"/>
      <c r="M21"/>
      <c r="N21"/>
      <c r="P21" s="364"/>
      <c r="Q21" s="357" t="s">
        <v>457</v>
      </c>
      <c r="R21" s="357" t="s">
        <v>458</v>
      </c>
      <c r="S21" s="357" t="str">
        <f t="shared" si="1"/>
        <v>Time :</v>
      </c>
      <c r="Z21" s="375"/>
    </row>
    <row r="22" ht="14.25" hidden="1" spans="8:26">
      <c r="H22" s="13" t="s">
        <v>146</v>
      </c>
      <c r="I22" s="13" t="s">
        <v>146</v>
      </c>
      <c r="J22" s="2" t="str">
        <f t="shared" si="0"/>
        <v>API@60℉</v>
      </c>
      <c r="K22" s="5" t="s">
        <v>6</v>
      </c>
      <c r="L22"/>
      <c r="M22"/>
      <c r="N22"/>
      <c r="P22" s="365" t="s">
        <v>459</v>
      </c>
      <c r="Q22" s="357" t="s">
        <v>460</v>
      </c>
      <c r="R22" s="357" t="s">
        <v>461</v>
      </c>
      <c r="S22" s="357" t="str">
        <f t="shared" si="1"/>
        <v>Draft Fwd :</v>
      </c>
      <c r="Z22" s="375"/>
    </row>
    <row r="23" ht="14.25" hidden="1" spans="8:26">
      <c r="H23" s="14" t="s">
        <v>149</v>
      </c>
      <c r="I23" s="14" t="s">
        <v>150</v>
      </c>
      <c r="J23" s="2" t="str">
        <f t="shared" si="0"/>
        <v>S.G.@60℉/60℉</v>
      </c>
      <c r="K23" s="12">
        <v>1952</v>
      </c>
      <c r="L23"/>
      <c r="M23"/>
      <c r="N23"/>
      <c r="P23" s="366"/>
      <c r="Q23" s="357" t="s">
        <v>462</v>
      </c>
      <c r="R23" s="357" t="s">
        <v>463</v>
      </c>
      <c r="S23" s="357" t="str">
        <f t="shared" si="1"/>
        <v>Draft Aft :</v>
      </c>
      <c r="Z23" s="375"/>
    </row>
    <row r="24" ht="14.25" hidden="1" spans="8:26">
      <c r="H24" s="15" t="s">
        <v>153</v>
      </c>
      <c r="I24" s="15" t="s">
        <v>154</v>
      </c>
      <c r="J24" s="2" t="str">
        <f t="shared" si="0"/>
        <v>α60℉ (1/℉)</v>
      </c>
      <c r="K24" s="12">
        <v>1980</v>
      </c>
      <c r="L24"/>
      <c r="M24"/>
      <c r="N24"/>
      <c r="P24" s="366"/>
      <c r="Q24" s="357" t="s">
        <v>464</v>
      </c>
      <c r="R24" s="357" t="s">
        <v>465</v>
      </c>
      <c r="S24" s="357" t="str">
        <f t="shared" si="1"/>
        <v>List :</v>
      </c>
      <c r="Z24" s="375"/>
    </row>
    <row r="25" ht="14.25" hidden="1" spans="8:26">
      <c r="H25" s="15" t="s">
        <v>157</v>
      </c>
      <c r="I25" s="15" t="s">
        <v>158</v>
      </c>
      <c r="J25" s="2" t="str">
        <f t="shared" si="0"/>
        <v>α60℉ (1/℃)</v>
      </c>
      <c r="K25" s="12">
        <v>2004</v>
      </c>
      <c r="L25"/>
      <c r="M25"/>
      <c r="N25"/>
      <c r="P25" s="366"/>
      <c r="Q25" s="357" t="s">
        <v>466</v>
      </c>
      <c r="R25" s="357" t="s">
        <v>467</v>
      </c>
      <c r="S25" s="357" t="str">
        <f t="shared" si="1"/>
        <v>Trim :</v>
      </c>
      <c r="Z25" s="375"/>
    </row>
    <row r="26" ht="14.25" hidden="1" spans="8:19">
      <c r="H26" s="14" t="s">
        <v>161</v>
      </c>
      <c r="I26" s="14" t="s">
        <v>162</v>
      </c>
      <c r="J26" s="2" t="str">
        <f t="shared" si="0"/>
        <v>Density@15℃ (kg/m³)</v>
      </c>
      <c r="K26" s="16" t="s">
        <v>165</v>
      </c>
      <c r="L26"/>
      <c r="M26"/>
      <c r="N26"/>
      <c r="P26" s="366"/>
      <c r="Q26" s="357" t="s">
        <v>468</v>
      </c>
      <c r="R26" s="357" t="s">
        <v>469</v>
      </c>
      <c r="S26" s="357" t="str">
        <f t="shared" si="1"/>
        <v>m By Head</v>
      </c>
    </row>
    <row r="27" ht="14.25" hidden="1" spans="8:19">
      <c r="H27" s="13" t="s">
        <v>167</v>
      </c>
      <c r="I27" s="13" t="s">
        <v>168</v>
      </c>
      <c r="J27" s="2" t="str">
        <f t="shared" si="0"/>
        <v>Density@20℃ (kg/m³)</v>
      </c>
      <c r="K27" s="16" t="s">
        <v>171</v>
      </c>
      <c r="L27"/>
      <c r="M27"/>
      <c r="N27"/>
      <c r="P27" s="366"/>
      <c r="Q27" s="357" t="s">
        <v>470</v>
      </c>
      <c r="R27" s="357" t="s">
        <v>471</v>
      </c>
      <c r="S27" s="357" t="str">
        <f t="shared" si="1"/>
        <v>m By Stern</v>
      </c>
    </row>
    <row r="28" ht="14.25" hidden="1" spans="8:19">
      <c r="H28" s="14" t="s">
        <v>146</v>
      </c>
      <c r="I28" s="14" t="s">
        <v>173</v>
      </c>
      <c r="J28" s="2" t="str">
        <f t="shared" si="0"/>
        <v>API@60℉</v>
      </c>
      <c r="K28" s="5" t="s">
        <v>7</v>
      </c>
      <c r="L28"/>
      <c r="M28"/>
      <c r="N28"/>
      <c r="P28" s="366"/>
      <c r="Q28" s="357" t="s">
        <v>472</v>
      </c>
      <c r="R28" s="357" t="s">
        <v>473</v>
      </c>
      <c r="S28" s="357" t="str">
        <f t="shared" si="1"/>
        <v>Upright</v>
      </c>
    </row>
    <row r="29" ht="14.25" hidden="1" spans="8:19">
      <c r="H29" s="13" t="s">
        <v>149</v>
      </c>
      <c r="I29" s="13" t="s">
        <v>177</v>
      </c>
      <c r="J29" s="2" t="str">
        <f t="shared" si="0"/>
        <v>S.G.@60℉/60℉</v>
      </c>
      <c r="K29" s="5" t="s">
        <v>8</v>
      </c>
      <c r="L29"/>
      <c r="M29"/>
      <c r="N29"/>
      <c r="P29" s="366"/>
      <c r="Q29" s="357" t="s">
        <v>474</v>
      </c>
      <c r="R29" s="357" t="s">
        <v>475</v>
      </c>
      <c r="S29" s="357" t="str">
        <f t="shared" si="1"/>
        <v>Degrees P</v>
      </c>
    </row>
    <row r="30" ht="14.25" hidden="1" spans="8:19">
      <c r="H30" s="17" t="s">
        <v>181</v>
      </c>
      <c r="I30" s="18" t="s">
        <v>182</v>
      </c>
      <c r="J30" s="2" t="str">
        <f t="shared" si="0"/>
        <v>WCF MT(in air)/m³@15℃ [T-56]</v>
      </c>
      <c r="K30" s="5" t="s">
        <v>11</v>
      </c>
      <c r="L30"/>
      <c r="M30"/>
      <c r="N30"/>
      <c r="P30" s="366"/>
      <c r="Q30" s="357" t="s">
        <v>476</v>
      </c>
      <c r="R30" s="357" t="s">
        <v>477</v>
      </c>
      <c r="S30" s="357" t="str">
        <f t="shared" si="1"/>
        <v>Degrees S</v>
      </c>
    </row>
    <row r="31" ht="14.25" hidden="1" spans="8:16">
      <c r="H31" s="17" t="s">
        <v>186</v>
      </c>
      <c r="I31" s="18" t="s">
        <v>187</v>
      </c>
      <c r="J31" s="2" t="str">
        <f t="shared" si="0"/>
        <v>WCF MT(in air)/m³@15℃</v>
      </c>
      <c r="K31" s="5" t="s">
        <v>12</v>
      </c>
      <c r="L31"/>
      <c r="M31"/>
      <c r="N31"/>
      <c r="P31" s="366"/>
    </row>
    <row r="32" ht="14.25" hidden="1" spans="8:19">
      <c r="H32" s="17" t="s">
        <v>191</v>
      </c>
      <c r="I32" s="18" t="s">
        <v>192</v>
      </c>
      <c r="J32" s="2" t="str">
        <f t="shared" si="0"/>
        <v>WCF MT(in air)/m³@20℃</v>
      </c>
      <c r="K32"/>
      <c r="L32"/>
      <c r="M32"/>
      <c r="N32"/>
      <c r="P32" s="367" t="s">
        <v>478</v>
      </c>
      <c r="Q32" s="357" t="s">
        <v>479</v>
      </c>
      <c r="R32" s="357" t="s">
        <v>478</v>
      </c>
      <c r="S32" s="357" t="str">
        <f t="shared" ref="S32:S69" si="2">IF(Report_Language=$Q$1,Q32,R32)</f>
        <v>Sea Condition</v>
      </c>
    </row>
    <row r="33" ht="14.25" hidden="1" spans="8:19">
      <c r="H33" s="19" t="s">
        <v>196</v>
      </c>
      <c r="I33" s="20" t="s">
        <v>197</v>
      </c>
      <c r="J33" s="2" t="str">
        <f t="shared" si="0"/>
        <v>MT/LT [T-1] </v>
      </c>
      <c r="K33"/>
      <c r="L33"/>
      <c r="M33"/>
      <c r="N33"/>
      <c r="P33" s="368"/>
      <c r="Q33" s="357" t="s">
        <v>480</v>
      </c>
      <c r="R33" s="357" t="s">
        <v>481</v>
      </c>
      <c r="S33" s="357" t="str">
        <f t="shared" si="2"/>
        <v>Calm</v>
      </c>
    </row>
    <row r="34" ht="14.25" hidden="1" spans="8:19">
      <c r="H34" s="19" t="s">
        <v>201</v>
      </c>
      <c r="I34" s="21" t="s">
        <v>202</v>
      </c>
      <c r="J34" s="2" t="str">
        <f t="shared" ref="J34:J65" si="3">IF(Report_Language=$H$1,H34,I34)</f>
        <v>MT/LT</v>
      </c>
      <c r="K34"/>
      <c r="L34"/>
      <c r="M34"/>
      <c r="N34"/>
      <c r="P34" s="368"/>
      <c r="Q34" s="357" t="s">
        <v>482</v>
      </c>
      <c r="R34" s="357" t="s">
        <v>483</v>
      </c>
      <c r="S34" s="357" t="str">
        <f t="shared" si="2"/>
        <v>Slight</v>
      </c>
    </row>
    <row r="35" ht="14.25" hidden="1" spans="8:19">
      <c r="H35" s="17" t="s">
        <v>206</v>
      </c>
      <c r="I35" s="18" t="s">
        <v>207</v>
      </c>
      <c r="J35" s="2" t="str">
        <f t="shared" si="3"/>
        <v>WCF MT(in air)/bbls@60℉ [T-13]</v>
      </c>
      <c r="K35"/>
      <c r="L35"/>
      <c r="M35"/>
      <c r="N35"/>
      <c r="P35" s="368"/>
      <c r="Q35" s="357" t="s">
        <v>484</v>
      </c>
      <c r="R35" s="357" t="s">
        <v>485</v>
      </c>
      <c r="S35" s="357" t="str">
        <f t="shared" si="2"/>
        <v>Moderate</v>
      </c>
    </row>
    <row r="36" ht="14.25" hidden="1" spans="8:19">
      <c r="H36" s="17" t="s">
        <v>210</v>
      </c>
      <c r="I36" s="18" t="s">
        <v>211</v>
      </c>
      <c r="J36" s="2" t="str">
        <f t="shared" si="3"/>
        <v>WCF MT(in air)/bbls@60℉</v>
      </c>
      <c r="K36"/>
      <c r="L36"/>
      <c r="M36"/>
      <c r="N36"/>
      <c r="P36" s="368"/>
      <c r="Q36" s="357" t="s">
        <v>486</v>
      </c>
      <c r="R36" s="357" t="s">
        <v>487</v>
      </c>
      <c r="S36" s="357" t="str">
        <f t="shared" si="2"/>
        <v>Rough</v>
      </c>
    </row>
    <row r="37" ht="10.2" hidden="1" customHeight="1" spans="8:19">
      <c r="H37" s="14" t="s">
        <v>214</v>
      </c>
      <c r="I37" s="14" t="s">
        <v>215</v>
      </c>
      <c r="J37" s="2" t="str">
        <f t="shared" si="3"/>
        <v>Density@15℃ MT(Vacuo)/m³</v>
      </c>
      <c r="K37"/>
      <c r="L37"/>
      <c r="M37"/>
      <c r="N37"/>
      <c r="P37" s="369" t="s">
        <v>488</v>
      </c>
      <c r="Q37" s="357" t="s">
        <v>489</v>
      </c>
      <c r="R37" s="373" t="s">
        <v>490</v>
      </c>
      <c r="S37" s="357" t="str">
        <f t="shared" si="2"/>
        <v>m</v>
      </c>
    </row>
    <row r="38" ht="14.25" hidden="1" spans="8:19">
      <c r="H38" s="14" t="s">
        <v>218</v>
      </c>
      <c r="I38" s="14" t="s">
        <v>219</v>
      </c>
      <c r="J38" s="2" t="str">
        <f t="shared" si="3"/>
        <v>Density@20℃ MT(Vacuo)/m³</v>
      </c>
      <c r="K38"/>
      <c r="L38"/>
      <c r="M38"/>
      <c r="N38"/>
      <c r="P38" s="369"/>
      <c r="Q38" s="357" t="s">
        <v>491</v>
      </c>
      <c r="R38" s="357" t="s">
        <v>492</v>
      </c>
      <c r="S38" s="357" t="str">
        <f t="shared" si="2"/>
        <v>m³</v>
      </c>
    </row>
    <row r="39" ht="14.25" hidden="1" spans="8:19">
      <c r="H39" s="17" t="s">
        <v>222</v>
      </c>
      <c r="I39" s="18" t="s">
        <v>223</v>
      </c>
      <c r="J39" s="2" t="str">
        <f t="shared" si="3"/>
        <v>WCF MT(in vacuo)/bbls@60℉ [T-13]</v>
      </c>
      <c r="K39"/>
      <c r="L39"/>
      <c r="M39"/>
      <c r="N39"/>
      <c r="P39" s="369"/>
      <c r="Q39" s="357" t="s">
        <v>493</v>
      </c>
      <c r="R39" s="357" t="s">
        <v>494</v>
      </c>
      <c r="S39" s="357" t="str">
        <f t="shared" si="2"/>
        <v>bbls</v>
      </c>
    </row>
    <row r="40" ht="14.25" hidden="1" spans="8:19">
      <c r="H40" s="17" t="s">
        <v>226</v>
      </c>
      <c r="I40" s="18" t="s">
        <v>227</v>
      </c>
      <c r="J40" s="2" t="str">
        <f t="shared" si="3"/>
        <v>WCF MT(in vacuo)/bbls@60℉</v>
      </c>
      <c r="K40"/>
      <c r="L40"/>
      <c r="M40"/>
      <c r="N40"/>
      <c r="P40" s="369"/>
      <c r="Q40" s="374" t="s">
        <v>495</v>
      </c>
      <c r="R40" s="374" t="s">
        <v>495</v>
      </c>
      <c r="S40" s="357" t="str">
        <f t="shared" si="2"/>
        <v>℃</v>
      </c>
    </row>
    <row r="41" ht="14.25" hidden="1" spans="8:19">
      <c r="H41" s="19" t="s">
        <v>196</v>
      </c>
      <c r="I41" s="20" t="s">
        <v>197</v>
      </c>
      <c r="J41" s="2" t="str">
        <f t="shared" si="3"/>
        <v>MT/LT [T-1] </v>
      </c>
      <c r="K41"/>
      <c r="L41"/>
      <c r="M41"/>
      <c r="N41"/>
      <c r="P41" s="369"/>
      <c r="Q41" s="374" t="s">
        <v>496</v>
      </c>
      <c r="R41" s="374" t="s">
        <v>496</v>
      </c>
      <c r="S41" s="357" t="str">
        <f t="shared" si="2"/>
        <v>℉</v>
      </c>
    </row>
    <row r="42" ht="14.25" hidden="1" spans="8:19">
      <c r="H42" s="19" t="s">
        <v>201</v>
      </c>
      <c r="I42" s="21" t="s">
        <v>202</v>
      </c>
      <c r="J42" s="2" t="str">
        <f t="shared" si="3"/>
        <v>MT/LT</v>
      </c>
      <c r="K42"/>
      <c r="L42"/>
      <c r="M42"/>
      <c r="N42"/>
      <c r="P42" s="369"/>
      <c r="Q42" s="357" t="s">
        <v>497</v>
      </c>
      <c r="R42" s="357" t="s">
        <v>498</v>
      </c>
      <c r="S42" s="357" t="str">
        <f>IF(Report_Language=$Q$1,Q42,R42)</f>
        <v>m³(15℃)</v>
      </c>
    </row>
    <row r="43" ht="14.25" hidden="1" spans="8:19">
      <c r="H43" s="17" t="s">
        <v>233</v>
      </c>
      <c r="I43" s="18" t="s">
        <v>234</v>
      </c>
      <c r="J43" s="2" t="str">
        <f t="shared" si="3"/>
        <v>WCF LT(in air)/m³@15℃ [T-57]</v>
      </c>
      <c r="K43"/>
      <c r="L43"/>
      <c r="M43"/>
      <c r="N43"/>
      <c r="P43" s="369"/>
      <c r="Q43" s="357" t="s">
        <v>499</v>
      </c>
      <c r="R43" s="357" t="s">
        <v>500</v>
      </c>
      <c r="S43" s="357" t="str">
        <f>IF(Report_Language=$Q$1,Q43,R43)</f>
        <v>m³(20℃)</v>
      </c>
    </row>
    <row r="44" ht="14.25" hidden="1" spans="8:19">
      <c r="H44" s="17" t="s">
        <v>236</v>
      </c>
      <c r="I44" s="18" t="s">
        <v>237</v>
      </c>
      <c r="J44" s="2" t="str">
        <f t="shared" si="3"/>
        <v>WCF LT(in air)/m³@15℃</v>
      </c>
      <c r="K44"/>
      <c r="L44"/>
      <c r="M44"/>
      <c r="N44"/>
      <c r="P44" s="369"/>
      <c r="Q44" s="357" t="s">
        <v>501</v>
      </c>
      <c r="R44" s="357" t="s">
        <v>502</v>
      </c>
      <c r="S44" s="357" t="str">
        <f>IF(Report_Language=$Q$1,Q44,R44)</f>
        <v>bbls(60℉)</v>
      </c>
    </row>
    <row r="45" ht="10.2" hidden="1" customHeight="1" spans="8:19">
      <c r="H45" s="19" t="s">
        <v>240</v>
      </c>
      <c r="I45" s="20" t="s">
        <v>241</v>
      </c>
      <c r="J45" s="2" t="str">
        <f t="shared" si="3"/>
        <v>LT/MT [T-1] </v>
      </c>
      <c r="K45"/>
      <c r="L45"/>
      <c r="M45"/>
      <c r="N45"/>
      <c r="P45" s="370" t="s">
        <v>503</v>
      </c>
      <c r="Q45" s="357" t="s">
        <v>504</v>
      </c>
      <c r="R45" s="357" t="s">
        <v>503</v>
      </c>
      <c r="S45" s="357" t="str">
        <f t="shared" si="2"/>
        <v>Detected by</v>
      </c>
    </row>
    <row r="46" ht="14.25" hidden="1" spans="8:19">
      <c r="H46" s="19" t="s">
        <v>244</v>
      </c>
      <c r="I46" s="20" t="s">
        <v>245</v>
      </c>
      <c r="J46" s="2" t="str">
        <f t="shared" si="3"/>
        <v>LT/MT</v>
      </c>
      <c r="K46"/>
      <c r="L46"/>
      <c r="M46"/>
      <c r="N46"/>
      <c r="P46" s="370"/>
      <c r="Q46" s="357" t="s">
        <v>505</v>
      </c>
      <c r="R46" s="357" t="s">
        <v>505</v>
      </c>
      <c r="S46" s="357" t="str">
        <f t="shared" si="2"/>
        <v>UTI</v>
      </c>
    </row>
    <row r="47" ht="14.25" hidden="1" spans="8:19">
      <c r="H47" s="17" t="s">
        <v>248</v>
      </c>
      <c r="I47" s="18" t="s">
        <v>249</v>
      </c>
      <c r="J47" s="2" t="str">
        <f t="shared" si="3"/>
        <v>WCF LT(in air)/bbls@60℉ [T-29] </v>
      </c>
      <c r="K47"/>
      <c r="L47"/>
      <c r="M47"/>
      <c r="N47"/>
      <c r="P47" s="370"/>
      <c r="Q47" s="357" t="s">
        <v>506</v>
      </c>
      <c r="R47" s="357" t="s">
        <v>506</v>
      </c>
      <c r="S47" s="357" t="str">
        <f t="shared" si="2"/>
        <v>MMC</v>
      </c>
    </row>
    <row r="48" ht="14.25" hidden="1" spans="8:19">
      <c r="H48" s="17" t="s">
        <v>253</v>
      </c>
      <c r="I48" s="18" t="s">
        <v>254</v>
      </c>
      <c r="J48" s="2" t="str">
        <f t="shared" si="3"/>
        <v>WCF LT(in air)/bbls@60℉</v>
      </c>
      <c r="K48"/>
      <c r="L48"/>
      <c r="M48"/>
      <c r="N48"/>
      <c r="P48" s="370"/>
      <c r="Q48" s="357" t="s">
        <v>507</v>
      </c>
      <c r="R48" s="357" t="s">
        <v>508</v>
      </c>
      <c r="S48" s="357" t="str">
        <f t="shared" si="2"/>
        <v>Sounding Tape</v>
      </c>
    </row>
    <row r="49" ht="14.25" hidden="1" spans="8:19">
      <c r="H49" s="17" t="s">
        <v>259</v>
      </c>
      <c r="I49" s="18" t="s">
        <v>260</v>
      </c>
      <c r="J49" s="2" t="str">
        <f t="shared" si="3"/>
        <v>WCF LT(in air)/bbls@60℉ [T-11] </v>
      </c>
      <c r="K49"/>
      <c r="L49"/>
      <c r="M49"/>
      <c r="N49"/>
      <c r="P49" s="370"/>
      <c r="Q49" s="357" t="s">
        <v>509</v>
      </c>
      <c r="R49" s="373" t="s">
        <v>510</v>
      </c>
      <c r="S49" s="357" t="str">
        <f t="shared" si="2"/>
        <v>Sounding Rod</v>
      </c>
    </row>
    <row r="50" ht="14.25" hidden="1" spans="8:19">
      <c r="H50" s="17" t="s">
        <v>253</v>
      </c>
      <c r="I50" s="18" t="s">
        <v>254</v>
      </c>
      <c r="J50" s="2" t="str">
        <f t="shared" si="3"/>
        <v>WCF LT(in air)/bbls@60℉</v>
      </c>
      <c r="K50"/>
      <c r="L50"/>
      <c r="M50"/>
      <c r="N50"/>
      <c r="P50" s="370"/>
      <c r="Q50" s="357" t="s">
        <v>511</v>
      </c>
      <c r="R50" s="373" t="s">
        <v>512</v>
      </c>
      <c r="S50" s="357" t="str">
        <f t="shared" si="2"/>
        <v>Level System</v>
      </c>
    </row>
    <row r="51" ht="14.25" hidden="1" spans="8:19">
      <c r="H51" s="17" t="s">
        <v>265</v>
      </c>
      <c r="I51" s="18" t="s">
        <v>266</v>
      </c>
      <c r="J51" s="2" t="str">
        <f t="shared" si="3"/>
        <v>WCF LT(in vacuo)/m³@15℃ [T-57]</v>
      </c>
      <c r="K51"/>
      <c r="L51"/>
      <c r="M51"/>
      <c r="N51"/>
      <c r="P51" s="370"/>
      <c r="Q51" s="357" t="s">
        <v>513</v>
      </c>
      <c r="R51" s="357" t="s">
        <v>514</v>
      </c>
      <c r="S51" s="357" t="str">
        <f t="shared" si="2"/>
        <v>Water Finding Paste</v>
      </c>
    </row>
    <row r="52" ht="14.25" hidden="1" spans="8:19">
      <c r="H52" s="17" t="s">
        <v>268</v>
      </c>
      <c r="I52" s="18" t="s">
        <v>269</v>
      </c>
      <c r="J52" s="2" t="str">
        <f t="shared" si="3"/>
        <v>WCF LT(in vacuo)/m³@15℃</v>
      </c>
      <c r="K52"/>
      <c r="L52"/>
      <c r="M52"/>
      <c r="N52"/>
      <c r="P52" s="370"/>
      <c r="Q52" s="357" t="s">
        <v>515</v>
      </c>
      <c r="R52" s="357" t="s">
        <v>516</v>
      </c>
      <c r="S52" s="357" t="str">
        <f t="shared" si="2"/>
        <v>UTI&amp;Paste</v>
      </c>
    </row>
    <row r="53" ht="14.25" hidden="1" spans="8:19">
      <c r="H53" s="19" t="s">
        <v>240</v>
      </c>
      <c r="I53" s="20" t="s">
        <v>241</v>
      </c>
      <c r="J53" s="2" t="str">
        <f t="shared" si="3"/>
        <v>LT/MT [T-1] </v>
      </c>
      <c r="K53"/>
      <c r="L53"/>
      <c r="M53"/>
      <c r="N53"/>
      <c r="P53" s="370"/>
      <c r="Q53" s="357" t="s">
        <v>517</v>
      </c>
      <c r="R53" s="373" t="s">
        <v>518</v>
      </c>
      <c r="S53" s="357" t="str">
        <f t="shared" si="2"/>
        <v>MMC&amp;Paste</v>
      </c>
    </row>
    <row r="54" ht="14.25" hidden="1" spans="8:19">
      <c r="H54" s="19" t="s">
        <v>244</v>
      </c>
      <c r="I54" s="20" t="s">
        <v>245</v>
      </c>
      <c r="J54" s="2" t="str">
        <f t="shared" si="3"/>
        <v>LT/MT</v>
      </c>
      <c r="K54"/>
      <c r="L54"/>
      <c r="M54"/>
      <c r="N54"/>
      <c r="P54" s="370"/>
      <c r="Q54" s="357" t="s">
        <v>519</v>
      </c>
      <c r="R54" s="357" t="s">
        <v>520</v>
      </c>
      <c r="S54" s="357" t="str">
        <f t="shared" si="2"/>
        <v>UTI Ser. No.</v>
      </c>
    </row>
    <row r="55" ht="14.25" hidden="1" spans="8:19">
      <c r="H55" s="17" t="s">
        <v>273</v>
      </c>
      <c r="I55" s="18" t="s">
        <v>274</v>
      </c>
      <c r="J55" s="2" t="str">
        <f t="shared" si="3"/>
        <v>WCF LT(in vacuo)/bbls@60℉ [T-29]</v>
      </c>
      <c r="K55"/>
      <c r="L55"/>
      <c r="M55"/>
      <c r="N55"/>
      <c r="P55" s="370"/>
      <c r="Q55" s="357" t="s">
        <v>521</v>
      </c>
      <c r="R55" s="357" t="s">
        <v>522</v>
      </c>
      <c r="S55" s="357" t="str">
        <f t="shared" si="2"/>
        <v>Brand of Water Finding Paste</v>
      </c>
    </row>
    <row r="56" ht="14.25" hidden="1" spans="8:19">
      <c r="H56" s="17" t="s">
        <v>276</v>
      </c>
      <c r="I56" s="18" t="s">
        <v>277</v>
      </c>
      <c r="J56" s="2" t="str">
        <f t="shared" si="3"/>
        <v>WCF LT(in vacuo)/bbls@60℉</v>
      </c>
      <c r="K56"/>
      <c r="L56"/>
      <c r="M56"/>
      <c r="N56"/>
      <c r="P56" s="371" t="s">
        <v>523</v>
      </c>
      <c r="Q56" s="357" t="s">
        <v>524</v>
      </c>
      <c r="R56" s="357" t="s">
        <v>525</v>
      </c>
      <c r="S56" s="357" t="str">
        <f t="shared" si="2"/>
        <v>Tank No.</v>
      </c>
    </row>
    <row r="57" ht="14.25" hidden="1" spans="8:19">
      <c r="H57" s="17" t="s">
        <v>279</v>
      </c>
      <c r="I57" s="18" t="s">
        <v>280</v>
      </c>
      <c r="J57" s="2" t="str">
        <f t="shared" si="3"/>
        <v>WCF LT(in vacuo)/bbls@60℉ [T-11]</v>
      </c>
      <c r="K57"/>
      <c r="L57"/>
      <c r="M57"/>
      <c r="N57"/>
      <c r="P57" s="372"/>
      <c r="Q57" s="357" t="s">
        <v>526</v>
      </c>
      <c r="R57" s="373" t="s">
        <v>527</v>
      </c>
      <c r="S57" s="357" t="str">
        <f t="shared" si="2"/>
        <v>G.H.L.
(1)</v>
      </c>
    </row>
    <row r="58" ht="14.25" hidden="1" spans="8:19">
      <c r="H58" s="17" t="s">
        <v>276</v>
      </c>
      <c r="I58" s="18" t="s">
        <v>277</v>
      </c>
      <c r="J58" s="2" t="str">
        <f t="shared" si="3"/>
        <v>WCF LT(in vacuo)/bbls@60℉</v>
      </c>
      <c r="K58"/>
      <c r="L58"/>
      <c r="M58"/>
      <c r="N58"/>
      <c r="P58" s="372"/>
      <c r="Q58" s="357" t="s">
        <v>528</v>
      </c>
      <c r="R58" s="373" t="s">
        <v>529</v>
      </c>
      <c r="S58" s="357" t="str">
        <f t="shared" si="2"/>
        <v>Gauge</v>
      </c>
    </row>
    <row r="59" ht="14.25" hidden="1" spans="8:19">
      <c r="H59" s="22" t="s">
        <v>283</v>
      </c>
      <c r="I59" s="21" t="s">
        <v>284</v>
      </c>
      <c r="J59" s="2" t="str">
        <f t="shared" si="3"/>
        <v>bbls@60℉/m³@15℃ [T-52]</v>
      </c>
      <c r="K59"/>
      <c r="L59"/>
      <c r="M59"/>
      <c r="N59"/>
      <c r="P59" s="372"/>
      <c r="Q59" s="357" t="s">
        <v>530</v>
      </c>
      <c r="R59" s="357" t="s">
        <v>531</v>
      </c>
      <c r="S59" s="357" t="str">
        <f t="shared" si="2"/>
        <v>Interface</v>
      </c>
    </row>
    <row r="60" ht="14.25" hidden="1" spans="8:19">
      <c r="H60" s="22" t="s">
        <v>286</v>
      </c>
      <c r="I60" s="21" t="s">
        <v>287</v>
      </c>
      <c r="J60" s="2" t="str">
        <f t="shared" si="3"/>
        <v>bbls@60℉/m³@15℃</v>
      </c>
      <c r="K60"/>
      <c r="L60"/>
      <c r="M60"/>
      <c r="N60"/>
      <c r="P60" s="372"/>
      <c r="Q60" s="357" t="s">
        <v>532</v>
      </c>
      <c r="R60" s="373" t="s">
        <v>533</v>
      </c>
      <c r="S60" s="357" t="str">
        <f t="shared" si="2"/>
        <v>Temp</v>
      </c>
    </row>
    <row r="61" ht="14.25" hidden="1" spans="8:19">
      <c r="H61" s="23" t="s">
        <v>290</v>
      </c>
      <c r="I61" s="24" t="s">
        <v>291</v>
      </c>
      <c r="J61" s="2" t="str">
        <f t="shared" si="3"/>
        <v>bbls@60℉/MT(in air)</v>
      </c>
      <c r="K61"/>
      <c r="L61"/>
      <c r="M61"/>
      <c r="N61"/>
      <c r="P61" s="372"/>
      <c r="Q61" s="357" t="s">
        <v>534</v>
      </c>
      <c r="R61" s="357" t="s">
        <v>534</v>
      </c>
      <c r="S61" s="357" t="str">
        <f t="shared" si="2"/>
        <v>I/U
(2)</v>
      </c>
    </row>
    <row r="62" ht="14.25" hidden="1" spans="8:19">
      <c r="H62" s="2" t="s">
        <v>294</v>
      </c>
      <c r="I62" s="9" t="s">
        <v>295</v>
      </c>
      <c r="J62" s="2" t="str">
        <f t="shared" si="3"/>
        <v>Standard Volume</v>
      </c>
      <c r="K62"/>
      <c r="L62"/>
      <c r="M62"/>
      <c r="N62"/>
      <c r="P62" s="372"/>
      <c r="Q62" s="357" t="s">
        <v>535</v>
      </c>
      <c r="R62" s="373" t="s">
        <v>536</v>
      </c>
      <c r="S62" s="357" t="str">
        <f t="shared" si="2"/>
        <v>Obs'd</v>
      </c>
    </row>
    <row r="63" ht="16.5" hidden="1" spans="8:19">
      <c r="H63" s="2" t="s">
        <v>298</v>
      </c>
      <c r="I63" s="2" t="s">
        <v>299</v>
      </c>
      <c r="J63" s="2" t="str">
        <f t="shared" si="3"/>
        <v>m³@15℃/m³@20℃ [1/VCF(15℃)]</v>
      </c>
      <c r="K63"/>
      <c r="L63"/>
      <c r="M63"/>
      <c r="N63"/>
      <c r="P63" s="372"/>
      <c r="Q63" s="357" t="s">
        <v>537</v>
      </c>
      <c r="R63" s="373" t="s">
        <v>538</v>
      </c>
      <c r="S63" s="357" t="str">
        <f t="shared" si="2"/>
        <v>Corr'd</v>
      </c>
    </row>
    <row r="64" ht="14.25" hidden="1" spans="8:19">
      <c r="H64" s="22" t="s">
        <v>302</v>
      </c>
      <c r="I64" s="21" t="s">
        <v>303</v>
      </c>
      <c r="J64" s="2" t="str">
        <f t="shared" si="3"/>
        <v>m³@15℃/bbls@60℉ [T-22]</v>
      </c>
      <c r="K64"/>
      <c r="L64"/>
      <c r="M64"/>
      <c r="N64"/>
      <c r="P64" s="372"/>
      <c r="Q64" s="357" t="s">
        <v>539</v>
      </c>
      <c r="R64" s="373" t="s">
        <v>540</v>
      </c>
      <c r="S64" s="357" t="str">
        <f t="shared" si="2"/>
        <v>Total Observed Volume</v>
      </c>
    </row>
    <row r="65" ht="14.25" hidden="1" spans="8:19">
      <c r="H65" s="22" t="s">
        <v>306</v>
      </c>
      <c r="I65" s="19" t="s">
        <v>307</v>
      </c>
      <c r="J65" s="2" t="str">
        <f t="shared" si="3"/>
        <v>m³@15℃/bbls@60℉</v>
      </c>
      <c r="K65"/>
      <c r="L65"/>
      <c r="M65"/>
      <c r="N65"/>
      <c r="P65" s="372"/>
      <c r="Q65" s="357" t="s">
        <v>541</v>
      </c>
      <c r="R65" s="373" t="s">
        <v>542</v>
      </c>
      <c r="S65" s="357" t="str">
        <f t="shared" si="2"/>
        <v>Free Water</v>
      </c>
    </row>
    <row r="66" ht="14.25" hidden="1" spans="8:19">
      <c r="H66" s="22" t="s">
        <v>310</v>
      </c>
      <c r="I66" s="21" t="s">
        <v>311</v>
      </c>
      <c r="J66" s="2" t="str">
        <f t="shared" ref="J66:J85" si="4">IF(Report_Language=$H$1,H66,I66)</f>
        <v>m³@15℃/bbls@60℉ [T-4] </v>
      </c>
      <c r="K66"/>
      <c r="L66"/>
      <c r="M66"/>
      <c r="N66"/>
      <c r="P66" s="372"/>
      <c r="Q66" s="357" t="s">
        <v>543</v>
      </c>
      <c r="R66" s="357" t="s">
        <v>544</v>
      </c>
      <c r="S66" s="357" t="str">
        <f>IF(Report_Language=$Q$1,Q66,R66)</f>
        <v>Volume</v>
      </c>
    </row>
    <row r="67" ht="14.25" hidden="1" spans="8:19">
      <c r="H67" s="22" t="s">
        <v>306</v>
      </c>
      <c r="I67" s="21" t="s">
        <v>314</v>
      </c>
      <c r="J67" s="2" t="str">
        <f t="shared" si="4"/>
        <v>m³@15℃/bbls@60℉</v>
      </c>
      <c r="K67"/>
      <c r="L67"/>
      <c r="M67"/>
      <c r="N67"/>
      <c r="P67" s="372"/>
      <c r="Q67" s="357" t="s">
        <v>545</v>
      </c>
      <c r="R67" s="373" t="s">
        <v>546</v>
      </c>
      <c r="S67" s="357" t="str">
        <f t="shared" si="2"/>
        <v>Gross Observed Volume</v>
      </c>
    </row>
    <row r="68" ht="14.25" hidden="1" spans="8:19">
      <c r="H68" s="19" t="s">
        <v>317</v>
      </c>
      <c r="I68" s="19" t="s">
        <v>318</v>
      </c>
      <c r="J68" s="2" t="str">
        <f t="shared" si="4"/>
        <v>m³@20℃/m³@15℃ [1/VCF(20℃)]</v>
      </c>
      <c r="K68"/>
      <c r="L68"/>
      <c r="M68"/>
      <c r="N68"/>
      <c r="P68" s="372"/>
      <c r="Q68" s="357" t="s">
        <v>547</v>
      </c>
      <c r="R68" s="373" t="s">
        <v>548</v>
      </c>
      <c r="S68" s="357" t="str">
        <f t="shared" si="2"/>
        <v>VCF</v>
      </c>
    </row>
    <row r="69" ht="14.25" hidden="1" spans="8:19">
      <c r="H69" s="17" t="s">
        <v>321</v>
      </c>
      <c r="I69" s="17" t="s">
        <v>322</v>
      </c>
      <c r="J69" s="2" t="str">
        <f t="shared" si="4"/>
        <v>m³@20℃/bbls@60℉ [T-4] x VCF(59℉)/VCF(68℉)</v>
      </c>
      <c r="K69"/>
      <c r="L69"/>
      <c r="M69"/>
      <c r="N69"/>
      <c r="P69" s="372"/>
      <c r="Q69" s="357" t="s">
        <v>549</v>
      </c>
      <c r="R69" s="373" t="s">
        <v>550</v>
      </c>
      <c r="S69" s="357" t="str">
        <f t="shared" si="2"/>
        <v>Gross Standard Volume</v>
      </c>
    </row>
    <row r="70" ht="14.25" hidden="1" spans="8:19">
      <c r="H70" s="17" t="s">
        <v>325</v>
      </c>
      <c r="I70" s="17" t="s">
        <v>326</v>
      </c>
      <c r="J70" s="2" t="str">
        <f t="shared" si="4"/>
        <v>m³@20℃/bbls@60℉</v>
      </c>
      <c r="K70"/>
      <c r="L70"/>
      <c r="M70"/>
      <c r="N70"/>
      <c r="P70" s="372"/>
      <c r="Q70" s="357" t="s">
        <v>257</v>
      </c>
      <c r="R70" s="373" t="s">
        <v>550</v>
      </c>
      <c r="S70" s="357" t="str">
        <f t="shared" ref="S70:S94" si="5">IF(Report_Language=$Q$1,Q70,R70)</f>
        <v>GSV</v>
      </c>
    </row>
    <row r="71" ht="14.25" hidden="1" spans="8:19">
      <c r="H71" s="17" t="s">
        <v>329</v>
      </c>
      <c r="I71" s="17" t="s">
        <v>330</v>
      </c>
      <c r="J71" s="2" t="str">
        <f t="shared" si="4"/>
        <v>m³@20℃/bbls@60℉ [T-22] x VCF(59℉)/VCF(68℉)</v>
      </c>
      <c r="K71"/>
      <c r="L71"/>
      <c r="M71"/>
      <c r="N71"/>
      <c r="P71" s="372"/>
      <c r="Q71" s="357" t="s">
        <v>551</v>
      </c>
      <c r="R71" s="373" t="s">
        <v>552</v>
      </c>
      <c r="S71" s="357" t="str">
        <f t="shared" si="5"/>
        <v>TCV</v>
      </c>
    </row>
    <row r="72" ht="14.25" hidden="1" spans="8:19">
      <c r="H72" s="17" t="s">
        <v>325</v>
      </c>
      <c r="I72" s="17" t="s">
        <v>333</v>
      </c>
      <c r="J72" s="2" t="str">
        <f t="shared" si="4"/>
        <v>m³@20℃/bbls@60℉</v>
      </c>
      <c r="K72"/>
      <c r="L72"/>
      <c r="M72"/>
      <c r="N72"/>
      <c r="P72" s="372"/>
      <c r="Q72" s="357" t="s">
        <v>553</v>
      </c>
      <c r="R72" s="357" t="s">
        <v>554</v>
      </c>
      <c r="S72" s="357" t="str">
        <f t="shared" si="5"/>
        <v>TOTAL</v>
      </c>
    </row>
    <row r="73" ht="14.25" hidden="1" spans="8:19">
      <c r="H73" s="19" t="s">
        <v>336</v>
      </c>
      <c r="I73" s="21" t="s">
        <v>337</v>
      </c>
      <c r="J73" s="2" t="str">
        <f t="shared" si="4"/>
        <v>m³@30℃/m³@15℃ [1/VCF(30℃)]</v>
      </c>
      <c r="K73"/>
      <c r="L73"/>
      <c r="M73"/>
      <c r="N73"/>
      <c r="P73" s="372"/>
      <c r="Q73" s="357" t="s">
        <v>555</v>
      </c>
      <c r="R73" s="357" t="s">
        <v>556</v>
      </c>
      <c r="S73" s="357" t="str">
        <f t="shared" si="5"/>
        <v>Density@15℃</v>
      </c>
    </row>
    <row r="74" ht="14.25" hidden="1" spans="8:19">
      <c r="H74" s="19" t="s">
        <v>340</v>
      </c>
      <c r="I74" s="21" t="s">
        <v>341</v>
      </c>
      <c r="J74" s="2" t="str">
        <f t="shared" si="4"/>
        <v>m³@30℃/m³@20℃ [1/VCF(30℃)]</v>
      </c>
      <c r="K74"/>
      <c r="L74"/>
      <c r="M74"/>
      <c r="N74"/>
      <c r="P74" s="372"/>
      <c r="Q74" s="357" t="s">
        <v>557</v>
      </c>
      <c r="R74" s="357" t="s">
        <v>558</v>
      </c>
      <c r="S74" s="357" t="str">
        <f t="shared" si="5"/>
        <v>Density@20℃</v>
      </c>
    </row>
    <row r="75" ht="14.25" hidden="1" spans="8:19">
      <c r="H75" s="17" t="s">
        <v>344</v>
      </c>
      <c r="I75" s="17" t="s">
        <v>345</v>
      </c>
      <c r="J75" s="2" t="str">
        <f t="shared" si="4"/>
        <v>m³@30℃/bbls@60℉ [T-4] x VCF(59℉)/VCF(86℉)</v>
      </c>
      <c r="K75"/>
      <c r="L75"/>
      <c r="M75"/>
      <c r="N75"/>
      <c r="P75" s="372"/>
      <c r="Q75" s="357" t="s">
        <v>559</v>
      </c>
      <c r="R75" s="357" t="s">
        <v>560</v>
      </c>
      <c r="S75" s="357" t="str">
        <f t="shared" si="5"/>
        <v>API@60℉</v>
      </c>
    </row>
    <row r="76" ht="14.25" hidden="1" spans="8:19">
      <c r="H76" s="17" t="s">
        <v>348</v>
      </c>
      <c r="I76" s="17" t="s">
        <v>349</v>
      </c>
      <c r="J76" s="2" t="str">
        <f t="shared" si="4"/>
        <v>m³@30℃/bbls@60℉</v>
      </c>
      <c r="K76"/>
      <c r="L76"/>
      <c r="M76"/>
      <c r="N76"/>
      <c r="P76" s="372"/>
      <c r="Q76" s="357" t="s">
        <v>561</v>
      </c>
      <c r="R76" s="357" t="s">
        <v>562</v>
      </c>
      <c r="S76" s="357" t="str">
        <f t="shared" si="5"/>
        <v>S.G.@60℉/60℉</v>
      </c>
    </row>
    <row r="77" ht="14.25" hidden="1" spans="8:19">
      <c r="H77" s="17" t="s">
        <v>350</v>
      </c>
      <c r="I77" s="17" t="s">
        <v>351</v>
      </c>
      <c r="J77" s="2" t="str">
        <f t="shared" si="4"/>
        <v>m³@30℃/bbls@60℉ [T-22] x VCF(59℉)/VCF(86℉)</v>
      </c>
      <c r="K77"/>
      <c r="L77"/>
      <c r="M77"/>
      <c r="N77"/>
      <c r="Q77" s="357" t="s">
        <v>563</v>
      </c>
      <c r="R77" s="373" t="s">
        <v>564</v>
      </c>
      <c r="S77" s="357" t="str">
        <f t="shared" si="5"/>
        <v>Liquid</v>
      </c>
    </row>
    <row r="78" ht="14.25" hidden="1" spans="8:19">
      <c r="H78" s="17" t="s">
        <v>348</v>
      </c>
      <c r="I78" s="17" t="s">
        <v>352</v>
      </c>
      <c r="J78" s="2" t="str">
        <f t="shared" si="4"/>
        <v>m³@30℃/bbls@60℉</v>
      </c>
      <c r="K78"/>
      <c r="L78"/>
      <c r="M78"/>
      <c r="N78"/>
      <c r="Q78" s="357" t="s">
        <v>565</v>
      </c>
      <c r="R78" s="373" t="s">
        <v>566</v>
      </c>
      <c r="S78" s="357" t="str">
        <f t="shared" si="5"/>
        <v>Nonliquid</v>
      </c>
    </row>
    <row r="79" ht="14.25" hidden="1" spans="8:19">
      <c r="H79" s="5" t="s">
        <v>353</v>
      </c>
      <c r="I79" s="32" t="s">
        <v>354</v>
      </c>
      <c r="J79" s="2" t="str">
        <f t="shared" si="4"/>
        <v>US Gallon/US Barrels [T-1]</v>
      </c>
      <c r="K79"/>
      <c r="L79"/>
      <c r="M79"/>
      <c r="N79"/>
      <c r="Q79" s="357" t="s">
        <v>567</v>
      </c>
      <c r="R79" s="373" t="s">
        <v>568</v>
      </c>
      <c r="S79" s="357" t="str">
        <f t="shared" si="5"/>
        <v>Table</v>
      </c>
    </row>
    <row r="80" ht="14.25" hidden="1" spans="8:19">
      <c r="H80" s="33" t="s">
        <v>355</v>
      </c>
      <c r="I80" s="33" t="s">
        <v>356</v>
      </c>
      <c r="J80" s="2" t="str">
        <f t="shared" si="4"/>
        <v>Master/Chief Officer</v>
      </c>
      <c r="K80"/>
      <c r="L80"/>
      <c r="M80"/>
      <c r="N80"/>
      <c r="Q80" s="357" t="s">
        <v>569</v>
      </c>
      <c r="R80" s="373" t="s">
        <v>570</v>
      </c>
      <c r="S80" s="357" t="str">
        <f t="shared" si="5"/>
        <v>Wedge</v>
      </c>
    </row>
    <row r="81" ht="14.25" hidden="1" spans="8:19">
      <c r="H81" s="34" t="s">
        <v>357</v>
      </c>
      <c r="I81" s="34" t="s">
        <v>358</v>
      </c>
      <c r="J81" s="2" t="str">
        <f t="shared" si="4"/>
        <v>CCIC Surveyor</v>
      </c>
      <c r="K81"/>
      <c r="L81"/>
      <c r="M81"/>
      <c r="N81"/>
      <c r="Q81" s="357" t="s">
        <v>571</v>
      </c>
      <c r="R81" s="357" t="s">
        <v>572</v>
      </c>
      <c r="S81" s="357" t="str">
        <f t="shared" si="5"/>
        <v>(1) G.H.L. -- Gauge Hatch Location, F = Forward; C = Center; A = Aft; M = Average of the multiple gauge points readings.</v>
      </c>
    </row>
    <row r="82" ht="14.25" hidden="1" spans="8:19">
      <c r="H82" s="33" t="s">
        <v>359</v>
      </c>
      <c r="I82" s="33" t="s">
        <v>360</v>
      </c>
      <c r="J82" s="2" t="str">
        <f t="shared" si="4"/>
        <v>Name</v>
      </c>
      <c r="K82"/>
      <c r="L82"/>
      <c r="M82"/>
      <c r="N82"/>
      <c r="Q82" s="357" t="s">
        <v>573</v>
      </c>
      <c r="R82" s="357" t="s">
        <v>574</v>
      </c>
      <c r="S82" s="357" t="str">
        <f t="shared" si="5"/>
        <v>(2) I/U -- Innage/Ullage, I = Innage; U = Ullage.</v>
      </c>
    </row>
    <row r="83" ht="14.25" hidden="1" spans="8:19">
      <c r="H83" s="34" t="s">
        <v>361</v>
      </c>
      <c r="I83" s="34" t="s">
        <v>362</v>
      </c>
      <c r="J83" s="2" t="str">
        <f t="shared" si="4"/>
        <v>Signature</v>
      </c>
      <c r="K83"/>
      <c r="L83"/>
      <c r="M83"/>
      <c r="N83"/>
      <c r="Q83" s="357" t="s">
        <v>1107</v>
      </c>
      <c r="R83" s="373" t="s">
        <v>1108</v>
      </c>
      <c r="S83" s="357" t="str">
        <f t="shared" si="5"/>
        <v>TOTAL QUANTITY OF ROB</v>
      </c>
    </row>
    <row r="84" ht="14.25" hidden="1" spans="8:19">
      <c r="H84" s="33" t="s">
        <v>363</v>
      </c>
      <c r="I84" s="33" t="s">
        <v>364</v>
      </c>
      <c r="J84" s="2" t="str">
        <f t="shared" si="4"/>
        <v>Authorized Signature (S)</v>
      </c>
      <c r="K84"/>
      <c r="L84"/>
      <c r="M84"/>
      <c r="N84"/>
      <c r="Q84" s="357" t="s">
        <v>577</v>
      </c>
      <c r="R84" s="373" t="s">
        <v>1109</v>
      </c>
      <c r="S84" s="357" t="str">
        <f t="shared" si="5"/>
        <v>Top Lines</v>
      </c>
    </row>
    <row r="85" ht="14.25" hidden="1" spans="8:19">
      <c r="H85" s="34" t="s">
        <v>74</v>
      </c>
      <c r="I85" s="34" t="s">
        <v>75</v>
      </c>
      <c r="J85" s="2" t="str">
        <f t="shared" si="4"/>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K85"/>
      <c r="L85"/>
      <c r="M85"/>
      <c r="N85"/>
      <c r="Q85" s="357" t="s">
        <v>579</v>
      </c>
      <c r="R85" s="373" t="s">
        <v>580</v>
      </c>
      <c r="S85" s="357" t="str">
        <f t="shared" si="5"/>
        <v>Bottom Lines</v>
      </c>
    </row>
    <row r="86" hidden="1" spans="17:19">
      <c r="Q86" s="357" t="s">
        <v>581</v>
      </c>
      <c r="R86" s="357" t="s">
        <v>582</v>
      </c>
      <c r="S86" s="357" t="str">
        <f t="shared" si="5"/>
        <v>Hoses/Arms</v>
      </c>
    </row>
    <row r="87" hidden="1" spans="17:19">
      <c r="Q87" s="357" t="s">
        <v>583</v>
      </c>
      <c r="R87" s="373" t="s">
        <v>584</v>
      </c>
      <c r="S87" s="357" t="str">
        <f t="shared" si="5"/>
        <v>Stripped</v>
      </c>
    </row>
    <row r="88" hidden="1" spans="17:19">
      <c r="Q88" s="357" t="s">
        <v>585</v>
      </c>
      <c r="R88" s="373" t="s">
        <v>586</v>
      </c>
      <c r="S88" s="357" t="str">
        <f t="shared" si="5"/>
        <v>Dropped</v>
      </c>
    </row>
    <row r="89" hidden="1" spans="17:19">
      <c r="Q89" s="357" t="s">
        <v>587</v>
      </c>
      <c r="R89" s="373" t="s">
        <v>588</v>
      </c>
      <c r="S89" s="357" t="str">
        <f t="shared" si="5"/>
        <v>To Tank No.</v>
      </c>
    </row>
    <row r="90" hidden="1" spans="17:19">
      <c r="Q90" s="357" t="s">
        <v>589</v>
      </c>
      <c r="R90" s="373" t="s">
        <v>590</v>
      </c>
      <c r="S90" s="357" t="str">
        <f t="shared" si="5"/>
        <v>Ballast Tanks Used during Discharge</v>
      </c>
    </row>
    <row r="91" hidden="1" spans="17:19">
      <c r="Q91" s="357" t="s">
        <v>591</v>
      </c>
      <c r="R91" s="373" t="s">
        <v>592</v>
      </c>
      <c r="S91" s="357" t="str">
        <f t="shared" si="5"/>
        <v>Sea Valve Seal Numbers</v>
      </c>
    </row>
    <row r="92" ht="13.5" hidden="1" spans="17:19">
      <c r="Q92" s="790" t="s">
        <v>593</v>
      </c>
      <c r="R92" s="790" t="s">
        <v>594</v>
      </c>
      <c r="S92" s="357" t="str">
        <f t="shared" si="5"/>
        <v>- Reference Standards: API MPMS Chapter 3.1A (2013), Chapter 7 (2012), Chapter 17.4 (2016), Chapter 17.11(2016).</v>
      </c>
    </row>
    <row r="93" hidden="1" spans="17:19">
      <c r="Q93" s="790" t="s">
        <v>1110</v>
      </c>
      <c r="R93" s="790" t="s">
        <v>1111</v>
      </c>
      <c r="S93" s="357" t="str">
        <f t="shared" si="5"/>
        <v>- The above ROB does not  address clingage, remaining in vessel’s lines, or cargo pumpablity. unless otherwise stated in this report.</v>
      </c>
    </row>
    <row r="94" hidden="1" spans="17:19">
      <c r="Q94" s="790" t="s">
        <v>597</v>
      </c>
      <c r="R94" s="790" t="s">
        <v>598</v>
      </c>
      <c r="S94" s="357" t="str">
        <f t="shared" si="5"/>
        <v>- Wedge volume refer to the wedge calculation report.</v>
      </c>
    </row>
    <row r="95" hidden="1" spans="17:26">
      <c r="Q95" s="357" t="s">
        <v>449</v>
      </c>
      <c r="R95" s="357" t="s">
        <v>450</v>
      </c>
      <c r="S95" s="357" t="str">
        <f>IF(Report_Language=$Q$1,Q95,R95)</f>
        <v>Yes</v>
      </c>
      <c r="Y95" s="357" t="s">
        <v>599</v>
      </c>
      <c r="Z95" s="357">
        <f>SUM(AA122:AA139)</f>
        <v>23</v>
      </c>
    </row>
    <row r="96" hidden="1" spans="17:26">
      <c r="Q96" s="357" t="s">
        <v>451</v>
      </c>
      <c r="R96" s="357" t="s">
        <v>452</v>
      </c>
      <c r="S96" s="357" t="str">
        <f>IF(Report_Language=$Q$1,Q96,R96)</f>
        <v>No</v>
      </c>
      <c r="Y96" s="357" t="s">
        <v>600</v>
      </c>
      <c r="Z96" s="357">
        <f>IF($AA$121=立方米,Z95,T_1_bbls_to_cbm(Z95))</f>
        <v>23</v>
      </c>
    </row>
    <row r="97" hidden="1" spans="17:26">
      <c r="Q97" s="790" t="s">
        <v>601</v>
      </c>
      <c r="R97" s="790" t="s">
        <v>601</v>
      </c>
      <c r="S97" s="357" t="str">
        <f>IF(Report_Language=$Q$1,Q97,R97)</f>
        <v>--</v>
      </c>
      <c r="Y97" s="357" t="s">
        <v>602</v>
      </c>
      <c r="Z97" s="357">
        <f>IF($AA$121=立方米,T_1_cbm_to_bbls(Z95),Z95)</f>
        <v>144.665676</v>
      </c>
    </row>
    <row r="98" hidden="1" spans="17:19">
      <c r="Q98" s="357" t="s">
        <v>1112</v>
      </c>
      <c r="R98" s="373" t="s">
        <v>1113</v>
      </c>
      <c r="S98" s="357" t="str">
        <f>IF(Report_Language=$Q$1,Q98,R98)</f>
        <v>REMAINING ON BOARD REPORT </v>
      </c>
    </row>
    <row r="99" hidden="1"/>
    <row r="100" hidden="1"/>
    <row r="101" ht="18" hidden="1" customHeight="1" spans="1:32">
      <c r="A101" t="str">
        <f t="shared" ref="A101:A166" si="6">IF(OR(B101="隐藏",C101="隐藏"),"隐藏","显示")</f>
        <v>显示</v>
      </c>
      <c r="O101" s="379"/>
      <c r="P101" s="379"/>
      <c r="Q101" s="379"/>
      <c r="R101" s="379"/>
      <c r="S101" s="379"/>
      <c r="T101" s="379"/>
      <c r="U101" s="379"/>
      <c r="V101" s="379"/>
      <c r="W101" s="393"/>
      <c r="X101" s="393"/>
      <c r="Y101" s="393"/>
      <c r="Z101" s="393"/>
      <c r="AA101" s="410"/>
      <c r="AB101" s="410"/>
      <c r="AC101" s="410"/>
      <c r="AD101" s="410"/>
      <c r="AE101" s="410"/>
      <c r="AF101" s="410"/>
    </row>
    <row r="102" ht="18" hidden="1" customHeight="1" spans="1:32">
      <c r="A102" t="str">
        <f t="shared" si="6"/>
        <v>显示</v>
      </c>
      <c r="O102" s="380"/>
      <c r="P102" s="380"/>
      <c r="Q102" s="380"/>
      <c r="R102" s="380"/>
      <c r="S102" s="380"/>
      <c r="T102" s="394"/>
      <c r="U102" s="394"/>
      <c r="V102" s="394"/>
      <c r="W102" s="394"/>
      <c r="X102" s="394"/>
      <c r="Y102" s="394"/>
      <c r="Z102" s="394"/>
      <c r="AA102" s="410"/>
      <c r="AB102" s="410"/>
      <c r="AC102" s="410"/>
      <c r="AD102" s="410"/>
      <c r="AE102" s="410"/>
      <c r="AF102" s="410"/>
    </row>
    <row r="103" ht="10.2" customHeight="1" spans="1:30">
      <c r="A103" t="str">
        <f t="shared" si="6"/>
        <v>显示</v>
      </c>
      <c r="Z103" s="357" t="str">
        <f>S2</f>
        <v>JOB NO.</v>
      </c>
      <c r="AB103" s="411" t="str">
        <f>单号</f>
        <v>这就是爱</v>
      </c>
      <c r="AC103" s="411"/>
      <c r="AD103" s="411"/>
    </row>
    <row r="104" ht="14.25" spans="1:30">
      <c r="A104" t="str">
        <f t="shared" si="6"/>
        <v>显示</v>
      </c>
      <c r="Z104" s="357" t="str">
        <f>S3</f>
        <v>DATE OF REPORT</v>
      </c>
      <c r="AB104" s="412" t="str">
        <f>报告日期</f>
        <v>YYYY-MM-DD</v>
      </c>
      <c r="AC104" s="412"/>
      <c r="AD104" s="412"/>
    </row>
    <row r="105" ht="28.8" customHeight="1" spans="1:4">
      <c r="A105" t="str">
        <f t="shared" si="6"/>
        <v>显示</v>
      </c>
      <c r="D105" s="373"/>
    </row>
    <row r="106" ht="10.95" customHeight="1" spans="1:30">
      <c r="A106" t="str">
        <f t="shared" si="6"/>
        <v>显示</v>
      </c>
      <c r="B106" s="376" t="str">
        <f>IF(隐藏客户名称,"隐藏","显示")</f>
        <v>显示</v>
      </c>
      <c r="C106" s="377" t="b">
        <v>0</v>
      </c>
      <c r="D106" s="377"/>
      <c r="E106" s="377"/>
      <c r="F106" s="377"/>
      <c r="G106" s="377"/>
      <c r="O106" s="381" t="str">
        <f>S98</f>
        <v>REMAINING ON BOARD REPORT </v>
      </c>
      <c r="P106" s="381"/>
      <c r="Q106" s="381"/>
      <c r="R106" s="381"/>
      <c r="S106" s="381"/>
      <c r="T106" s="381"/>
      <c r="U106" s="381"/>
      <c r="V106" s="395"/>
      <c r="W106" s="396" t="str">
        <f>J4</f>
        <v>APPLICANT</v>
      </c>
      <c r="X106" s="396"/>
      <c r="Y106" s="396"/>
      <c r="Z106" s="413" t="str">
        <f>客户名</f>
        <v>PETROCHINA </v>
      </c>
      <c r="AA106" s="413"/>
      <c r="AB106" s="413"/>
      <c r="AC106" s="413"/>
      <c r="AD106" s="413"/>
    </row>
    <row r="107" ht="10.95" customHeight="1" spans="1:30">
      <c r="A107" t="str">
        <f t="shared" si="6"/>
        <v>显示</v>
      </c>
      <c r="B107" s="376" t="str">
        <f>IF(隐藏客户编号,"隐藏","显示")</f>
        <v>显示</v>
      </c>
      <c r="C107" s="377" t="b">
        <v>0</v>
      </c>
      <c r="D107" s="377"/>
      <c r="E107" s="377"/>
      <c r="F107" s="377"/>
      <c r="G107" s="377"/>
      <c r="O107" s="381"/>
      <c r="P107" s="381"/>
      <c r="Q107" s="381"/>
      <c r="R107" s="381"/>
      <c r="S107" s="381"/>
      <c r="T107" s="381"/>
      <c r="U107" s="381"/>
      <c r="V107" s="395"/>
      <c r="W107" s="396" t="str">
        <f t="shared" ref="W107:W112" si="7">J5</f>
        <v>CLIENT'S REF. NO.</v>
      </c>
      <c r="X107" s="396"/>
      <c r="Y107" s="396"/>
      <c r="Z107" s="413" t="str">
        <f>客户编号</f>
        <v>说也说不清楚</v>
      </c>
      <c r="AA107" s="413"/>
      <c r="AB107" s="413"/>
      <c r="AC107" s="413"/>
      <c r="AD107" s="413"/>
    </row>
    <row r="108" ht="10.95" customHeight="1" spans="1:30">
      <c r="A108" t="str">
        <f t="shared" si="6"/>
        <v>显示</v>
      </c>
      <c r="B108" s="376"/>
      <c r="C108" s="377"/>
      <c r="D108" s="377"/>
      <c r="E108" s="377"/>
      <c r="F108" s="377"/>
      <c r="G108" s="377"/>
      <c r="O108" s="381"/>
      <c r="P108" s="381"/>
      <c r="Q108" s="381"/>
      <c r="R108" s="381"/>
      <c r="S108" s="381"/>
      <c r="T108" s="381"/>
      <c r="U108" s="381"/>
      <c r="V108" s="395"/>
      <c r="W108" s="396" t="str">
        <f t="shared" si="7"/>
        <v>COMMODITY</v>
      </c>
      <c r="X108" s="396"/>
      <c r="Y108" s="396"/>
      <c r="Z108" s="413" t="str">
        <f>品名</f>
        <v>Crude Oil6658</v>
      </c>
      <c r="AA108" s="413"/>
      <c r="AB108" s="413"/>
      <c r="AC108" s="413"/>
      <c r="AD108" s="413"/>
    </row>
    <row r="109" ht="10.95" customHeight="1" spans="1:30">
      <c r="A109" t="str">
        <f t="shared" si="6"/>
        <v>显示</v>
      </c>
      <c r="B109" s="376" t="str">
        <f>IF(隐藏船名,"隐藏","显示")</f>
        <v>显示</v>
      </c>
      <c r="C109" s="377" t="b">
        <v>0</v>
      </c>
      <c r="D109" s="377"/>
      <c r="E109" s="377"/>
      <c r="F109" s="377"/>
      <c r="G109" s="377"/>
      <c r="O109" s="381"/>
      <c r="P109" s="381"/>
      <c r="Q109" s="381"/>
      <c r="R109" s="381"/>
      <c r="S109" s="381"/>
      <c r="T109" s="381"/>
      <c r="U109" s="381"/>
      <c r="V109" s="395"/>
      <c r="W109" s="396" t="str">
        <f t="shared" si="7"/>
        <v>VESSEL</v>
      </c>
      <c r="X109" s="396"/>
      <c r="Y109" s="396"/>
      <c r="Z109" s="413" t="str">
        <f>船名</f>
        <v>MT ZhenYuanefdasdf</v>
      </c>
      <c r="AA109" s="413"/>
      <c r="AB109" s="413"/>
      <c r="AC109" s="413"/>
      <c r="AD109" s="413"/>
    </row>
    <row r="110" ht="10.95" customHeight="1" spans="1:30">
      <c r="A110" t="str">
        <f t="shared" si="6"/>
        <v>显示</v>
      </c>
      <c r="B110" s="376" t="str">
        <f>IF(隐藏港口名称,"隐藏","显示")</f>
        <v>显示</v>
      </c>
      <c r="C110" s="377" t="b">
        <v>0</v>
      </c>
      <c r="D110" s="377"/>
      <c r="E110" s="377"/>
      <c r="F110" s="377"/>
      <c r="G110" s="377"/>
      <c r="O110" s="381"/>
      <c r="P110" s="381"/>
      <c r="Q110" s="381"/>
      <c r="R110" s="381"/>
      <c r="S110" s="381"/>
      <c r="T110" s="381"/>
      <c r="U110" s="381"/>
      <c r="V110" s="395"/>
      <c r="W110" s="396" t="str">
        <f t="shared" si="7"/>
        <v>PORT</v>
      </c>
      <c r="X110" s="396"/>
      <c r="Y110" s="396"/>
      <c r="Z110" s="413" t="str">
        <f>港口名</f>
        <v>Dalian, Chinafsadfa</v>
      </c>
      <c r="AA110" s="413"/>
      <c r="AB110" s="413"/>
      <c r="AC110" s="413"/>
      <c r="AD110" s="413"/>
    </row>
    <row r="111" ht="10.95" customHeight="1" spans="1:30">
      <c r="A111" t="str">
        <f t="shared" si="6"/>
        <v>显示</v>
      </c>
      <c r="B111" s="376" t="str">
        <f>IF(隐藏油库名称,"隐藏","显示")</f>
        <v>显示</v>
      </c>
      <c r="C111" s="377" t="b">
        <v>0</v>
      </c>
      <c r="D111" s="377"/>
      <c r="E111" s="377"/>
      <c r="F111" s="377"/>
      <c r="G111" s="377"/>
      <c r="O111" s="381"/>
      <c r="P111" s="381"/>
      <c r="Q111" s="381"/>
      <c r="R111" s="381"/>
      <c r="S111" s="381"/>
      <c r="T111" s="381"/>
      <c r="U111" s="381"/>
      <c r="V111" s="395"/>
      <c r="W111" s="396" t="str">
        <f t="shared" si="7"/>
        <v>TERMINAL</v>
      </c>
      <c r="X111" s="396"/>
      <c r="Y111" s="396"/>
      <c r="Z111" s="413" t="str">
        <f>油库名</f>
        <v>Dalian Chinaoil, China1325415</v>
      </c>
      <c r="AA111" s="413"/>
      <c r="AB111" s="413"/>
      <c r="AC111" s="413"/>
      <c r="AD111" s="413"/>
    </row>
    <row r="112" ht="10.95" customHeight="1" spans="1:30">
      <c r="A112" t="str">
        <f t="shared" si="6"/>
        <v>显示</v>
      </c>
      <c r="B112" s="377"/>
      <c r="C112" s="377"/>
      <c r="D112" s="377"/>
      <c r="E112" s="377"/>
      <c r="F112" s="377"/>
      <c r="G112" s="377"/>
      <c r="O112" s="381"/>
      <c r="P112" s="381"/>
      <c r="Q112" s="381"/>
      <c r="R112" s="381"/>
      <c r="S112" s="381"/>
      <c r="T112" s="381"/>
      <c r="U112" s="381"/>
      <c r="V112" s="395"/>
      <c r="W112" s="396" t="str">
        <f t="shared" si="7"/>
        <v>DATE OF INSPECTION</v>
      </c>
      <c r="X112" s="396"/>
      <c r="Y112" s="396"/>
      <c r="Z112" s="413" t="str">
        <f>检验日期</f>
        <v>YYYY-MM-DD To YYYY-MM-DD</v>
      </c>
      <c r="AA112" s="413"/>
      <c r="AB112" s="413"/>
      <c r="AC112" s="413"/>
      <c r="AD112" s="413"/>
    </row>
    <row r="113" ht="7.95" customHeight="1" spans="1:23">
      <c r="A113" t="str">
        <f t="shared" si="6"/>
        <v>显示</v>
      </c>
      <c r="B113" s="377"/>
      <c r="C113" s="377"/>
      <c r="D113" s="377"/>
      <c r="E113" s="377"/>
      <c r="F113" s="377"/>
      <c r="G113" s="377"/>
      <c r="Q113" s="382"/>
      <c r="W113" s="397"/>
    </row>
    <row r="114" ht="7.95" customHeight="1" spans="1:1">
      <c r="A114" t="str">
        <f t="shared" si="6"/>
        <v>显示</v>
      </c>
    </row>
    <row r="115" ht="13.8" customHeight="1" spans="1:30">
      <c r="A115" t="str">
        <f t="shared" si="6"/>
        <v>显示</v>
      </c>
      <c r="O115" s="382" t="str">
        <f>S20</f>
        <v>Date :</v>
      </c>
      <c r="P115" s="383">
        <v>43871</v>
      </c>
      <c r="Q115" s="383"/>
      <c r="R115" s="383"/>
      <c r="T115" s="398" t="str">
        <f>S22</f>
        <v>Draft Fwd :</v>
      </c>
      <c r="U115" s="399">
        <v>3.2</v>
      </c>
      <c r="V115" s="357" t="str">
        <f>S37</f>
        <v>m</v>
      </c>
      <c r="W115" s="397" t="str">
        <f>S25</f>
        <v>Trim :</v>
      </c>
      <c r="Y115" s="414">
        <f>ABS(U116-U115)</f>
        <v>5.3</v>
      </c>
      <c r="Z115" s="397" t="str">
        <f>IF(OR(U115="",U116=""),"m",IF(U115&gt;U116,IF(Report_Language="英文 English","m By Head","米 艏倾"),IF(U115&lt;U116,IF(Report_Language="英文 English","m By Stern","米 艉倾"),IF(Report_Language="英文 English","Even Keel","平吃水"))))</f>
        <v>m By Stern</v>
      </c>
      <c r="AA115" s="415"/>
      <c r="AB115" s="415"/>
      <c r="AC115" s="416" t="str">
        <f>N7</f>
        <v>Density@15℃ (g/cm³)</v>
      </c>
      <c r="AD115" s="399">
        <v>0.981</v>
      </c>
    </row>
    <row r="116" ht="12" customHeight="1" spans="1:32">
      <c r="A116" t="str">
        <f t="shared" si="6"/>
        <v>显示</v>
      </c>
      <c r="O116" s="382" t="str">
        <f>S21</f>
        <v>Time :</v>
      </c>
      <c r="P116" s="384">
        <v>0.989583333333333</v>
      </c>
      <c r="Q116" s="384"/>
      <c r="R116" s="384"/>
      <c r="T116" s="398" t="str">
        <f>S23</f>
        <v>Draft Aft :</v>
      </c>
      <c r="U116" s="399">
        <v>8.5</v>
      </c>
      <c r="V116" s="357" t="str">
        <f>V115</f>
        <v>m</v>
      </c>
      <c r="W116" s="397" t="str">
        <f>S24</f>
        <v>List :</v>
      </c>
      <c r="Y116" s="417" t="str">
        <f>S28</f>
        <v>Upright</v>
      </c>
      <c r="AB116" s="418" t="str">
        <f>IF(OR(vcfTab="T-6C",vcfTab="T-24C"),F104,IF(OR(vcfTab="T-54C",vcfTab="T-60C"),F105,""))</f>
        <v/>
      </c>
      <c r="AC116" s="419">
        <v>0.00067</v>
      </c>
      <c r="AD116" s="419"/>
      <c r="AF116" s="420"/>
    </row>
    <row r="117" ht="6.6" customHeight="1" spans="1:1">
      <c r="A117" t="str">
        <f t="shared" si="6"/>
        <v>显示</v>
      </c>
    </row>
    <row r="118" ht="16.05" customHeight="1" spans="1:30">
      <c r="A118" t="str">
        <f t="shared" si="6"/>
        <v>显示</v>
      </c>
      <c r="O118" s="385" t="str">
        <f>S56</f>
        <v>Tank No.</v>
      </c>
      <c r="P118" s="386" t="str">
        <f>S57</f>
        <v>G.H.L.
(1)</v>
      </c>
      <c r="Q118" s="400" t="str">
        <f>S58</f>
        <v>Gauge</v>
      </c>
      <c r="R118" s="401"/>
      <c r="S118" s="402"/>
      <c r="T118" s="400" t="str">
        <f>S64</f>
        <v>Total Observed Volume</v>
      </c>
      <c r="U118" s="401"/>
      <c r="V118" s="402"/>
      <c r="W118" s="400" t="str">
        <f>S65</f>
        <v>Free Water</v>
      </c>
      <c r="X118" s="401"/>
      <c r="Y118" s="401"/>
      <c r="Z118" s="402"/>
      <c r="AA118" s="386" t="str">
        <f>S67</f>
        <v>Gross Observed Volume</v>
      </c>
      <c r="AB118" s="421" t="str">
        <f>S60</f>
        <v>Temp</v>
      </c>
      <c r="AC118" s="421" t="str">
        <f>S68</f>
        <v>VCF</v>
      </c>
      <c r="AD118" s="422" t="str">
        <f>S69</f>
        <v>Gross Standard Volume</v>
      </c>
    </row>
    <row r="119" ht="16.05" customHeight="1" spans="1:30">
      <c r="A119" t="str">
        <f t="shared" si="6"/>
        <v>显示</v>
      </c>
      <c r="O119" s="387"/>
      <c r="P119" s="388"/>
      <c r="Q119" s="388" t="str">
        <f>S61</f>
        <v>I/U
(2)</v>
      </c>
      <c r="R119" s="403" t="str">
        <f>S62</f>
        <v>Obs'd</v>
      </c>
      <c r="S119" s="403" t="str">
        <f>S63</f>
        <v>Corr'd</v>
      </c>
      <c r="T119" s="404" t="str">
        <f>S77</f>
        <v>Liquid</v>
      </c>
      <c r="U119" s="405"/>
      <c r="V119" s="388" t="str">
        <f>S78</f>
        <v>Nonliquid</v>
      </c>
      <c r="W119" s="404" t="str">
        <f>S58</f>
        <v>Gauge</v>
      </c>
      <c r="X119" s="405"/>
      <c r="Y119" s="423" t="str">
        <f>S66</f>
        <v>Volume</v>
      </c>
      <c r="Z119" s="424"/>
      <c r="AA119" s="388"/>
      <c r="AB119" s="403"/>
      <c r="AC119" s="403"/>
      <c r="AD119" s="425"/>
    </row>
    <row r="120" ht="16.05" customHeight="1" spans="1:30">
      <c r="A120" t="str">
        <f t="shared" si="6"/>
        <v>显示</v>
      </c>
      <c r="O120" s="387"/>
      <c r="P120" s="388"/>
      <c r="Q120" s="388"/>
      <c r="R120" s="403"/>
      <c r="S120" s="403"/>
      <c r="T120" s="403" t="str">
        <f>S79</f>
        <v>Table</v>
      </c>
      <c r="U120" s="388" t="str">
        <f>S80</f>
        <v>Wedge</v>
      </c>
      <c r="V120" s="388"/>
      <c r="W120" s="388" t="str">
        <f>S61</f>
        <v>I/U
(2)</v>
      </c>
      <c r="X120" s="388" t="str">
        <f>R119</f>
        <v>Obs'd</v>
      </c>
      <c r="Y120" s="388" t="str">
        <f>T120</f>
        <v>Table</v>
      </c>
      <c r="Z120" s="388" t="str">
        <f>U120</f>
        <v>Wedge</v>
      </c>
      <c r="AA120" s="388"/>
      <c r="AB120" s="403"/>
      <c r="AC120" s="426" t="str">
        <f>vcfTab</f>
        <v>T-60B</v>
      </c>
      <c r="AD120" s="425" t="str">
        <f>IF(LEFT($AC$120,4)="T-54",$S$38&amp;CHAR(10)&amp;"@15℃",IF(LEFT($AC$120,4)="T-60",$S$38&amp;CHAR(10)&amp;"@20℃",$S$39&amp;CHAR(10)&amp;"@60℉"))</f>
        <v>m³
@20℃</v>
      </c>
    </row>
    <row r="121" ht="16.05" customHeight="1" spans="1:30">
      <c r="A121" t="str">
        <f t="shared" si="6"/>
        <v>显示</v>
      </c>
      <c r="B121" s="378"/>
      <c r="C121" s="378"/>
      <c r="D121" s="357" t="s">
        <v>605</v>
      </c>
      <c r="E121" s="357" t="s">
        <v>606</v>
      </c>
      <c r="F121" s="357" t="s">
        <v>607</v>
      </c>
      <c r="G121" s="357" t="s">
        <v>608</v>
      </c>
      <c r="H121" s="357" t="s">
        <v>609</v>
      </c>
      <c r="I121" s="357" t="s">
        <v>610</v>
      </c>
      <c r="J121" s="357" t="s">
        <v>611</v>
      </c>
      <c r="K121" s="357" t="s">
        <v>612</v>
      </c>
      <c r="L121" s="357" t="s">
        <v>613</v>
      </c>
      <c r="M121" s="357" t="s">
        <v>614</v>
      </c>
      <c r="O121" s="389"/>
      <c r="P121" s="390"/>
      <c r="Q121" s="390"/>
      <c r="R121" s="406" t="str">
        <f>S37</f>
        <v>m</v>
      </c>
      <c r="S121" s="406" t="str">
        <f>S37</f>
        <v>m</v>
      </c>
      <c r="T121" s="407" t="str">
        <f>$M$8</f>
        <v>m³</v>
      </c>
      <c r="U121" s="390" t="str">
        <f>T121</f>
        <v>m³</v>
      </c>
      <c r="V121" s="390" t="str">
        <f>T121</f>
        <v>m³</v>
      </c>
      <c r="W121" s="390"/>
      <c r="X121" s="408" t="str">
        <f>R121</f>
        <v>m</v>
      </c>
      <c r="Y121" s="407" t="str">
        <f>T121</f>
        <v>m³</v>
      </c>
      <c r="Z121" s="390" t="str">
        <f>T121</f>
        <v>m³</v>
      </c>
      <c r="AA121" s="406" t="str">
        <f>T121</f>
        <v>m³</v>
      </c>
      <c r="AB121" s="427" t="s">
        <v>495</v>
      </c>
      <c r="AC121" s="428" t="str">
        <f>IF(语言序号=1,"Ver. "&amp;vcfVersion,vcfVersion&amp;"版")</f>
        <v>Ver. 2004</v>
      </c>
      <c r="AD121" s="429"/>
    </row>
    <row r="122" ht="11.4" customHeight="1" spans="1:30">
      <c r="A122" t="str">
        <f t="shared" si="6"/>
        <v>显示</v>
      </c>
      <c r="B122" s="378"/>
      <c r="C122" s="378"/>
      <c r="D122" s="357">
        <f t="shared" ref="D122:D139" si="8">SUM(T122:U122)</f>
        <v>0</v>
      </c>
      <c r="E122" s="357">
        <f>IF($T$121=$S$38,D122,ROUND(T_1_bbls_to_cbm(D122),3))</f>
        <v>0</v>
      </c>
      <c r="F122" s="357">
        <f>IF($T$121=$S$39,D122,ROUND(T_1_cbm_to_bbls(D122),2))</f>
        <v>0</v>
      </c>
      <c r="G122" s="357">
        <f>IF($T$121=$S$38,V122,ROUND(T_1_bbls_to_cbm(V122),3))</f>
        <v>23</v>
      </c>
      <c r="H122" s="357">
        <f>IF($T$121=$S$39,V122,ROUND(T_1_cbm_to_bbls(V122),2))</f>
        <v>144.67</v>
      </c>
      <c r="I122" s="357">
        <f>SUM(Y122:Z122)</f>
        <v>0</v>
      </c>
      <c r="J122" s="357">
        <f>IF($T$121=$S$38,I122,ROUND(T_1_bbls_to_cbm(I122),3))</f>
        <v>0</v>
      </c>
      <c r="K122" s="357">
        <f>IF($T$121=$S$39,I122,ROUND(T_1_cbm_to_bbls(I122),2))</f>
        <v>0</v>
      </c>
      <c r="L122" s="357">
        <f t="shared" ref="L122:L139" si="9">IF(OR(LEFT(vcfTab,4)="T-60",LEFT(vcfTab,4)="T-54"),ROUND((TOV_Liquid_CBM-TOV_FW_CBM)*AC122,3),ROUND((TOV_Liquid_bbls-TOV_FW_bbls)*AC122,2))</f>
        <v>0</v>
      </c>
      <c r="M122" s="357">
        <f t="shared" ref="M122:M139" si="10">IF(OR(LEFT(vcfTab,4)="T-60",LEFT(vcfTab,4)="T-54"),TOV_Nonliquid_CBM,TOV_Nonliquid_bbls)</f>
        <v>23</v>
      </c>
      <c r="O122" s="391" t="s">
        <v>615</v>
      </c>
      <c r="P122" s="392" t="s">
        <v>626</v>
      </c>
      <c r="Q122" s="392" t="s">
        <v>617</v>
      </c>
      <c r="R122" s="409">
        <v>0</v>
      </c>
      <c r="S122" s="409">
        <v>35.35</v>
      </c>
      <c r="T122" s="392">
        <v>0</v>
      </c>
      <c r="U122" s="392" t="s">
        <v>618</v>
      </c>
      <c r="V122" s="392">
        <v>23</v>
      </c>
      <c r="W122" s="392" t="s">
        <v>619</v>
      </c>
      <c r="X122" s="409">
        <v>0</v>
      </c>
      <c r="Y122" s="392">
        <v>0</v>
      </c>
      <c r="Z122" s="392" t="s">
        <v>618</v>
      </c>
      <c r="AA122" s="430">
        <f t="shared" ref="AA122:AA139" si="11">IF(AND(O122="",TOV_Liquid="",Nonliquid=""),"",TOV_Liquid+Nonliquid-TOV_FW)</f>
        <v>23</v>
      </c>
      <c r="AB122" s="431" t="s">
        <v>618</v>
      </c>
      <c r="AC122" s="432">
        <f>IF(AND(O122="",P122="",Q122=""),"",IF(ISNUMBER(AB122)=FALSE,1,vcf(vcfTab,vcfVersion,$R$141,$AB$121,AB122,$AC$116)))</f>
        <v>1</v>
      </c>
      <c r="AD122" s="433">
        <f t="shared" ref="AD122:AD139" si="12">IF(OR(P122="",Q122="",R122="",S122=""),"",L122+M122)</f>
        <v>23</v>
      </c>
    </row>
    <row r="123" ht="11.4" customHeight="1" spans="1:30">
      <c r="A123" t="str">
        <f t="shared" si="6"/>
        <v>显示</v>
      </c>
      <c r="B123" s="378"/>
      <c r="C123" s="378"/>
      <c r="D123" s="357">
        <f t="shared" si="8"/>
        <v>0</v>
      </c>
      <c r="E123" s="357">
        <f>IF($T$121=$S$38,D123,ROUND(T_1_bbls_to_cbm(D123),3))</f>
        <v>0</v>
      </c>
      <c r="F123" s="357">
        <f>IF($T$121=$S$39,D123,ROUND(T_1_cbm_to_bbls(D123),2))</f>
        <v>0</v>
      </c>
      <c r="G123" s="357">
        <f>IF($T$121=$S$38,V123,ROUND(T_1_bbls_to_cbm(V123),3))</f>
        <v>0</v>
      </c>
      <c r="H123" s="357">
        <f>IF($T$121=$S$39,V123,ROUND(T_1_cbm_to_bbls(V123),2))</f>
        <v>0</v>
      </c>
      <c r="I123" s="357">
        <f>SUM(Y123:Z123)</f>
        <v>0</v>
      </c>
      <c r="J123" s="357">
        <f>IF($T$121=$S$38,I123,ROUND(T_1_bbls_to_cbm(I123),3))</f>
        <v>0</v>
      </c>
      <c r="K123" s="357">
        <f>IF($T$121=$S$39,I123,ROUND(T_1_cbm_to_bbls(I123),2))</f>
        <v>0</v>
      </c>
      <c r="L123" s="357">
        <f t="shared" si="9"/>
        <v>0</v>
      </c>
      <c r="M123" s="357">
        <f t="shared" si="10"/>
        <v>0</v>
      </c>
      <c r="O123" s="391" t="s">
        <v>620</v>
      </c>
      <c r="P123" s="392" t="s">
        <v>616</v>
      </c>
      <c r="Q123" s="392" t="s">
        <v>617</v>
      </c>
      <c r="R123" s="409">
        <v>0</v>
      </c>
      <c r="S123" s="409">
        <v>35.35</v>
      </c>
      <c r="T123" s="392">
        <v>0</v>
      </c>
      <c r="U123" s="392" t="s">
        <v>618</v>
      </c>
      <c r="V123" s="392">
        <v>0</v>
      </c>
      <c r="W123" s="392" t="s">
        <v>619</v>
      </c>
      <c r="X123" s="409">
        <v>0</v>
      </c>
      <c r="Y123" s="392">
        <v>0</v>
      </c>
      <c r="Z123" s="392" t="s">
        <v>618</v>
      </c>
      <c r="AA123" s="430">
        <f t="shared" si="11"/>
        <v>0</v>
      </c>
      <c r="AB123" s="431" t="s">
        <v>618</v>
      </c>
      <c r="AC123" s="432">
        <f>IF(AND(O123="",P123="",Q123=""),"",IF(ISNUMBER(AB123)=FALSE,1,vcf(vcfTab,vcfVersion,$R$141,$AB$121,AB123,$AC$116)))</f>
        <v>1</v>
      </c>
      <c r="AD123" s="433">
        <f t="shared" si="12"/>
        <v>0</v>
      </c>
    </row>
    <row r="124" ht="11.4" customHeight="1" spans="1:30">
      <c r="A124" t="str">
        <f t="shared" si="6"/>
        <v>显示</v>
      </c>
      <c r="B124" s="378"/>
      <c r="C124" s="378"/>
      <c r="D124" s="357">
        <f t="shared" si="8"/>
        <v>0</v>
      </c>
      <c r="E124" s="357">
        <f>IF($T$121=$S$38,D124,ROUND(T_1_bbls_to_cbm(D124),3))</f>
        <v>0</v>
      </c>
      <c r="F124" s="357">
        <f>IF($T$121=$S$39,D124,ROUND(T_1_cbm_to_bbls(D124),2))</f>
        <v>0</v>
      </c>
      <c r="G124" s="357">
        <f>IF($T$121=$S$38,V124,ROUND(T_1_bbls_to_cbm(V124),3))</f>
        <v>0</v>
      </c>
      <c r="H124" s="357">
        <f>IF($T$121=$S$39,V124,ROUND(T_1_cbm_to_bbls(V124),2))</f>
        <v>0</v>
      </c>
      <c r="I124" s="357">
        <f t="shared" ref="I124:I139" si="13">SUM(Y124:Z124)</f>
        <v>0</v>
      </c>
      <c r="J124" s="357">
        <f>IF($T$121=$S$38,I124,ROUND(T_1_bbls_to_cbm(I124),3))</f>
        <v>0</v>
      </c>
      <c r="K124" s="357">
        <f>IF($T$121=$S$39,I124,ROUND(T_1_cbm_to_bbls(I124),2))</f>
        <v>0</v>
      </c>
      <c r="L124" s="357">
        <f t="shared" si="9"/>
        <v>0</v>
      </c>
      <c r="M124" s="357">
        <f t="shared" si="10"/>
        <v>0</v>
      </c>
      <c r="O124" s="391" t="s">
        <v>621</v>
      </c>
      <c r="P124" s="392" t="s">
        <v>622</v>
      </c>
      <c r="Q124" s="392" t="s">
        <v>619</v>
      </c>
      <c r="R124" s="409">
        <v>0</v>
      </c>
      <c r="S124" s="409">
        <v>35.35</v>
      </c>
      <c r="T124" s="392">
        <v>0</v>
      </c>
      <c r="U124" s="392" t="s">
        <v>618</v>
      </c>
      <c r="V124" s="392">
        <v>0</v>
      </c>
      <c r="W124" s="392" t="s">
        <v>619</v>
      </c>
      <c r="X124" s="409">
        <v>0</v>
      </c>
      <c r="Y124" s="392">
        <v>0</v>
      </c>
      <c r="Z124" s="392" t="s">
        <v>618</v>
      </c>
      <c r="AA124" s="430">
        <f t="shared" si="11"/>
        <v>0</v>
      </c>
      <c r="AB124" s="431" t="s">
        <v>618</v>
      </c>
      <c r="AC124" s="432">
        <f>IF(AND(O124="",P124="",Q124=""),"",IF(ISNUMBER(AB124)=FALSE,1,vcf(vcfTab,vcfVersion,$R$141,$AB$121,AB124,$AC$116)))</f>
        <v>1</v>
      </c>
      <c r="AD124" s="433">
        <f t="shared" si="12"/>
        <v>0</v>
      </c>
    </row>
    <row r="125" ht="11.4" customHeight="1" spans="1:30">
      <c r="A125" t="str">
        <f t="shared" si="6"/>
        <v>显示</v>
      </c>
      <c r="B125" s="378"/>
      <c r="C125" s="378"/>
      <c r="D125" s="357">
        <f t="shared" si="8"/>
        <v>0</v>
      </c>
      <c r="E125" s="357">
        <f>IF($T$121=$S$38,D125,ROUND(T_1_bbls_to_cbm(D125),3))</f>
        <v>0</v>
      </c>
      <c r="F125" s="357">
        <f>IF($T$121=$S$39,D125,ROUND(T_1_cbm_to_bbls(D125),2))</f>
        <v>0</v>
      </c>
      <c r="G125" s="357">
        <f>IF($T$121=$S$38,V125,ROUND(T_1_bbls_to_cbm(V125),3))</f>
        <v>0</v>
      </c>
      <c r="H125" s="357">
        <f>IF($T$121=$S$39,V125,ROUND(T_1_cbm_to_bbls(V125),2))</f>
        <v>0</v>
      </c>
      <c r="I125" s="357">
        <f t="shared" si="13"/>
        <v>0</v>
      </c>
      <c r="J125" s="357">
        <f>IF($T$121=$S$38,I125,ROUND(T_1_bbls_to_cbm(I125),3))</f>
        <v>0</v>
      </c>
      <c r="K125" s="357">
        <f>IF($T$121=$S$39,I125,ROUND(T_1_cbm_to_bbls(I125),2))</f>
        <v>0</v>
      </c>
      <c r="L125" s="357">
        <f t="shared" si="9"/>
        <v>0</v>
      </c>
      <c r="M125" s="357">
        <f t="shared" si="10"/>
        <v>0</v>
      </c>
      <c r="O125" s="391" t="s">
        <v>623</v>
      </c>
      <c r="P125" s="392" t="s">
        <v>624</v>
      </c>
      <c r="Q125" s="392" t="s">
        <v>617</v>
      </c>
      <c r="R125" s="409">
        <v>0</v>
      </c>
      <c r="S125" s="409">
        <v>35.35</v>
      </c>
      <c r="T125" s="392">
        <v>0</v>
      </c>
      <c r="U125" s="392" t="s">
        <v>618</v>
      </c>
      <c r="V125" s="392">
        <v>0</v>
      </c>
      <c r="W125" s="392" t="s">
        <v>619</v>
      </c>
      <c r="X125" s="409">
        <v>0</v>
      </c>
      <c r="Y125" s="392">
        <v>0</v>
      </c>
      <c r="Z125" s="392" t="s">
        <v>618</v>
      </c>
      <c r="AA125" s="430">
        <f t="shared" si="11"/>
        <v>0</v>
      </c>
      <c r="AB125" s="431" t="s">
        <v>618</v>
      </c>
      <c r="AC125" s="432">
        <f>IF(AND(O125="",P125="",Q125=""),"",IF(ISNUMBER(AB125)=FALSE,1,vcf(vcfTab,vcfVersion,$R$141,$AB$121,AB125,$AC$116)))</f>
        <v>1</v>
      </c>
      <c r="AD125" s="433">
        <f t="shared" si="12"/>
        <v>0</v>
      </c>
    </row>
    <row r="126" ht="11.4" customHeight="1" spans="1:30">
      <c r="A126" t="str">
        <f t="shared" si="6"/>
        <v>显示</v>
      </c>
      <c r="B126" s="378"/>
      <c r="C126" s="378"/>
      <c r="D126" s="357">
        <f t="shared" si="8"/>
        <v>0</v>
      </c>
      <c r="E126" s="357">
        <f>IF($T$121=$S$38,D126,ROUND(T_1_bbls_to_cbm(D126),3))</f>
        <v>0</v>
      </c>
      <c r="F126" s="357">
        <f>IF($T$121=$S$39,D126,ROUND(T_1_cbm_to_bbls(D126),2))</f>
        <v>0</v>
      </c>
      <c r="G126" s="357">
        <f>IF($T$121=$S$38,V126,ROUND(T_1_bbls_to_cbm(V126),3))</f>
        <v>0</v>
      </c>
      <c r="H126" s="357">
        <f>IF($T$121=$S$39,V126,ROUND(T_1_cbm_to_bbls(V126),2))</f>
        <v>0</v>
      </c>
      <c r="I126" s="357">
        <f t="shared" si="13"/>
        <v>0</v>
      </c>
      <c r="J126" s="357">
        <f>IF($T$121=$S$38,I126,ROUND(T_1_bbls_to_cbm(I126),3))</f>
        <v>0</v>
      </c>
      <c r="K126" s="357">
        <f>IF($T$121=$S$39,I126,ROUND(T_1_cbm_to_bbls(I126),2))</f>
        <v>0</v>
      </c>
      <c r="L126" s="357">
        <f t="shared" si="9"/>
        <v>0</v>
      </c>
      <c r="M126" s="357">
        <f t="shared" si="10"/>
        <v>0</v>
      </c>
      <c r="O126" s="391" t="s">
        <v>625</v>
      </c>
      <c r="P126" s="392" t="s">
        <v>626</v>
      </c>
      <c r="Q126" s="392" t="s">
        <v>617</v>
      </c>
      <c r="R126" s="409">
        <v>0</v>
      </c>
      <c r="S126" s="409">
        <v>35.35</v>
      </c>
      <c r="T126" s="392">
        <v>0</v>
      </c>
      <c r="U126" s="392" t="s">
        <v>618</v>
      </c>
      <c r="V126" s="392">
        <v>0</v>
      </c>
      <c r="W126" s="392" t="s">
        <v>619</v>
      </c>
      <c r="X126" s="409">
        <v>0</v>
      </c>
      <c r="Y126" s="392">
        <v>0</v>
      </c>
      <c r="Z126" s="392" t="s">
        <v>618</v>
      </c>
      <c r="AA126" s="430">
        <f t="shared" si="11"/>
        <v>0</v>
      </c>
      <c r="AB126" s="431" t="s">
        <v>618</v>
      </c>
      <c r="AC126" s="432">
        <f>IF(AND(O126="",P126="",Q126=""),"",IF(ISNUMBER(AB126)=FALSE,1,vcf(vcfTab,vcfVersion,$R$141,$AB$121,AB126,$AC$116)))</f>
        <v>1</v>
      </c>
      <c r="AD126" s="433">
        <f t="shared" si="12"/>
        <v>0</v>
      </c>
    </row>
    <row r="127" ht="11.4" customHeight="1" spans="1:30">
      <c r="A127" t="str">
        <f t="shared" si="6"/>
        <v>显示</v>
      </c>
      <c r="B127" s="378"/>
      <c r="C127" s="378"/>
      <c r="D127" s="357">
        <f t="shared" si="8"/>
        <v>0</v>
      </c>
      <c r="E127" s="357">
        <f>IF($T$121=$S$38,D127,ROUND(T_1_bbls_to_cbm(D127),3))</f>
        <v>0</v>
      </c>
      <c r="F127" s="357">
        <f>IF($T$121=$S$39,D127,ROUND(T_1_cbm_to_bbls(D127),2))</f>
        <v>0</v>
      </c>
      <c r="G127" s="357">
        <f>IF($T$121=$S$38,V127,ROUND(T_1_bbls_to_cbm(V127),3))</f>
        <v>0</v>
      </c>
      <c r="H127" s="357">
        <f>IF($T$121=$S$39,V127,ROUND(T_1_cbm_to_bbls(V127),2))</f>
        <v>0</v>
      </c>
      <c r="I127" s="357">
        <f t="shared" si="13"/>
        <v>0</v>
      </c>
      <c r="J127" s="357">
        <f>IF($T$121=$S$38,I127,ROUND(T_1_bbls_to_cbm(I127),3))</f>
        <v>0</v>
      </c>
      <c r="K127" s="357">
        <f>IF($T$121=$S$39,I127,ROUND(T_1_cbm_to_bbls(I127),2))</f>
        <v>0</v>
      </c>
      <c r="L127" s="357">
        <f t="shared" si="9"/>
        <v>0</v>
      </c>
      <c r="M127" s="357">
        <f t="shared" si="10"/>
        <v>0</v>
      </c>
      <c r="O127" s="391" t="s">
        <v>627</v>
      </c>
      <c r="P127" s="392" t="s">
        <v>624</v>
      </c>
      <c r="Q127" s="392" t="s">
        <v>617</v>
      </c>
      <c r="R127" s="409">
        <v>0</v>
      </c>
      <c r="S127" s="409">
        <v>35.35</v>
      </c>
      <c r="T127" s="392">
        <v>0</v>
      </c>
      <c r="U127" s="392" t="s">
        <v>618</v>
      </c>
      <c r="V127" s="392">
        <v>0</v>
      </c>
      <c r="W127" s="392" t="s">
        <v>619</v>
      </c>
      <c r="X127" s="409">
        <v>0</v>
      </c>
      <c r="Y127" s="392">
        <v>0</v>
      </c>
      <c r="Z127" s="392" t="s">
        <v>618</v>
      </c>
      <c r="AA127" s="430">
        <f t="shared" si="11"/>
        <v>0</v>
      </c>
      <c r="AB127" s="431" t="s">
        <v>618</v>
      </c>
      <c r="AC127" s="432">
        <f>IF(AND(O127="",P127="",Q127=""),"",IF(ISNUMBER(AB127)=FALSE,1,vcf(vcfTab,vcfVersion,$R$141,$AB$121,AB127,$AC$116)))</f>
        <v>1</v>
      </c>
      <c r="AD127" s="433">
        <f t="shared" si="12"/>
        <v>0</v>
      </c>
    </row>
    <row r="128" ht="11.4" customHeight="1" spans="1:30">
      <c r="A128" t="str">
        <f t="shared" si="6"/>
        <v>显示</v>
      </c>
      <c r="B128" s="378"/>
      <c r="C128" s="378"/>
      <c r="D128" s="357">
        <f t="shared" si="8"/>
        <v>0</v>
      </c>
      <c r="E128" s="357">
        <f>IF($T$121=$S$38,D128,ROUND(T_1_bbls_to_cbm(D128),3))</f>
        <v>0</v>
      </c>
      <c r="F128" s="357">
        <f>IF($T$121=$S$39,D128,ROUND(T_1_cbm_to_bbls(D128),2))</f>
        <v>0</v>
      </c>
      <c r="G128" s="357">
        <f>IF($T$121=$S$38,V128,ROUND(T_1_bbls_to_cbm(V128),3))</f>
        <v>0</v>
      </c>
      <c r="H128" s="357">
        <f>IF($T$121=$S$39,V128,ROUND(T_1_cbm_to_bbls(V128),2))</f>
        <v>0</v>
      </c>
      <c r="I128" s="357">
        <f t="shared" si="13"/>
        <v>0</v>
      </c>
      <c r="J128" s="357">
        <f>IF($T$121=$S$38,I128,ROUND(T_1_bbls_to_cbm(I128),3))</f>
        <v>0</v>
      </c>
      <c r="K128" s="357">
        <f>IF($T$121=$S$39,I128,ROUND(T_1_cbm_to_bbls(I128),2))</f>
        <v>0</v>
      </c>
      <c r="L128" s="357">
        <f t="shared" si="9"/>
        <v>0</v>
      </c>
      <c r="M128" s="357">
        <f t="shared" si="10"/>
        <v>0</v>
      </c>
      <c r="O128" s="391" t="s">
        <v>628</v>
      </c>
      <c r="P128" s="392" t="s">
        <v>624</v>
      </c>
      <c r="Q128" s="392" t="s">
        <v>617</v>
      </c>
      <c r="R128" s="409">
        <v>0</v>
      </c>
      <c r="S128" s="409">
        <v>35.35</v>
      </c>
      <c r="T128" s="392">
        <v>0</v>
      </c>
      <c r="U128" s="392" t="s">
        <v>618</v>
      </c>
      <c r="V128" s="392">
        <v>0</v>
      </c>
      <c r="W128" s="392" t="s">
        <v>619</v>
      </c>
      <c r="X128" s="409">
        <v>0</v>
      </c>
      <c r="Y128" s="392">
        <v>0</v>
      </c>
      <c r="Z128" s="392" t="s">
        <v>618</v>
      </c>
      <c r="AA128" s="430">
        <f t="shared" si="11"/>
        <v>0</v>
      </c>
      <c r="AB128" s="431" t="s">
        <v>618</v>
      </c>
      <c r="AC128" s="432">
        <f>IF(AND(O128="",P128="",Q128=""),"",IF(ISNUMBER(AB128)=FALSE,1,vcf(vcfTab,vcfVersion,$R$141,$AB$121,AB128,$AC$116)))</f>
        <v>1</v>
      </c>
      <c r="AD128" s="433">
        <f t="shared" si="12"/>
        <v>0</v>
      </c>
    </row>
    <row r="129" ht="11.4" customHeight="1" spans="1:30">
      <c r="A129" t="str">
        <f t="shared" si="6"/>
        <v>显示</v>
      </c>
      <c r="B129" s="378"/>
      <c r="C129" s="378"/>
      <c r="D129" s="357">
        <f t="shared" si="8"/>
        <v>0</v>
      </c>
      <c r="E129" s="357">
        <f>IF($T$121=$S$38,D129,ROUND(T_1_bbls_to_cbm(D129),3))</f>
        <v>0</v>
      </c>
      <c r="F129" s="357">
        <f>IF($T$121=$S$39,D129,ROUND(T_1_cbm_to_bbls(D129),2))</f>
        <v>0</v>
      </c>
      <c r="G129" s="357">
        <f>IF($T$121=$S$38,V129,ROUND(T_1_bbls_to_cbm(V129),3))</f>
        <v>0</v>
      </c>
      <c r="H129" s="357">
        <f>IF($T$121=$S$39,V129,ROUND(T_1_cbm_to_bbls(V129),2))</f>
        <v>0</v>
      </c>
      <c r="I129" s="357">
        <f t="shared" si="13"/>
        <v>0</v>
      </c>
      <c r="J129" s="357">
        <f>IF($T$121=$S$38,I129,ROUND(T_1_bbls_to_cbm(I129),3))</f>
        <v>0</v>
      </c>
      <c r="K129" s="357">
        <f>IF($T$121=$S$39,I129,ROUND(T_1_cbm_to_bbls(I129),2))</f>
        <v>0</v>
      </c>
      <c r="L129" s="357">
        <f t="shared" si="9"/>
        <v>0</v>
      </c>
      <c r="M129" s="357">
        <f t="shared" si="10"/>
        <v>0</v>
      </c>
      <c r="O129" s="391" t="s">
        <v>629</v>
      </c>
      <c r="P129" s="392" t="s">
        <v>624</v>
      </c>
      <c r="Q129" s="392" t="s">
        <v>617</v>
      </c>
      <c r="R129" s="409">
        <v>0</v>
      </c>
      <c r="S129" s="409">
        <v>35.35</v>
      </c>
      <c r="T129" s="392">
        <v>0</v>
      </c>
      <c r="U129" s="392" t="s">
        <v>618</v>
      </c>
      <c r="V129" s="392">
        <v>0</v>
      </c>
      <c r="W129" s="392" t="s">
        <v>619</v>
      </c>
      <c r="X129" s="409">
        <v>0</v>
      </c>
      <c r="Y129" s="392">
        <v>0</v>
      </c>
      <c r="Z129" s="392" t="s">
        <v>618</v>
      </c>
      <c r="AA129" s="430">
        <f t="shared" si="11"/>
        <v>0</v>
      </c>
      <c r="AB129" s="431" t="s">
        <v>618</v>
      </c>
      <c r="AC129" s="432">
        <f>IF(AND(O129="",P129="",Q129=""),"",IF(ISNUMBER(AB129)=FALSE,1,vcf(vcfTab,vcfVersion,$R$141,$AB$121,AB129,$AC$116)))</f>
        <v>1</v>
      </c>
      <c r="AD129" s="433">
        <f t="shared" si="12"/>
        <v>0</v>
      </c>
    </row>
    <row r="130" ht="11.4" customHeight="1" spans="1:30">
      <c r="A130" t="str">
        <f t="shared" si="6"/>
        <v>显示</v>
      </c>
      <c r="B130" s="378"/>
      <c r="C130" s="378"/>
      <c r="D130" s="357">
        <f t="shared" si="8"/>
        <v>0</v>
      </c>
      <c r="E130" s="357">
        <f>IF($T$121=$S$38,D130,ROUND(T_1_bbls_to_cbm(D130),3))</f>
        <v>0</v>
      </c>
      <c r="F130" s="357">
        <f>IF($T$121=$S$39,D130,ROUND(T_1_cbm_to_bbls(D130),2))</f>
        <v>0</v>
      </c>
      <c r="G130" s="357">
        <f>IF($T$121=$S$38,V130,ROUND(T_1_bbls_to_cbm(V130),3))</f>
        <v>0</v>
      </c>
      <c r="H130" s="357">
        <f>IF($T$121=$S$39,V130,ROUND(T_1_cbm_to_bbls(V130),2))</f>
        <v>0</v>
      </c>
      <c r="I130" s="357">
        <f t="shared" si="13"/>
        <v>0</v>
      </c>
      <c r="J130" s="357">
        <f>IF($T$121=$S$38,I130,ROUND(T_1_bbls_to_cbm(I130),3))</f>
        <v>0</v>
      </c>
      <c r="K130" s="357">
        <f>IF($T$121=$S$39,I130,ROUND(T_1_cbm_to_bbls(I130),2))</f>
        <v>0</v>
      </c>
      <c r="L130" s="357">
        <f t="shared" si="9"/>
        <v>0</v>
      </c>
      <c r="M130" s="357">
        <f t="shared" si="10"/>
        <v>0</v>
      </c>
      <c r="O130" s="391" t="s">
        <v>630</v>
      </c>
      <c r="P130" s="392" t="s">
        <v>624</v>
      </c>
      <c r="Q130" s="392" t="s">
        <v>617</v>
      </c>
      <c r="R130" s="409">
        <v>0</v>
      </c>
      <c r="S130" s="409">
        <v>35.35</v>
      </c>
      <c r="T130" s="392">
        <v>0</v>
      </c>
      <c r="U130" s="392" t="s">
        <v>618</v>
      </c>
      <c r="V130" s="392">
        <v>0</v>
      </c>
      <c r="W130" s="392" t="s">
        <v>619</v>
      </c>
      <c r="X130" s="409">
        <v>0</v>
      </c>
      <c r="Y130" s="392">
        <v>0</v>
      </c>
      <c r="Z130" s="392" t="s">
        <v>618</v>
      </c>
      <c r="AA130" s="430">
        <f t="shared" si="11"/>
        <v>0</v>
      </c>
      <c r="AB130" s="431" t="s">
        <v>618</v>
      </c>
      <c r="AC130" s="432">
        <f>IF(AND(O130="",P130="",Q130=""),"",IF(ISNUMBER(AB130)=FALSE,1,vcf(vcfTab,vcfVersion,$R$141,$AB$121,AB130,$AC$116)))</f>
        <v>1</v>
      </c>
      <c r="AD130" s="433">
        <f t="shared" si="12"/>
        <v>0</v>
      </c>
    </row>
    <row r="131" ht="11.4" customHeight="1" spans="1:30">
      <c r="A131" t="str">
        <f t="shared" si="6"/>
        <v>显示</v>
      </c>
      <c r="B131" s="378"/>
      <c r="C131" s="378"/>
      <c r="D131" s="357">
        <f t="shared" si="8"/>
        <v>0</v>
      </c>
      <c r="E131" s="357">
        <f>IF($T$121=$S$38,D131,ROUND(T_1_bbls_to_cbm(D131),3))</f>
        <v>0</v>
      </c>
      <c r="F131" s="357">
        <f>IF($T$121=$S$39,D131,ROUND(T_1_cbm_to_bbls(D131),2))</f>
        <v>0</v>
      </c>
      <c r="G131" s="357">
        <f>IF($T$121=$S$38,V131,ROUND(T_1_bbls_to_cbm(V131),3))</f>
        <v>0</v>
      </c>
      <c r="H131" s="357">
        <f>IF($T$121=$S$39,V131,ROUND(T_1_cbm_to_bbls(V131),2))</f>
        <v>0</v>
      </c>
      <c r="I131" s="357">
        <f t="shared" si="13"/>
        <v>0</v>
      </c>
      <c r="J131" s="357">
        <f>IF($T$121=$S$38,I131,ROUND(T_1_bbls_to_cbm(I131),3))</f>
        <v>0</v>
      </c>
      <c r="K131" s="357">
        <f>IF($T$121=$S$39,I131,ROUND(T_1_cbm_to_bbls(I131),2))</f>
        <v>0</v>
      </c>
      <c r="L131" s="357">
        <f t="shared" si="9"/>
        <v>0</v>
      </c>
      <c r="M131" s="357">
        <f t="shared" si="10"/>
        <v>0</v>
      </c>
      <c r="O131" s="391" t="s">
        <v>631</v>
      </c>
      <c r="P131" s="392" t="s">
        <v>624</v>
      </c>
      <c r="Q131" s="392" t="s">
        <v>617</v>
      </c>
      <c r="R131" s="409">
        <v>0</v>
      </c>
      <c r="S131" s="409">
        <v>35.35</v>
      </c>
      <c r="T131" s="392">
        <v>0</v>
      </c>
      <c r="U131" s="392" t="s">
        <v>618</v>
      </c>
      <c r="V131" s="392">
        <v>0</v>
      </c>
      <c r="W131" s="392" t="s">
        <v>619</v>
      </c>
      <c r="X131" s="409">
        <v>0</v>
      </c>
      <c r="Y131" s="392">
        <v>0</v>
      </c>
      <c r="Z131" s="392" t="s">
        <v>618</v>
      </c>
      <c r="AA131" s="430">
        <f t="shared" si="11"/>
        <v>0</v>
      </c>
      <c r="AB131" s="431" t="s">
        <v>618</v>
      </c>
      <c r="AC131" s="432">
        <f>IF(AND(O131="",P131="",Q131=""),"",IF(ISNUMBER(AB131)=FALSE,1,vcf(vcfTab,vcfVersion,$R$141,$AB$121,AB131,$AC$116)))</f>
        <v>1</v>
      </c>
      <c r="AD131" s="433">
        <f t="shared" si="12"/>
        <v>0</v>
      </c>
    </row>
    <row r="132" ht="11.4" customHeight="1" spans="1:30">
      <c r="A132" t="str">
        <f t="shared" si="6"/>
        <v>显示</v>
      </c>
      <c r="B132" s="378"/>
      <c r="C132" s="378"/>
      <c r="D132" s="357">
        <f t="shared" si="8"/>
        <v>0</v>
      </c>
      <c r="E132" s="357">
        <f>IF($T$121=$S$38,D132,ROUND(T_1_bbls_to_cbm(D132),3))</f>
        <v>0</v>
      </c>
      <c r="F132" s="357">
        <f>IF($T$121=$S$39,D132,ROUND(T_1_cbm_to_bbls(D132),2))</f>
        <v>0</v>
      </c>
      <c r="G132" s="357">
        <f>IF($T$121=$S$38,V132,ROUND(T_1_bbls_to_cbm(V132),3))</f>
        <v>0</v>
      </c>
      <c r="H132" s="357">
        <f>IF($T$121=$S$39,V132,ROUND(T_1_cbm_to_bbls(V132),2))</f>
        <v>0</v>
      </c>
      <c r="I132" s="357">
        <f t="shared" si="13"/>
        <v>0</v>
      </c>
      <c r="J132" s="357">
        <f>IF($T$121=$S$38,I132,ROUND(T_1_bbls_to_cbm(I132),3))</f>
        <v>0</v>
      </c>
      <c r="K132" s="357">
        <f>IF($T$121=$S$39,I132,ROUND(T_1_cbm_to_bbls(I132),2))</f>
        <v>0</v>
      </c>
      <c r="L132" s="357">
        <f t="shared" si="9"/>
        <v>0</v>
      </c>
      <c r="M132" s="357">
        <f t="shared" si="10"/>
        <v>0</v>
      </c>
      <c r="O132" s="391" t="s">
        <v>632</v>
      </c>
      <c r="P132" s="392" t="s">
        <v>624</v>
      </c>
      <c r="Q132" s="392" t="s">
        <v>617</v>
      </c>
      <c r="R132" s="409">
        <v>0</v>
      </c>
      <c r="S132" s="409">
        <v>35.35</v>
      </c>
      <c r="T132" s="392">
        <v>0</v>
      </c>
      <c r="U132" s="392" t="s">
        <v>618</v>
      </c>
      <c r="V132" s="392">
        <v>0</v>
      </c>
      <c r="W132" s="392" t="s">
        <v>619</v>
      </c>
      <c r="X132" s="409">
        <v>0</v>
      </c>
      <c r="Y132" s="392">
        <v>0</v>
      </c>
      <c r="Z132" s="392" t="s">
        <v>618</v>
      </c>
      <c r="AA132" s="430">
        <f t="shared" si="11"/>
        <v>0</v>
      </c>
      <c r="AB132" s="431" t="s">
        <v>618</v>
      </c>
      <c r="AC132" s="432">
        <f>IF(AND(O132="",P132="",Q132=""),"",IF(ISNUMBER(AB132)=FALSE,1,vcf(vcfTab,vcfVersion,$R$141,$AB$121,AB132,$AC$116)))</f>
        <v>1</v>
      </c>
      <c r="AD132" s="433">
        <f t="shared" si="12"/>
        <v>0</v>
      </c>
    </row>
    <row r="133" ht="11.4" customHeight="1" spans="1:30">
      <c r="A133" t="str">
        <f t="shared" si="6"/>
        <v>显示</v>
      </c>
      <c r="B133" s="378"/>
      <c r="C133" s="378"/>
      <c r="D133" s="357">
        <f t="shared" si="8"/>
        <v>0</v>
      </c>
      <c r="E133" s="357">
        <f>IF($T$121=$S$38,D133,ROUND(T_1_bbls_to_cbm(D133),3))</f>
        <v>0</v>
      </c>
      <c r="F133" s="357">
        <f>IF($T$121=$S$39,D133,ROUND(T_1_cbm_to_bbls(D133),2))</f>
        <v>0</v>
      </c>
      <c r="G133" s="357">
        <f>IF($T$121=$S$38,V133,ROUND(T_1_bbls_to_cbm(V133),3))</f>
        <v>0</v>
      </c>
      <c r="H133" s="357">
        <f>IF($T$121=$S$39,V133,ROUND(T_1_cbm_to_bbls(V133),2))</f>
        <v>0</v>
      </c>
      <c r="I133" s="357">
        <f t="shared" si="13"/>
        <v>0</v>
      </c>
      <c r="J133" s="357">
        <f>IF($T$121=$S$38,I133,ROUND(T_1_bbls_to_cbm(I133),3))</f>
        <v>0</v>
      </c>
      <c r="K133" s="357">
        <f>IF($T$121=$S$39,I133,ROUND(T_1_cbm_to_bbls(I133),2))</f>
        <v>0</v>
      </c>
      <c r="L133" s="357">
        <f t="shared" si="9"/>
        <v>0</v>
      </c>
      <c r="M133" s="357">
        <f t="shared" si="10"/>
        <v>0</v>
      </c>
      <c r="O133" s="391" t="s">
        <v>633</v>
      </c>
      <c r="P133" s="392" t="s">
        <v>624</v>
      </c>
      <c r="Q133" s="392" t="s">
        <v>617</v>
      </c>
      <c r="R133" s="409">
        <v>0</v>
      </c>
      <c r="S133" s="409">
        <v>35.35</v>
      </c>
      <c r="T133" s="392">
        <v>0</v>
      </c>
      <c r="U133" s="392" t="s">
        <v>618</v>
      </c>
      <c r="V133" s="392">
        <v>0</v>
      </c>
      <c r="W133" s="392" t="s">
        <v>619</v>
      </c>
      <c r="X133" s="409">
        <v>0</v>
      </c>
      <c r="Y133" s="392">
        <v>0</v>
      </c>
      <c r="Z133" s="392" t="s">
        <v>618</v>
      </c>
      <c r="AA133" s="430">
        <f t="shared" si="11"/>
        <v>0</v>
      </c>
      <c r="AB133" s="431" t="s">
        <v>618</v>
      </c>
      <c r="AC133" s="432">
        <f>IF(AND(O133="",P133="",Q133=""),"",IF(ISNUMBER(AB133)=FALSE,1,vcf(vcfTab,vcfVersion,$R$141,$AB$121,AB133,$AC$116)))</f>
        <v>1</v>
      </c>
      <c r="AD133" s="433">
        <f t="shared" si="12"/>
        <v>0</v>
      </c>
    </row>
    <row r="134" ht="11.4" customHeight="1" spans="1:30">
      <c r="A134" t="str">
        <f t="shared" si="6"/>
        <v>显示</v>
      </c>
      <c r="B134" s="378"/>
      <c r="C134" s="378"/>
      <c r="D134" s="357">
        <f t="shared" si="8"/>
        <v>0</v>
      </c>
      <c r="E134" s="357">
        <f>IF($T$121=$S$38,D134,ROUND(T_1_bbls_to_cbm(D134),3))</f>
        <v>0</v>
      </c>
      <c r="F134" s="357">
        <f>IF($T$121=$S$39,D134,ROUND(T_1_cbm_to_bbls(D134),2))</f>
        <v>0</v>
      </c>
      <c r="G134" s="357">
        <f>IF($T$121=$S$38,V134,ROUND(T_1_bbls_to_cbm(V134),3))</f>
        <v>0</v>
      </c>
      <c r="H134" s="357">
        <f>IF($T$121=$S$39,V134,ROUND(T_1_cbm_to_bbls(V134),2))</f>
        <v>0</v>
      </c>
      <c r="I134" s="357">
        <f t="shared" si="13"/>
        <v>0</v>
      </c>
      <c r="J134" s="357">
        <f>IF($T$121=$S$38,I134,ROUND(T_1_bbls_to_cbm(I134),3))</f>
        <v>0</v>
      </c>
      <c r="K134" s="357">
        <f>IF($T$121=$S$39,I134,ROUND(T_1_cbm_to_bbls(I134),2))</f>
        <v>0</v>
      </c>
      <c r="L134" s="357">
        <f t="shared" si="9"/>
        <v>0</v>
      </c>
      <c r="M134" s="357">
        <f t="shared" si="10"/>
        <v>0</v>
      </c>
      <c r="O134" s="391" t="s">
        <v>634</v>
      </c>
      <c r="P134" s="392" t="s">
        <v>624</v>
      </c>
      <c r="Q134" s="392" t="s">
        <v>617</v>
      </c>
      <c r="R134" s="409">
        <v>0</v>
      </c>
      <c r="S134" s="409">
        <v>35.35</v>
      </c>
      <c r="T134" s="392">
        <v>0</v>
      </c>
      <c r="U134" s="392" t="s">
        <v>618</v>
      </c>
      <c r="V134" s="392">
        <v>0</v>
      </c>
      <c r="W134" s="392" t="s">
        <v>619</v>
      </c>
      <c r="X134" s="409">
        <v>0</v>
      </c>
      <c r="Y134" s="392">
        <v>0</v>
      </c>
      <c r="Z134" s="392" t="s">
        <v>618</v>
      </c>
      <c r="AA134" s="430">
        <f t="shared" si="11"/>
        <v>0</v>
      </c>
      <c r="AB134" s="431" t="s">
        <v>618</v>
      </c>
      <c r="AC134" s="432">
        <f>IF(AND(O134="",P134="",Q134=""),"",IF(ISNUMBER(AB134)=FALSE,1,vcf(vcfTab,vcfVersion,$R$141,$AB$121,AB134,$AC$116)))</f>
        <v>1</v>
      </c>
      <c r="AD134" s="433">
        <f t="shared" si="12"/>
        <v>0</v>
      </c>
    </row>
    <row r="135" ht="11.4" customHeight="1" spans="1:30">
      <c r="A135" t="str">
        <f t="shared" si="6"/>
        <v>显示</v>
      </c>
      <c r="B135" s="378"/>
      <c r="C135" s="378"/>
      <c r="D135" s="357">
        <f t="shared" si="8"/>
        <v>0</v>
      </c>
      <c r="E135" s="357">
        <f>IF($T$121=$S$38,D135,ROUND(T_1_bbls_to_cbm(D135),3))</f>
        <v>0</v>
      </c>
      <c r="F135" s="357">
        <f>IF($T$121=$S$39,D135,ROUND(T_1_cbm_to_bbls(D135),2))</f>
        <v>0</v>
      </c>
      <c r="G135" s="357">
        <f>IF($T$121=$S$38,V135,ROUND(T_1_bbls_to_cbm(V135),3))</f>
        <v>0</v>
      </c>
      <c r="H135" s="357">
        <f>IF($T$121=$S$39,V135,ROUND(T_1_cbm_to_bbls(V135),2))</f>
        <v>0</v>
      </c>
      <c r="I135" s="357">
        <f t="shared" si="13"/>
        <v>0</v>
      </c>
      <c r="J135" s="357">
        <f>IF($T$121=$S$38,I135,ROUND(T_1_bbls_to_cbm(I135),3))</f>
        <v>0</v>
      </c>
      <c r="K135" s="357">
        <f>IF($T$121=$S$39,I135,ROUND(T_1_cbm_to_bbls(I135),2))</f>
        <v>0</v>
      </c>
      <c r="L135" s="357">
        <f t="shared" si="9"/>
        <v>0</v>
      </c>
      <c r="M135" s="357">
        <f t="shared" si="10"/>
        <v>0</v>
      </c>
      <c r="O135" s="391" t="s">
        <v>635</v>
      </c>
      <c r="P135" s="392" t="s">
        <v>624</v>
      </c>
      <c r="Q135" s="392" t="s">
        <v>617</v>
      </c>
      <c r="R135" s="409">
        <v>0</v>
      </c>
      <c r="S135" s="409">
        <v>35.35</v>
      </c>
      <c r="T135" s="392">
        <v>0</v>
      </c>
      <c r="U135" s="392" t="s">
        <v>618</v>
      </c>
      <c r="V135" s="392">
        <v>0</v>
      </c>
      <c r="W135" s="392" t="s">
        <v>619</v>
      </c>
      <c r="X135" s="409">
        <v>0</v>
      </c>
      <c r="Y135" s="392">
        <v>0</v>
      </c>
      <c r="Z135" s="392" t="s">
        <v>618</v>
      </c>
      <c r="AA135" s="430">
        <f t="shared" si="11"/>
        <v>0</v>
      </c>
      <c r="AB135" s="431" t="s">
        <v>618</v>
      </c>
      <c r="AC135" s="432">
        <f>IF(AND(O135="",P135="",Q135=""),"",IF(ISNUMBER(AB135)=FALSE,1,vcf(vcfTab,vcfVersion,$R$141,$AB$121,AB135,$AC$116)))</f>
        <v>1</v>
      </c>
      <c r="AD135" s="433">
        <f t="shared" si="12"/>
        <v>0</v>
      </c>
    </row>
    <row r="136" ht="11.4" customHeight="1" spans="1:32">
      <c r="A136" t="str">
        <f t="shared" si="6"/>
        <v>显示</v>
      </c>
      <c r="B136" s="378"/>
      <c r="C136" s="378"/>
      <c r="D136" s="357">
        <f t="shared" si="8"/>
        <v>0</v>
      </c>
      <c r="E136" s="357">
        <f>IF($T$121=$S$38,D136,ROUND(T_1_bbls_to_cbm(D136),3))</f>
        <v>0</v>
      </c>
      <c r="F136" s="357">
        <f>IF($T$121=$S$39,D136,ROUND(T_1_cbm_to_bbls(D136),2))</f>
        <v>0</v>
      </c>
      <c r="G136" s="357">
        <f>IF($T$121=$S$38,V136,ROUND(T_1_bbls_to_cbm(V136),3))</f>
        <v>0</v>
      </c>
      <c r="H136" s="357">
        <f>IF($T$121=$S$39,V136,ROUND(T_1_cbm_to_bbls(V136),2))</f>
        <v>0</v>
      </c>
      <c r="I136" s="357">
        <f t="shared" si="13"/>
        <v>0</v>
      </c>
      <c r="J136" s="357">
        <f>IF($T$121=$S$38,I136,ROUND(T_1_bbls_to_cbm(I136),3))</f>
        <v>0</v>
      </c>
      <c r="K136" s="357">
        <f>IF($T$121=$S$39,I136,ROUND(T_1_cbm_to_bbls(I136),2))</f>
        <v>0</v>
      </c>
      <c r="L136" s="357">
        <f t="shared" si="9"/>
        <v>0</v>
      </c>
      <c r="M136" s="357">
        <f t="shared" si="10"/>
        <v>0</v>
      </c>
      <c r="O136" s="391" t="s">
        <v>636</v>
      </c>
      <c r="P136" s="392" t="s">
        <v>624</v>
      </c>
      <c r="Q136" s="392" t="s">
        <v>617</v>
      </c>
      <c r="R136" s="409">
        <v>0</v>
      </c>
      <c r="S136" s="409">
        <v>35.35</v>
      </c>
      <c r="T136" s="392">
        <v>0</v>
      </c>
      <c r="U136" s="392" t="s">
        <v>618</v>
      </c>
      <c r="V136" s="392">
        <v>0</v>
      </c>
      <c r="W136" s="392" t="s">
        <v>619</v>
      </c>
      <c r="X136" s="409">
        <v>0</v>
      </c>
      <c r="Y136" s="392">
        <v>0</v>
      </c>
      <c r="Z136" s="392" t="s">
        <v>618</v>
      </c>
      <c r="AA136" s="430">
        <f t="shared" si="11"/>
        <v>0</v>
      </c>
      <c r="AB136" s="431" t="s">
        <v>618</v>
      </c>
      <c r="AC136" s="432">
        <f>IF(AND(O136="",P136="",Q136=""),"",IF(ISNUMBER(AB136)=FALSE,1,vcf(vcfTab,vcfVersion,$R$141,$AB$121,AB136,$AC$116)))</f>
        <v>1</v>
      </c>
      <c r="AD136" s="433">
        <f t="shared" si="12"/>
        <v>0</v>
      </c>
      <c r="AF136" s="451"/>
    </row>
    <row r="137" ht="11.4" customHeight="1" spans="1:30">
      <c r="A137" t="str">
        <f t="shared" si="6"/>
        <v>显示</v>
      </c>
      <c r="B137" s="378"/>
      <c r="C137" s="378"/>
      <c r="D137" s="357">
        <f t="shared" si="8"/>
        <v>0</v>
      </c>
      <c r="E137" s="357">
        <f>IF($T$121=$S$38,D137,ROUND(T_1_bbls_to_cbm(D137),3))</f>
        <v>0</v>
      </c>
      <c r="F137" s="357">
        <f>IF($T$121=$S$39,D137,ROUND(T_1_cbm_to_bbls(D137),2))</f>
        <v>0</v>
      </c>
      <c r="G137" s="357">
        <f>IF($T$121=$S$38,V137,ROUND(T_1_bbls_to_cbm(V137),3))</f>
        <v>0</v>
      </c>
      <c r="H137" s="357">
        <f>IF($T$121=$S$39,V137,ROUND(T_1_cbm_to_bbls(V137),2))</f>
        <v>0</v>
      </c>
      <c r="I137" s="357">
        <f t="shared" si="13"/>
        <v>0</v>
      </c>
      <c r="J137" s="357">
        <f>IF($T$121=$S$38,I137,ROUND(T_1_bbls_to_cbm(I137),3))</f>
        <v>0</v>
      </c>
      <c r="K137" s="357">
        <f>IF($T$121=$S$39,I137,ROUND(T_1_cbm_to_bbls(I137),2))</f>
        <v>0</v>
      </c>
      <c r="L137" s="357">
        <f t="shared" si="9"/>
        <v>0</v>
      </c>
      <c r="M137" s="357">
        <f t="shared" si="10"/>
        <v>0</v>
      </c>
      <c r="O137" s="391" t="s">
        <v>637</v>
      </c>
      <c r="P137" s="392" t="s">
        <v>624</v>
      </c>
      <c r="Q137" s="392" t="s">
        <v>617</v>
      </c>
      <c r="R137" s="409">
        <v>0</v>
      </c>
      <c r="S137" s="409">
        <v>35.35</v>
      </c>
      <c r="T137" s="392">
        <v>0</v>
      </c>
      <c r="U137" s="392" t="s">
        <v>618</v>
      </c>
      <c r="V137" s="392">
        <v>0</v>
      </c>
      <c r="W137" s="392" t="s">
        <v>619</v>
      </c>
      <c r="X137" s="409">
        <v>0</v>
      </c>
      <c r="Y137" s="392">
        <v>0</v>
      </c>
      <c r="Z137" s="392" t="s">
        <v>618</v>
      </c>
      <c r="AA137" s="430">
        <f t="shared" si="11"/>
        <v>0</v>
      </c>
      <c r="AB137" s="431" t="s">
        <v>618</v>
      </c>
      <c r="AC137" s="432">
        <f>IF(AND(O137="",P137="",Q137=""),"",IF(ISNUMBER(AB137)=FALSE,1,vcf(vcfTab,vcfVersion,$R$141,$AB$121,AB137,$AC$116)))</f>
        <v>1</v>
      </c>
      <c r="AD137" s="433">
        <f t="shared" si="12"/>
        <v>0</v>
      </c>
    </row>
    <row r="138" ht="11.4" customHeight="1" spans="1:30">
      <c r="A138" t="str">
        <f t="shared" si="6"/>
        <v>显示</v>
      </c>
      <c r="B138" s="378"/>
      <c r="C138" s="378"/>
      <c r="D138" s="357">
        <f t="shared" si="8"/>
        <v>0</v>
      </c>
      <c r="E138" s="357">
        <f>IF($T$121=$S$38,D138,ROUND(T_1_bbls_to_cbm(D138),3))</f>
        <v>0</v>
      </c>
      <c r="F138" s="357">
        <f>IF($T$121=$S$39,D138,ROUND(T_1_cbm_to_bbls(D138),2))</f>
        <v>0</v>
      </c>
      <c r="G138" s="357">
        <f>IF($T$121=$S$38,V138,ROUND(T_1_bbls_to_cbm(V138),3))</f>
        <v>0</v>
      </c>
      <c r="H138" s="357">
        <f>IF($T$121=$S$39,V138,ROUND(T_1_cbm_to_bbls(V138),2))</f>
        <v>0</v>
      </c>
      <c r="I138" s="357">
        <f t="shared" si="13"/>
        <v>0</v>
      </c>
      <c r="J138" s="357">
        <f>IF($T$121=$S$38,I138,ROUND(T_1_bbls_to_cbm(I138),3))</f>
        <v>0</v>
      </c>
      <c r="K138" s="357">
        <f>IF($T$121=$S$39,I138,ROUND(T_1_cbm_to_bbls(I138),2))</f>
        <v>0</v>
      </c>
      <c r="L138" s="357">
        <f t="shared" si="9"/>
        <v>0</v>
      </c>
      <c r="M138" s="357">
        <f t="shared" si="10"/>
        <v>0</v>
      </c>
      <c r="O138" s="391" t="s">
        <v>638</v>
      </c>
      <c r="P138" s="392" t="s">
        <v>624</v>
      </c>
      <c r="Q138" s="392" t="s">
        <v>617</v>
      </c>
      <c r="R138" s="409">
        <v>0</v>
      </c>
      <c r="S138" s="409">
        <v>35.35</v>
      </c>
      <c r="T138" s="392">
        <v>0</v>
      </c>
      <c r="U138" s="392" t="s">
        <v>618</v>
      </c>
      <c r="V138" s="392">
        <v>0</v>
      </c>
      <c r="W138" s="392" t="s">
        <v>619</v>
      </c>
      <c r="X138" s="409">
        <v>0</v>
      </c>
      <c r="Y138" s="392">
        <v>0</v>
      </c>
      <c r="Z138" s="392" t="s">
        <v>618</v>
      </c>
      <c r="AA138" s="430">
        <f t="shared" si="11"/>
        <v>0</v>
      </c>
      <c r="AB138" s="431" t="s">
        <v>618</v>
      </c>
      <c r="AC138" s="432">
        <f>IF(AND(O138="",P138="",Q138=""),"",IF(ISNUMBER(AB138)=FALSE,1,vcf(vcfTab,vcfVersion,$R$141,$AB$121,AB138,$AC$116)))</f>
        <v>1</v>
      </c>
      <c r="AD138" s="433">
        <f t="shared" si="12"/>
        <v>0</v>
      </c>
    </row>
    <row r="139" ht="11.4" customHeight="1" spans="1:30">
      <c r="A139" t="str">
        <f t="shared" si="6"/>
        <v>显示</v>
      </c>
      <c r="B139" s="378"/>
      <c r="C139" s="378"/>
      <c r="D139" s="357">
        <f t="shared" si="8"/>
        <v>0</v>
      </c>
      <c r="E139" s="357">
        <f>IF($T$121=$S$38,D139,ROUND(T_1_bbls_to_cbm(D139),3))</f>
        <v>0</v>
      </c>
      <c r="F139" s="357">
        <f>IF($T$121=$S$39,D139,ROUND(T_1_cbm_to_bbls(D139),2))</f>
        <v>0</v>
      </c>
      <c r="G139" s="357">
        <f>IF($T$121=$S$38,V139,ROUND(T_1_bbls_to_cbm(V139),3))</f>
        <v>0</v>
      </c>
      <c r="H139" s="357">
        <f>IF($T$121=$S$39,V139,ROUND(T_1_cbm_to_bbls(V139),2))</f>
        <v>0</v>
      </c>
      <c r="I139" s="357">
        <f t="shared" si="13"/>
        <v>0</v>
      </c>
      <c r="J139" s="357">
        <f>IF($T$121=$S$38,I139,ROUND(T_1_bbls_to_cbm(I139),3))</f>
        <v>0</v>
      </c>
      <c r="K139" s="357">
        <f>IF($T$121=$S$39,I139,ROUND(T_1_cbm_to_bbls(I139),2))</f>
        <v>0</v>
      </c>
      <c r="L139" s="357">
        <f t="shared" si="9"/>
        <v>0</v>
      </c>
      <c r="M139" s="357">
        <f t="shared" si="10"/>
        <v>0</v>
      </c>
      <c r="O139" s="434" t="s">
        <v>639</v>
      </c>
      <c r="P139" s="435" t="s">
        <v>624</v>
      </c>
      <c r="Q139" s="435" t="s">
        <v>617</v>
      </c>
      <c r="R139" s="443">
        <v>0</v>
      </c>
      <c r="S139" s="443">
        <v>35.35</v>
      </c>
      <c r="T139" s="392">
        <v>0</v>
      </c>
      <c r="U139" s="392" t="s">
        <v>618</v>
      </c>
      <c r="V139" s="392">
        <v>0</v>
      </c>
      <c r="W139" s="435" t="s">
        <v>619</v>
      </c>
      <c r="X139" s="409">
        <v>0</v>
      </c>
      <c r="Y139" s="392">
        <v>0</v>
      </c>
      <c r="Z139" s="392" t="s">
        <v>618</v>
      </c>
      <c r="AA139" s="452">
        <f t="shared" si="11"/>
        <v>0</v>
      </c>
      <c r="AB139" s="431" t="s">
        <v>618</v>
      </c>
      <c r="AC139" s="453">
        <f>IF(AND(O139="",P139="",Q139=""),"",IF(ISNUMBER(AB139)=FALSE,1,vcf(vcfTab,vcfVersion,$R$141,$AB$121,AB139,$AC$116)))</f>
        <v>1</v>
      </c>
      <c r="AD139" s="454">
        <f t="shared" si="12"/>
        <v>0</v>
      </c>
    </row>
    <row r="140" ht="11.4" customHeight="1" spans="1:30">
      <c r="A140" t="str">
        <f t="shared" si="6"/>
        <v>显示</v>
      </c>
      <c r="B140" s="377"/>
      <c r="C140" s="377"/>
      <c r="O140" s="436"/>
      <c r="P140" s="436"/>
      <c r="Q140" s="436"/>
      <c r="R140" s="436"/>
      <c r="S140" s="436"/>
      <c r="T140" s="436"/>
      <c r="U140" s="436"/>
      <c r="V140" s="436"/>
      <c r="W140" s="436"/>
      <c r="X140" s="436"/>
      <c r="Y140" s="436"/>
      <c r="Z140" s="436"/>
      <c r="AA140" s="436"/>
      <c r="AB140" s="436"/>
      <c r="AC140" s="436"/>
      <c r="AD140" s="455"/>
    </row>
    <row r="141" ht="11.4" customHeight="1" spans="1:30">
      <c r="A141" t="str">
        <f t="shared" si="6"/>
        <v>显示</v>
      </c>
      <c r="O141" s="357" t="str">
        <f>IF(LEFT(AC120,4)="T-54",S73,IF(LEFT(AC120,4)="T-60",S74,IF(LEFT(AC120,3)="T-6",S75,IF(LEFT(AC120,4)="T-24",S76,LEFT(S73,7)&amp;"/"&amp;LEFT(S75,3)&amp;"/"&amp;LEFT(S76,4)))))</f>
        <v>Density@20℃</v>
      </c>
      <c r="R141" s="444">
        <f>IF(AD115="","",Standard_Density(vcfTab,Cargo_type,Den_type,AD115,AC116))</f>
        <v>977.6</v>
      </c>
      <c r="S141" s="444"/>
      <c r="T141" s="357" t="str">
        <f>IF(OR(LEFT(vcfTab,4)="T-54",LEFT(vcfTab,4)="T-60"),"kg/m³",IF(LEFT(O141,3)="API","°",""))</f>
        <v>kg/m³</v>
      </c>
      <c r="Y141" s="456" t="str">
        <f>S87</f>
        <v>Stripped</v>
      </c>
      <c r="Z141" s="456" t="str">
        <f>S88</f>
        <v>Dropped</v>
      </c>
      <c r="AA141" s="457" t="str">
        <f>S89</f>
        <v>To Tank No.</v>
      </c>
      <c r="AB141" s="457"/>
      <c r="AC141" s="457"/>
      <c r="AD141" s="458"/>
    </row>
    <row r="142" ht="11.4" customHeight="1" spans="1:29">
      <c r="A142" t="str">
        <f t="shared" si="6"/>
        <v>显示</v>
      </c>
      <c r="V142" s="445" t="str">
        <f>S84</f>
        <v>Top Lines</v>
      </c>
      <c r="W142" s="445"/>
      <c r="X142" s="445"/>
      <c r="Y142" s="392" t="s">
        <v>601</v>
      </c>
      <c r="Z142" s="392" t="s">
        <v>449</v>
      </c>
      <c r="AA142" s="392" t="s">
        <v>631</v>
      </c>
      <c r="AB142" s="392"/>
      <c r="AC142" s="392"/>
    </row>
    <row r="143" ht="11.4" customHeight="1" spans="1:29">
      <c r="A143" t="str">
        <f t="shared" si="6"/>
        <v>显示</v>
      </c>
      <c r="O143" s="437" t="str">
        <f>S83</f>
        <v>TOTAL QUANTITY OF ROB</v>
      </c>
      <c r="V143" s="445" t="str">
        <f>S85</f>
        <v>Bottom Lines</v>
      </c>
      <c r="W143" s="445"/>
      <c r="X143" s="445"/>
      <c r="Y143" s="392" t="s">
        <v>449</v>
      </c>
      <c r="Z143" s="392" t="s">
        <v>601</v>
      </c>
      <c r="AA143" s="392" t="s">
        <v>637</v>
      </c>
      <c r="AB143" s="392"/>
      <c r="AC143" s="392"/>
    </row>
    <row r="144" ht="11.4" customHeight="1" spans="1:29">
      <c r="A144" t="str">
        <f t="shared" si="6"/>
        <v>显示</v>
      </c>
      <c r="O144" s="438" t="str">
        <f>S70</f>
        <v>GSV</v>
      </c>
      <c r="R144" s="446">
        <f>SUM(AD122:AD139)</f>
        <v>23</v>
      </c>
      <c r="S144" s="446"/>
      <c r="T144" s="357" t="str">
        <f>AD120</f>
        <v>m³
@20℃</v>
      </c>
      <c r="V144" s="445" t="str">
        <f>S86</f>
        <v>Hoses/Arms</v>
      </c>
      <c r="W144" s="445"/>
      <c r="X144" s="445"/>
      <c r="Y144" s="392" t="s">
        <v>601</v>
      </c>
      <c r="Z144" s="392" t="s">
        <v>449</v>
      </c>
      <c r="AA144" s="392" t="s">
        <v>631</v>
      </c>
      <c r="AB144" s="392"/>
      <c r="AC144" s="392"/>
    </row>
    <row r="145" ht="11.4" customHeight="1" spans="1:29">
      <c r="A145" t="str">
        <f t="shared" si="6"/>
        <v>显示</v>
      </c>
      <c r="O145" s="438" t="str">
        <f>S65</f>
        <v>Free Water</v>
      </c>
      <c r="R145" s="446">
        <f>IF(OR(LEFT(vcfTab,4)="T-60",LEFT(vcfTab,4)="T-54"),SUM(TOV_FW_CBM),SUM(TOV_FW_bbls))</f>
        <v>0</v>
      </c>
      <c r="S145" s="446"/>
      <c r="T145" s="357" t="str">
        <f>T144</f>
        <v>m³
@20℃</v>
      </c>
      <c r="V145" s="445" t="str">
        <f>S90</f>
        <v>Ballast Tanks Used during Discharge</v>
      </c>
      <c r="W145" s="445"/>
      <c r="X145" s="445"/>
      <c r="Y145" s="445"/>
      <c r="Z145" s="445"/>
      <c r="AA145" s="392" t="s">
        <v>641</v>
      </c>
      <c r="AB145" s="392"/>
      <c r="AC145" s="392"/>
    </row>
    <row r="146" ht="11.4" customHeight="1" spans="1:29">
      <c r="A146" t="str">
        <f t="shared" si="6"/>
        <v>显示</v>
      </c>
      <c r="O146" s="438" t="str">
        <f>S71</f>
        <v>TCV</v>
      </c>
      <c r="R146" s="446">
        <f>R144+R145</f>
        <v>23</v>
      </c>
      <c r="S146" s="446"/>
      <c r="T146" s="357" t="str">
        <f>T144</f>
        <v>m³
@20℃</v>
      </c>
      <c r="V146" s="447" t="str">
        <f>S91</f>
        <v>Sea Valve Seal Numbers</v>
      </c>
      <c r="W146" s="447"/>
      <c r="X146" s="447"/>
      <c r="Y146" s="459" t="s">
        <v>642</v>
      </c>
      <c r="Z146" s="460">
        <v>33557799</v>
      </c>
      <c r="AA146" s="460"/>
      <c r="AB146" s="460"/>
      <c r="AC146" s="460"/>
    </row>
    <row r="147" ht="11.4" customHeight="1" spans="1:29">
      <c r="A147" t="str">
        <f t="shared" si="6"/>
        <v>显示</v>
      </c>
      <c r="O147" s="438" t="str">
        <f>T119</f>
        <v>Liquid</v>
      </c>
      <c r="R147" s="446">
        <f>SUM(GSV_Liquid)</f>
        <v>0</v>
      </c>
      <c r="S147" s="446"/>
      <c r="T147" s="357" t="str">
        <f>T144</f>
        <v>m³
@20℃</v>
      </c>
      <c r="V147" s="447"/>
      <c r="W147" s="447"/>
      <c r="X147" s="447"/>
      <c r="Y147" s="459" t="s">
        <v>643</v>
      </c>
      <c r="Z147" s="460">
        <v>22446688</v>
      </c>
      <c r="AA147" s="460"/>
      <c r="AB147" s="460"/>
      <c r="AC147" s="460"/>
    </row>
    <row r="148" ht="11.4" customHeight="1" spans="1:29">
      <c r="A148" t="str">
        <f t="shared" si="6"/>
        <v>显示</v>
      </c>
      <c r="O148" s="438" t="str">
        <f>V119</f>
        <v>Nonliquid</v>
      </c>
      <c r="R148" s="446">
        <f>SUM(GSV_Nonliquid)</f>
        <v>23</v>
      </c>
      <c r="S148" s="446"/>
      <c r="T148" s="357" t="str">
        <f>T144</f>
        <v>m³
@20℃</v>
      </c>
      <c r="V148" s="447"/>
      <c r="W148" s="447"/>
      <c r="X148" s="447"/>
      <c r="Y148" s="459" t="s">
        <v>644</v>
      </c>
      <c r="Z148" s="460">
        <v>11335577</v>
      </c>
      <c r="AA148" s="460"/>
      <c r="AB148" s="460"/>
      <c r="AC148" s="460"/>
    </row>
    <row r="149" ht="7.95" customHeight="1" spans="1:15">
      <c r="A149" t="str">
        <f t="shared" si="6"/>
        <v>显示</v>
      </c>
      <c r="O149" s="417"/>
    </row>
    <row r="150" ht="7.95" customHeight="1" spans="1:33">
      <c r="A150" t="str">
        <f t="shared" si="6"/>
        <v>显示</v>
      </c>
      <c r="O150" s="417"/>
      <c r="AF150" s="451"/>
      <c r="AG150" s="451"/>
    </row>
    <row r="151" ht="7.95" customHeight="1" spans="1:15">
      <c r="A151" t="str">
        <f t="shared" si="6"/>
        <v>显示</v>
      </c>
      <c r="O151" s="417"/>
    </row>
    <row r="152" ht="12" customHeight="1" spans="1:15">
      <c r="A152" t="str">
        <f t="shared" si="6"/>
        <v>显示</v>
      </c>
      <c r="O152" s="437" t="str">
        <f>S16</f>
        <v>Note:</v>
      </c>
    </row>
    <row r="153" ht="14.25" spans="1:15">
      <c r="A153" t="str">
        <f t="shared" si="6"/>
        <v>显示</v>
      </c>
      <c r="O153" s="417" t="str">
        <f>S81</f>
        <v>(1) G.H.L. -- Gauge Hatch Location, F = Forward; C = Center; A = Aft; M = Average of the multiple gauge points readings.</v>
      </c>
    </row>
    <row r="154" ht="14.25" spans="1:33">
      <c r="A154" t="str">
        <f t="shared" si="6"/>
        <v>显示</v>
      </c>
      <c r="O154" s="417" t="str">
        <f>S82</f>
        <v>(2) I/U -- Innage/Ullage, I = Innage; U = Ullage.</v>
      </c>
      <c r="AG154" s="373"/>
    </row>
    <row r="155" ht="14.25" spans="1:33">
      <c r="A155" t="str">
        <f t="shared" si="6"/>
        <v>显示</v>
      </c>
      <c r="O155" s="357" t="str">
        <f>S17</f>
        <v>Remark:</v>
      </c>
      <c r="AG155" s="464"/>
    </row>
    <row r="156" ht="14.25" spans="1:33">
      <c r="A156" t="str">
        <f t="shared" si="6"/>
        <v>显示</v>
      </c>
      <c r="O156" s="397" t="str">
        <f>S92</f>
        <v>- Reference Standards: API MPMS Chapter 3.1A (2013), Chapter 7 (2012), Chapter 17.4 (2016), Chapter 17.11(2016).</v>
      </c>
      <c r="AG156" s="464"/>
    </row>
    <row r="157" ht="14.25" spans="1:33">
      <c r="A157" t="str">
        <f t="shared" si="6"/>
        <v>显示</v>
      </c>
      <c r="O157" s="397" t="str">
        <f>S93</f>
        <v>- The above ROB does not  address clingage, remaining in vessel’s lines, or cargo pumpablity. unless otherwise stated in this report.</v>
      </c>
      <c r="AG157" s="464"/>
    </row>
    <row r="158" ht="14.25" spans="1:33">
      <c r="A158" t="str">
        <f t="shared" si="6"/>
        <v>显示</v>
      </c>
      <c r="O158" s="357" t="str">
        <f>S94</f>
        <v>- Wedge volume refer to the wedge calculation report.</v>
      </c>
      <c r="AG158" s="464"/>
    </row>
    <row r="159" ht="7.95" customHeight="1" spans="1:33">
      <c r="A159" t="str">
        <f t="shared" si="6"/>
        <v>显示</v>
      </c>
      <c r="AG159" s="464"/>
    </row>
    <row r="160" ht="7.95" customHeight="1" spans="1:33">
      <c r="A160" t="str">
        <f t="shared" si="6"/>
        <v>显示</v>
      </c>
      <c r="AG160" s="464"/>
    </row>
    <row r="161" ht="7.95" customHeight="1" spans="1:33">
      <c r="A161" t="str">
        <f t="shared" si="6"/>
        <v>显示</v>
      </c>
      <c r="O161" s="439"/>
      <c r="P161" s="439"/>
      <c r="Q161" s="439"/>
      <c r="R161" s="439"/>
      <c r="S161" s="439"/>
      <c r="T161" s="439"/>
      <c r="U161" s="439"/>
      <c r="V161" s="439"/>
      <c r="W161" s="439"/>
      <c r="X161" s="439"/>
      <c r="Y161" s="439"/>
      <c r="Z161" s="439"/>
      <c r="AA161" s="439"/>
      <c r="AB161" s="439"/>
      <c r="AC161" s="439"/>
      <c r="AD161" s="439"/>
      <c r="AE161" s="439"/>
      <c r="AF161" s="439"/>
      <c r="AG161" s="439"/>
    </row>
    <row r="162" ht="14.4" hidden="1" customHeight="1" spans="1:24">
      <c r="A162" t="str">
        <f t="shared" si="6"/>
        <v>隐藏</v>
      </c>
      <c r="B162" t="str">
        <f>IF(Report_type="正式报告 Official Report","隐藏","显示")</f>
        <v>隐藏</v>
      </c>
      <c r="O162" s="440" t="str">
        <f>S10</f>
        <v>Master/Chief Officer</v>
      </c>
      <c r="X162" s="448" t="str">
        <f>S11</f>
        <v>CCIC Surveyor</v>
      </c>
    </row>
    <row r="163" ht="31.8" hidden="1" customHeight="1" spans="1:29">
      <c r="A163" t="str">
        <f t="shared" si="6"/>
        <v>隐藏</v>
      </c>
      <c r="B163" t="str">
        <f>IF(Report_type="正式报告 Official Report","隐藏","显示")</f>
        <v>隐藏</v>
      </c>
      <c r="O163" s="441" t="str">
        <f>S12</f>
        <v>Name</v>
      </c>
      <c r="Q163" s="449"/>
      <c r="R163" s="449"/>
      <c r="S163" s="449"/>
      <c r="T163" s="449"/>
      <c r="X163" s="397" t="str">
        <f>S12</f>
        <v>Name</v>
      </c>
      <c r="Y163" s="461" t="s">
        <v>10</v>
      </c>
      <c r="Z163" s="461"/>
      <c r="AA163" s="461"/>
      <c r="AB163" s="377"/>
      <c r="AC163" s="377"/>
    </row>
    <row r="164" ht="36.6" hidden="1" customHeight="1" spans="1:29">
      <c r="A164" t="str">
        <f t="shared" si="6"/>
        <v>隐藏</v>
      </c>
      <c r="B164" t="str">
        <f>IF(Report_type="正式报告 Official Report","隐藏","显示")</f>
        <v>隐藏</v>
      </c>
      <c r="O164" s="441" t="str">
        <f>S13</f>
        <v>Signature</v>
      </c>
      <c r="Q164" s="450"/>
      <c r="R164" s="450"/>
      <c r="S164" s="450"/>
      <c r="T164" s="450"/>
      <c r="X164" s="397" t="str">
        <f>S13</f>
        <v>Signature</v>
      </c>
      <c r="Y164" s="450"/>
      <c r="Z164" s="450"/>
      <c r="AA164" s="450"/>
      <c r="AB164" s="377"/>
      <c r="AC164" s="377"/>
    </row>
    <row r="165" ht="14.25" hidden="1" spans="1:1">
      <c r="A165" t="str">
        <f t="shared" si="6"/>
        <v>显示</v>
      </c>
    </row>
    <row r="166" ht="14.25" spans="1:26">
      <c r="A166" t="str">
        <f t="shared" si="6"/>
        <v>显示</v>
      </c>
      <c r="Z166" s="462"/>
    </row>
    <row r="167" ht="14.25" spans="1:26">
      <c r="A167" t="str">
        <f>IF(OR(B167="隐藏",C167="隐藏"),"隐藏","显示")</f>
        <v>显示</v>
      </c>
      <c r="Z167" s="463"/>
    </row>
    <row r="168" ht="72.6" customHeight="1" spans="1:29">
      <c r="A168" t="str">
        <f>IF(OR(B168="隐藏",C168="隐藏"),"隐藏","显示")</f>
        <v>显示</v>
      </c>
      <c r="B168" t="str">
        <f>IF(Report_type="正式报告 Official Report","显示","隐藏")</f>
        <v>显示</v>
      </c>
      <c r="Z168" s="449"/>
      <c r="AA168" s="449"/>
      <c r="AB168" s="449"/>
      <c r="AC168" s="449"/>
    </row>
    <row r="169" ht="12" customHeight="1" spans="1:26">
      <c r="A169" t="str">
        <f>IF(OR(B169="隐藏",C169="隐藏"),"隐藏","显示")</f>
        <v>显示</v>
      </c>
      <c r="B169" t="str">
        <f>IF(Report_type="正式报告 Official Report","显示","隐藏")</f>
        <v>显示</v>
      </c>
      <c r="Z169" s="357" t="str">
        <f>S14</f>
        <v>Authorized Signature (S)</v>
      </c>
    </row>
    <row r="170" ht="9" customHeight="1" spans="1:1">
      <c r="A170" t="str">
        <f>IF(OR(B170="隐藏",C170="隐藏"),"隐藏","显示")</f>
        <v>显示</v>
      </c>
    </row>
    <row r="171" ht="34.2" customHeight="1" spans="1:30">
      <c r="A171" t="str">
        <f>IF(OR(B171="隐藏",C171="隐藏"),"隐藏","显示")</f>
        <v>显示</v>
      </c>
      <c r="O171" s="442" t="str">
        <f>S15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P171" s="442"/>
      <c r="Q171" s="442"/>
      <c r="R171" s="442"/>
      <c r="S171" s="442"/>
      <c r="T171" s="442"/>
      <c r="U171" s="442"/>
      <c r="V171" s="442"/>
      <c r="W171" s="442"/>
      <c r="X171" s="442"/>
      <c r="Y171" s="442"/>
      <c r="Z171" s="442"/>
      <c r="AA171" s="442"/>
      <c r="AB171" s="442"/>
      <c r="AC171" s="442"/>
      <c r="AD171" s="442"/>
    </row>
    <row r="182" spans="37:37">
      <c r="AK182" s="465"/>
    </row>
  </sheetData>
  <mergeCells count="70">
    <mergeCell ref="O101:S101"/>
    <mergeCell ref="T101:V101"/>
    <mergeCell ref="W101:Z101"/>
    <mergeCell ref="AB103:AD103"/>
    <mergeCell ref="AB104:AD104"/>
    <mergeCell ref="W106:Y106"/>
    <mergeCell ref="Z106:AD106"/>
    <mergeCell ref="W107:Y107"/>
    <mergeCell ref="Z107:AD107"/>
    <mergeCell ref="W108:Y108"/>
    <mergeCell ref="Z108:AD108"/>
    <mergeCell ref="W109:Y109"/>
    <mergeCell ref="Z109:AD109"/>
    <mergeCell ref="W110:Y110"/>
    <mergeCell ref="Z110:AD110"/>
    <mergeCell ref="W111:Y111"/>
    <mergeCell ref="Z111:AD111"/>
    <mergeCell ref="W112:Y112"/>
    <mergeCell ref="Z112:AD112"/>
    <mergeCell ref="P115:R115"/>
    <mergeCell ref="P116:R116"/>
    <mergeCell ref="AC116:AD116"/>
    <mergeCell ref="Q118:S118"/>
    <mergeCell ref="T118:V118"/>
    <mergeCell ref="W118:Z118"/>
    <mergeCell ref="T119:U119"/>
    <mergeCell ref="W119:X119"/>
    <mergeCell ref="Y119:Z119"/>
    <mergeCell ref="R141:S141"/>
    <mergeCell ref="AA141:AC141"/>
    <mergeCell ref="V142:X142"/>
    <mergeCell ref="AA142:AC142"/>
    <mergeCell ref="V143:X143"/>
    <mergeCell ref="AA143:AC143"/>
    <mergeCell ref="R144:S144"/>
    <mergeCell ref="V144:X144"/>
    <mergeCell ref="AA144:AC144"/>
    <mergeCell ref="R145:S145"/>
    <mergeCell ref="V145:Z145"/>
    <mergeCell ref="AA145:AC145"/>
    <mergeCell ref="R146:S146"/>
    <mergeCell ref="Z146:AC146"/>
    <mergeCell ref="R147:S147"/>
    <mergeCell ref="Z147:AC147"/>
    <mergeCell ref="R148:S148"/>
    <mergeCell ref="Z148:AC148"/>
    <mergeCell ref="Y163:AA163"/>
    <mergeCell ref="O171:AD171"/>
    <mergeCell ref="O118:O121"/>
    <mergeCell ref="P1:P9"/>
    <mergeCell ref="P10:P14"/>
    <mergeCell ref="P15:P19"/>
    <mergeCell ref="P20:P21"/>
    <mergeCell ref="P22:P31"/>
    <mergeCell ref="P32:P36"/>
    <mergeCell ref="P37:P44"/>
    <mergeCell ref="P45:P55"/>
    <mergeCell ref="P56:P76"/>
    <mergeCell ref="P118:P121"/>
    <mergeCell ref="Q119:Q121"/>
    <mergeCell ref="R119:R120"/>
    <mergeCell ref="S119:S120"/>
    <mergeCell ref="W120:W121"/>
    <mergeCell ref="AA118:AA120"/>
    <mergeCell ref="AB118:AB120"/>
    <mergeCell ref="AC118:AC119"/>
    <mergeCell ref="AD118:AD119"/>
    <mergeCell ref="AD120:AD121"/>
    <mergeCell ref="O106:V112"/>
    <mergeCell ref="V146:X148"/>
  </mergeCells>
  <conditionalFormatting sqref="AD115">
    <cfRule type="expression" dxfId="2" priority="2">
      <formula>OR($AC$115=$J$20,$AC$115=$J$21,$AC$115=$J$23)</formula>
    </cfRule>
  </conditionalFormatting>
  <conditionalFormatting sqref="AC116:AD116">
    <cfRule type="expression" dxfId="3" priority="1">
      <formula>AND(Cargo_type&lt;&gt;"C")</formula>
    </cfRule>
  </conditionalFormatting>
  <conditionalFormatting sqref="AB122:AB139">
    <cfRule type="expression" dxfId="1" priority="3">
      <formula>AND($AB$121=$S$40)</formula>
    </cfRule>
    <cfRule type="expression" dxfId="4" priority="4">
      <formula>AND($AB$121=$S$41)</formula>
    </cfRule>
  </conditionalFormatting>
  <conditionalFormatting sqref="T122:V139 Y122:AA139">
    <cfRule type="expression" dxfId="1" priority="5">
      <formula>AND($T$121=$S$39)</formula>
    </cfRule>
    <cfRule type="expression" dxfId="0" priority="6">
      <formula>AND($T$121=$S$38)</formula>
    </cfRule>
  </conditionalFormatting>
  <dataValidations count="12">
    <dataValidation type="list" allowBlank="1" showInputMessage="1" showErrorMessage="1" sqref="AB121 JX121 TT121 ADP121 ANL121 AXH121 BHD121 BQZ121 CAV121 CKR121 CUN121 DEJ121 DOF121 DYB121 EHX121 ERT121 FBP121 FLL121 FVH121 GFD121 GOZ121 GYV121 HIR121 HSN121 ICJ121 IMF121 IWB121 JFX121 JPT121 JZP121 KJL121 KTH121 LDD121 LMZ121 LWV121 MGR121 MQN121 NAJ121 NKF121 NUB121 ODX121 ONT121 OXP121 PHL121 PRH121 QBD121 QKZ121 QUV121 RER121 RON121 RYJ121 SIF121 SSB121 TBX121 TLT121 TVP121 UFL121 UPH121 UZD121 VIZ121 VSV121 WCR121 WMN121 WWJ121 AB65657 JX65657 TT65657 ADP65657 ANL65657 AXH65657 BHD65657 BQZ65657 CAV65657 CKR65657 CUN65657 DEJ65657 DOF65657 DYB65657 EHX65657 ERT65657 FBP65657 FLL65657 FVH65657 GFD65657 GOZ65657 GYV65657 HIR65657 HSN65657 ICJ65657 IMF65657 IWB65657 JFX65657 JPT65657 JZP65657 KJL65657 KTH65657 LDD65657 LMZ65657 LWV65657 MGR65657 MQN65657 NAJ65657 NKF65657 NUB65657 ODX65657 ONT65657 OXP65657 PHL65657 PRH65657 QBD65657 QKZ65657 QUV65657 RER65657 RON65657 RYJ65657 SIF65657 SSB65657 TBX65657 TLT65657 TVP65657 UFL65657 UPH65657 UZD65657 VIZ65657 VSV65657 WCR65657 WMN65657 WWJ65657 AB131193 JX131193 TT131193 ADP131193 ANL131193 AXH131193 BHD131193 BQZ131193 CAV131193 CKR131193 CUN131193 DEJ131193 DOF131193 DYB131193 EHX131193 ERT131193 FBP131193 FLL131193 FVH131193 GFD131193 GOZ131193 GYV131193 HIR131193 HSN131193 ICJ131193 IMF131193 IWB131193 JFX131193 JPT131193 JZP131193 KJL131193 KTH131193 LDD131193 LMZ131193 LWV131193 MGR131193 MQN131193 NAJ131193 NKF131193 NUB131193 ODX131193 ONT131193 OXP131193 PHL131193 PRH131193 QBD131193 QKZ131193 QUV131193 RER131193 RON131193 RYJ131193 SIF131193 SSB131193 TBX131193 TLT131193 TVP131193 UFL131193 UPH131193 UZD131193 VIZ131193 VSV131193 WCR131193 WMN131193 WWJ131193 AB196729 JX196729 TT196729 ADP196729 ANL196729 AXH196729 BHD196729 BQZ196729 CAV196729 CKR196729 CUN196729 DEJ196729 DOF196729 DYB196729 EHX196729 ERT196729 FBP196729 FLL196729 FVH196729 GFD196729 GOZ196729 GYV196729 HIR196729 HSN196729 ICJ196729 IMF196729 IWB196729 JFX196729 JPT196729 JZP196729 KJL196729 KTH196729 LDD196729 LMZ196729 LWV196729 MGR196729 MQN196729 NAJ196729 NKF196729 NUB196729 ODX196729 ONT196729 OXP196729 PHL196729 PRH196729 QBD196729 QKZ196729 QUV196729 RER196729 RON196729 RYJ196729 SIF196729 SSB196729 TBX196729 TLT196729 TVP196729 UFL196729 UPH196729 UZD196729 VIZ196729 VSV196729 WCR196729 WMN196729 WWJ196729 AB262265 JX262265 TT262265 ADP262265 ANL262265 AXH262265 BHD262265 BQZ262265 CAV262265 CKR262265 CUN262265 DEJ262265 DOF262265 DYB262265 EHX262265 ERT262265 FBP262265 FLL262265 FVH262265 GFD262265 GOZ262265 GYV262265 HIR262265 HSN262265 ICJ262265 IMF262265 IWB262265 JFX262265 JPT262265 JZP262265 KJL262265 KTH262265 LDD262265 LMZ262265 LWV262265 MGR262265 MQN262265 NAJ262265 NKF262265 NUB262265 ODX262265 ONT262265 OXP262265 PHL262265 PRH262265 QBD262265 QKZ262265 QUV262265 RER262265 RON262265 RYJ262265 SIF262265 SSB262265 TBX262265 TLT262265 TVP262265 UFL262265 UPH262265 UZD262265 VIZ262265 VSV262265 WCR262265 WMN262265 WWJ262265 AB327801 JX327801 TT327801 ADP327801 ANL327801 AXH327801 BHD327801 BQZ327801 CAV327801 CKR327801 CUN327801 DEJ327801 DOF327801 DYB327801 EHX327801 ERT327801 FBP327801 FLL327801 FVH327801 GFD327801 GOZ327801 GYV327801 HIR327801 HSN327801 ICJ327801 IMF327801 IWB327801 JFX327801 JPT327801 JZP327801 KJL327801 KTH327801 LDD327801 LMZ327801 LWV327801 MGR327801 MQN327801 NAJ327801 NKF327801 NUB327801 ODX327801 ONT327801 OXP327801 PHL327801 PRH327801 QBD327801 QKZ327801 QUV327801 RER327801 RON327801 RYJ327801 SIF327801 SSB327801 TBX327801 TLT327801 TVP327801 UFL327801 UPH327801 UZD327801 VIZ327801 VSV327801 WCR327801 WMN327801 WWJ327801 AB393337 JX393337 TT393337 ADP393337 ANL393337 AXH393337 BHD393337 BQZ393337 CAV393337 CKR393337 CUN393337 DEJ393337 DOF393337 DYB393337 EHX393337 ERT393337 FBP393337 FLL393337 FVH393337 GFD393337 GOZ393337 GYV393337 HIR393337 HSN393337 ICJ393337 IMF393337 IWB393337 JFX393337 JPT393337 JZP393337 KJL393337 KTH393337 LDD393337 LMZ393337 LWV393337 MGR393337 MQN393337 NAJ393337 NKF393337 NUB393337 ODX393337 ONT393337 OXP393337 PHL393337 PRH393337 QBD393337 QKZ393337 QUV393337 RER393337 RON393337 RYJ393337 SIF393337 SSB393337 TBX393337 TLT393337 TVP393337 UFL393337 UPH393337 UZD393337 VIZ393337 VSV393337 WCR393337 WMN393337 WWJ393337 AB458873 JX458873 TT458873 ADP458873 ANL458873 AXH458873 BHD458873 BQZ458873 CAV458873 CKR458873 CUN458873 DEJ458873 DOF458873 DYB458873 EHX458873 ERT458873 FBP458873 FLL458873 FVH458873 GFD458873 GOZ458873 GYV458873 HIR458873 HSN458873 ICJ458873 IMF458873 IWB458873 JFX458873 JPT458873 JZP458873 KJL458873 KTH458873 LDD458873 LMZ458873 LWV458873 MGR458873 MQN458873 NAJ458873 NKF458873 NUB458873 ODX458873 ONT458873 OXP458873 PHL458873 PRH458873 QBD458873 QKZ458873 QUV458873 RER458873 RON458873 RYJ458873 SIF458873 SSB458873 TBX458873 TLT458873 TVP458873 UFL458873 UPH458873 UZD458873 VIZ458873 VSV458873 WCR458873 WMN458873 WWJ458873 AB524409 JX524409 TT524409 ADP524409 ANL524409 AXH524409 BHD524409 BQZ524409 CAV524409 CKR524409 CUN524409 DEJ524409 DOF524409 DYB524409 EHX524409 ERT524409 FBP524409 FLL524409 FVH524409 GFD524409 GOZ524409 GYV524409 HIR524409 HSN524409 ICJ524409 IMF524409 IWB524409 JFX524409 JPT524409 JZP524409 KJL524409 KTH524409 LDD524409 LMZ524409 LWV524409 MGR524409 MQN524409 NAJ524409 NKF524409 NUB524409 ODX524409 ONT524409 OXP524409 PHL524409 PRH524409 QBD524409 QKZ524409 QUV524409 RER524409 RON524409 RYJ524409 SIF524409 SSB524409 TBX524409 TLT524409 TVP524409 UFL524409 UPH524409 UZD524409 VIZ524409 VSV524409 WCR524409 WMN524409 WWJ524409 AB589945 JX589945 TT589945 ADP589945 ANL589945 AXH589945 BHD589945 BQZ589945 CAV589945 CKR589945 CUN589945 DEJ589945 DOF589945 DYB589945 EHX589945 ERT589945 FBP589945 FLL589945 FVH589945 GFD589945 GOZ589945 GYV589945 HIR589945 HSN589945 ICJ589945 IMF589945 IWB589945 JFX589945 JPT589945 JZP589945 KJL589945 KTH589945 LDD589945 LMZ589945 LWV589945 MGR589945 MQN589945 NAJ589945 NKF589945 NUB589945 ODX589945 ONT589945 OXP589945 PHL589945 PRH589945 QBD589945 QKZ589945 QUV589945 RER589945 RON589945 RYJ589945 SIF589945 SSB589945 TBX589945 TLT589945 TVP589945 UFL589945 UPH589945 UZD589945 VIZ589945 VSV589945 WCR589945 WMN589945 WWJ589945 AB655481 JX655481 TT655481 ADP655481 ANL655481 AXH655481 BHD655481 BQZ655481 CAV655481 CKR655481 CUN655481 DEJ655481 DOF655481 DYB655481 EHX655481 ERT655481 FBP655481 FLL655481 FVH655481 GFD655481 GOZ655481 GYV655481 HIR655481 HSN655481 ICJ655481 IMF655481 IWB655481 JFX655481 JPT655481 JZP655481 KJL655481 KTH655481 LDD655481 LMZ655481 LWV655481 MGR655481 MQN655481 NAJ655481 NKF655481 NUB655481 ODX655481 ONT655481 OXP655481 PHL655481 PRH655481 QBD655481 QKZ655481 QUV655481 RER655481 RON655481 RYJ655481 SIF655481 SSB655481 TBX655481 TLT655481 TVP655481 UFL655481 UPH655481 UZD655481 VIZ655481 VSV655481 WCR655481 WMN655481 WWJ655481 AB721017 JX721017 TT721017 ADP721017 ANL721017 AXH721017 BHD721017 BQZ721017 CAV721017 CKR721017 CUN721017 DEJ721017 DOF721017 DYB721017 EHX721017 ERT721017 FBP721017 FLL721017 FVH721017 GFD721017 GOZ721017 GYV721017 HIR721017 HSN721017 ICJ721017 IMF721017 IWB721017 JFX721017 JPT721017 JZP721017 KJL721017 KTH721017 LDD721017 LMZ721017 LWV721017 MGR721017 MQN721017 NAJ721017 NKF721017 NUB721017 ODX721017 ONT721017 OXP721017 PHL721017 PRH721017 QBD721017 QKZ721017 QUV721017 RER721017 RON721017 RYJ721017 SIF721017 SSB721017 TBX721017 TLT721017 TVP721017 UFL721017 UPH721017 UZD721017 VIZ721017 VSV721017 WCR721017 WMN721017 WWJ721017 AB786553 JX786553 TT786553 ADP786553 ANL786553 AXH786553 BHD786553 BQZ786553 CAV786553 CKR786553 CUN786553 DEJ786553 DOF786553 DYB786553 EHX786553 ERT786553 FBP786553 FLL786553 FVH786553 GFD786553 GOZ786553 GYV786553 HIR786553 HSN786553 ICJ786553 IMF786553 IWB786553 JFX786553 JPT786553 JZP786553 KJL786553 KTH786553 LDD786553 LMZ786553 LWV786553 MGR786553 MQN786553 NAJ786553 NKF786553 NUB786553 ODX786553 ONT786553 OXP786553 PHL786553 PRH786553 QBD786553 QKZ786553 QUV786553 RER786553 RON786553 RYJ786553 SIF786553 SSB786553 TBX786553 TLT786553 TVP786553 UFL786553 UPH786553 UZD786553 VIZ786553 VSV786553 WCR786553 WMN786553 WWJ786553 AB852089 JX852089 TT852089 ADP852089 ANL852089 AXH852089 BHD852089 BQZ852089 CAV852089 CKR852089 CUN852089 DEJ852089 DOF852089 DYB852089 EHX852089 ERT852089 FBP852089 FLL852089 FVH852089 GFD852089 GOZ852089 GYV852089 HIR852089 HSN852089 ICJ852089 IMF852089 IWB852089 JFX852089 JPT852089 JZP852089 KJL852089 KTH852089 LDD852089 LMZ852089 LWV852089 MGR852089 MQN852089 NAJ852089 NKF852089 NUB852089 ODX852089 ONT852089 OXP852089 PHL852089 PRH852089 QBD852089 QKZ852089 QUV852089 RER852089 RON852089 RYJ852089 SIF852089 SSB852089 TBX852089 TLT852089 TVP852089 UFL852089 UPH852089 UZD852089 VIZ852089 VSV852089 WCR852089 WMN852089 WWJ852089 AB917625 JX917625 TT917625 ADP917625 ANL917625 AXH917625 BHD917625 BQZ917625 CAV917625 CKR917625 CUN917625 DEJ917625 DOF917625 DYB917625 EHX917625 ERT917625 FBP917625 FLL917625 FVH917625 GFD917625 GOZ917625 GYV917625 HIR917625 HSN917625 ICJ917625 IMF917625 IWB917625 JFX917625 JPT917625 JZP917625 KJL917625 KTH917625 LDD917625 LMZ917625 LWV917625 MGR917625 MQN917625 NAJ917625 NKF917625 NUB917625 ODX917625 ONT917625 OXP917625 PHL917625 PRH917625 QBD917625 QKZ917625 QUV917625 RER917625 RON917625 RYJ917625 SIF917625 SSB917625 TBX917625 TLT917625 TVP917625 UFL917625 UPH917625 UZD917625 VIZ917625 VSV917625 WCR917625 WMN917625 WWJ917625 AB983161 JX983161 TT983161 ADP983161 ANL983161 AXH983161 BHD983161 BQZ983161 CAV983161 CKR983161 CUN983161 DEJ983161 DOF983161 DYB983161 EHX983161 ERT983161 FBP983161 FLL983161 FVH983161 GFD983161 GOZ983161 GYV983161 HIR983161 HSN983161 ICJ983161 IMF983161 IWB983161 JFX983161 JPT983161 JZP983161 KJL983161 KTH983161 LDD983161 LMZ983161 LWV983161 MGR983161 MQN983161 NAJ983161 NKF983161 NUB983161 ODX983161 ONT983161 OXP983161 PHL983161 PRH983161 QBD983161 QKZ983161 QUV983161 RER983161 RON983161 RYJ983161 SIF983161 SSB983161 TBX983161 TLT983161 TVP983161 UFL983161 UPH983161 UZD983161 VIZ983161 VSV983161 WCR983161 WMN983161 WWJ983161">
      <formula1>OFFSET($S$40:$S$41,,,2)</formula1>
    </dataValidation>
    <dataValidation type="list" allowBlank="1" showInputMessage="1" showErrorMessage="1" sqref="JK102:JO102 TG102:TK102 ADC102:ADG102 AMY102:ANC102 AWU102:AWY102 BGQ102:BGU102 BQM102:BQQ102 CAI102:CAM102 CKE102:CKI102 CUA102:CUE102 DDW102:DEA102 DNS102:DNW102 DXO102:DXS102 EHK102:EHO102 ERG102:ERK102 FBC102:FBG102 FKY102:FLC102 FUU102:FUY102 GEQ102:GEU102 GOM102:GOQ102 GYI102:GYM102 HIE102:HII102 HSA102:HSE102 IBW102:ICA102 ILS102:ILW102 IVO102:IVS102 JFK102:JFO102 JPG102:JPK102 JZC102:JZG102 KIY102:KJC102 KSU102:KSY102 LCQ102:LCU102 LMM102:LMQ102 LWI102:LWM102 MGE102:MGI102 MQA102:MQE102 MZW102:NAA102 NJS102:NJW102 NTO102:NTS102 ODK102:ODO102 ONG102:ONK102 OXC102:OXG102 PGY102:PHC102 PQU102:PQY102 QAQ102:QAU102 QKM102:QKQ102 QUI102:QUM102 REE102:REI102 ROA102:ROE102 RXW102:RYA102 SHS102:SHW102 SRO102:SRS102 TBK102:TBO102 TLG102:TLK102 TVC102:TVG102 UEY102:UFC102 UOU102:UOY102 UYQ102:UYU102 VIM102:VIQ102 VSI102:VSM102 WCE102:WCI102 WMA102:WME102 WVW102:WWA102 O65639:S65639 JK65639:JO65639 TG65639:TK65639 ADC65639:ADG65639 AMY65639:ANC65639 AWU65639:AWY65639 BGQ65639:BGU65639 BQM65639:BQQ65639 CAI65639:CAM65639 CKE65639:CKI65639 CUA65639:CUE65639 DDW65639:DEA65639 DNS65639:DNW65639 DXO65639:DXS65639 EHK65639:EHO65639 ERG65639:ERK65639 FBC65639:FBG65639 FKY65639:FLC65639 FUU65639:FUY65639 GEQ65639:GEU65639 GOM65639:GOQ65639 GYI65639:GYM65639 HIE65639:HII65639 HSA65639:HSE65639 IBW65639:ICA65639 ILS65639:ILW65639 IVO65639:IVS65639 JFK65639:JFO65639 JPG65639:JPK65639 JZC65639:JZG65639 KIY65639:KJC65639 KSU65639:KSY65639 LCQ65639:LCU65639 LMM65639:LMQ65639 LWI65639:LWM65639 MGE65639:MGI65639 MQA65639:MQE65639 MZW65639:NAA65639 NJS65639:NJW65639 NTO65639:NTS65639 ODK65639:ODO65639 ONG65639:ONK65639 OXC65639:OXG65639 PGY65639:PHC65639 PQU65639:PQY65639 QAQ65639:QAU65639 QKM65639:QKQ65639 QUI65639:QUM65639 REE65639:REI65639 ROA65639:ROE65639 RXW65639:RYA65639 SHS65639:SHW65639 SRO65639:SRS65639 TBK65639:TBO65639 TLG65639:TLK65639 TVC65639:TVG65639 UEY65639:UFC65639 UOU65639:UOY65639 UYQ65639:UYU65639 VIM65639:VIQ65639 VSI65639:VSM65639 WCE65639:WCI65639 WMA65639:WME65639 WVW65639:WWA65639 O131175:S131175 JK131175:JO131175 TG131175:TK131175 ADC131175:ADG131175 AMY131175:ANC131175 AWU131175:AWY131175 BGQ131175:BGU131175 BQM131175:BQQ131175 CAI131175:CAM131175 CKE131175:CKI131175 CUA131175:CUE131175 DDW131175:DEA131175 DNS131175:DNW131175 DXO131175:DXS131175 EHK131175:EHO131175 ERG131175:ERK131175 FBC131175:FBG131175 FKY131175:FLC131175 FUU131175:FUY131175 GEQ131175:GEU131175 GOM131175:GOQ131175 GYI131175:GYM131175 HIE131175:HII131175 HSA131175:HSE131175 IBW131175:ICA131175 ILS131175:ILW131175 IVO131175:IVS131175 JFK131175:JFO131175 JPG131175:JPK131175 JZC131175:JZG131175 KIY131175:KJC131175 KSU131175:KSY131175 LCQ131175:LCU131175 LMM131175:LMQ131175 LWI131175:LWM131175 MGE131175:MGI131175 MQA131175:MQE131175 MZW131175:NAA131175 NJS131175:NJW131175 NTO131175:NTS131175 ODK131175:ODO131175 ONG131175:ONK131175 OXC131175:OXG131175 PGY131175:PHC131175 PQU131175:PQY131175 QAQ131175:QAU131175 QKM131175:QKQ131175 QUI131175:QUM131175 REE131175:REI131175 ROA131175:ROE131175 RXW131175:RYA131175 SHS131175:SHW131175 SRO131175:SRS131175 TBK131175:TBO131175 TLG131175:TLK131175 TVC131175:TVG131175 UEY131175:UFC131175 UOU131175:UOY131175 UYQ131175:UYU131175 VIM131175:VIQ131175 VSI131175:VSM131175 WCE131175:WCI131175 WMA131175:WME131175 WVW131175:WWA131175 O196711:S196711 JK196711:JO196711 TG196711:TK196711 ADC196711:ADG196711 AMY196711:ANC196711 AWU196711:AWY196711 BGQ196711:BGU196711 BQM196711:BQQ196711 CAI196711:CAM196711 CKE196711:CKI196711 CUA196711:CUE196711 DDW196711:DEA196711 DNS196711:DNW196711 DXO196711:DXS196711 EHK196711:EHO196711 ERG196711:ERK196711 FBC196711:FBG196711 FKY196711:FLC196711 FUU196711:FUY196711 GEQ196711:GEU196711 GOM196711:GOQ196711 GYI196711:GYM196711 HIE196711:HII196711 HSA196711:HSE196711 IBW196711:ICA196711 ILS196711:ILW196711 IVO196711:IVS196711 JFK196711:JFO196711 JPG196711:JPK196711 JZC196711:JZG196711 KIY196711:KJC196711 KSU196711:KSY196711 LCQ196711:LCU196711 LMM196711:LMQ196711 LWI196711:LWM196711 MGE196711:MGI196711 MQA196711:MQE196711 MZW196711:NAA196711 NJS196711:NJW196711 NTO196711:NTS196711 ODK196711:ODO196711 ONG196711:ONK196711 OXC196711:OXG196711 PGY196711:PHC196711 PQU196711:PQY196711 QAQ196711:QAU196711 QKM196711:QKQ196711 QUI196711:QUM196711 REE196711:REI196711 ROA196711:ROE196711 RXW196711:RYA196711 SHS196711:SHW196711 SRO196711:SRS196711 TBK196711:TBO196711 TLG196711:TLK196711 TVC196711:TVG196711 UEY196711:UFC196711 UOU196711:UOY196711 UYQ196711:UYU196711 VIM196711:VIQ196711 VSI196711:VSM196711 WCE196711:WCI196711 WMA196711:WME196711 WVW196711:WWA196711 O262247:S262247 JK262247:JO262247 TG262247:TK262247 ADC262247:ADG262247 AMY262247:ANC262247 AWU262247:AWY262247 BGQ262247:BGU262247 BQM262247:BQQ262247 CAI262247:CAM262247 CKE262247:CKI262247 CUA262247:CUE262247 DDW262247:DEA262247 DNS262247:DNW262247 DXO262247:DXS262247 EHK262247:EHO262247 ERG262247:ERK262247 FBC262247:FBG262247 FKY262247:FLC262247 FUU262247:FUY262247 GEQ262247:GEU262247 GOM262247:GOQ262247 GYI262247:GYM262247 HIE262247:HII262247 HSA262247:HSE262247 IBW262247:ICA262247 ILS262247:ILW262247 IVO262247:IVS262247 JFK262247:JFO262247 JPG262247:JPK262247 JZC262247:JZG262247 KIY262247:KJC262247 KSU262247:KSY262247 LCQ262247:LCU262247 LMM262247:LMQ262247 LWI262247:LWM262247 MGE262247:MGI262247 MQA262247:MQE262247 MZW262247:NAA262247 NJS262247:NJW262247 NTO262247:NTS262247 ODK262247:ODO262247 ONG262247:ONK262247 OXC262247:OXG262247 PGY262247:PHC262247 PQU262247:PQY262247 QAQ262247:QAU262247 QKM262247:QKQ262247 QUI262247:QUM262247 REE262247:REI262247 ROA262247:ROE262247 RXW262247:RYA262247 SHS262247:SHW262247 SRO262247:SRS262247 TBK262247:TBO262247 TLG262247:TLK262247 TVC262247:TVG262247 UEY262247:UFC262247 UOU262247:UOY262247 UYQ262247:UYU262247 VIM262247:VIQ262247 VSI262247:VSM262247 WCE262247:WCI262247 WMA262247:WME262247 WVW262247:WWA262247 O327783:S327783 JK327783:JO327783 TG327783:TK327783 ADC327783:ADG327783 AMY327783:ANC327783 AWU327783:AWY327783 BGQ327783:BGU327783 BQM327783:BQQ327783 CAI327783:CAM327783 CKE327783:CKI327783 CUA327783:CUE327783 DDW327783:DEA327783 DNS327783:DNW327783 DXO327783:DXS327783 EHK327783:EHO327783 ERG327783:ERK327783 FBC327783:FBG327783 FKY327783:FLC327783 FUU327783:FUY327783 GEQ327783:GEU327783 GOM327783:GOQ327783 GYI327783:GYM327783 HIE327783:HII327783 HSA327783:HSE327783 IBW327783:ICA327783 ILS327783:ILW327783 IVO327783:IVS327783 JFK327783:JFO327783 JPG327783:JPK327783 JZC327783:JZG327783 KIY327783:KJC327783 KSU327783:KSY327783 LCQ327783:LCU327783 LMM327783:LMQ327783 LWI327783:LWM327783 MGE327783:MGI327783 MQA327783:MQE327783 MZW327783:NAA327783 NJS327783:NJW327783 NTO327783:NTS327783 ODK327783:ODO327783 ONG327783:ONK327783 OXC327783:OXG327783 PGY327783:PHC327783 PQU327783:PQY327783 QAQ327783:QAU327783 QKM327783:QKQ327783 QUI327783:QUM327783 REE327783:REI327783 ROA327783:ROE327783 RXW327783:RYA327783 SHS327783:SHW327783 SRO327783:SRS327783 TBK327783:TBO327783 TLG327783:TLK327783 TVC327783:TVG327783 UEY327783:UFC327783 UOU327783:UOY327783 UYQ327783:UYU327783 VIM327783:VIQ327783 VSI327783:VSM327783 WCE327783:WCI327783 WMA327783:WME327783 WVW327783:WWA327783 O393319:S393319 JK393319:JO393319 TG393319:TK393319 ADC393319:ADG393319 AMY393319:ANC393319 AWU393319:AWY393319 BGQ393319:BGU393319 BQM393319:BQQ393319 CAI393319:CAM393319 CKE393319:CKI393319 CUA393319:CUE393319 DDW393319:DEA393319 DNS393319:DNW393319 DXO393319:DXS393319 EHK393319:EHO393319 ERG393319:ERK393319 FBC393319:FBG393319 FKY393319:FLC393319 FUU393319:FUY393319 GEQ393319:GEU393319 GOM393319:GOQ393319 GYI393319:GYM393319 HIE393319:HII393319 HSA393319:HSE393319 IBW393319:ICA393319 ILS393319:ILW393319 IVO393319:IVS393319 JFK393319:JFO393319 JPG393319:JPK393319 JZC393319:JZG393319 KIY393319:KJC393319 KSU393319:KSY393319 LCQ393319:LCU393319 LMM393319:LMQ393319 LWI393319:LWM393319 MGE393319:MGI393319 MQA393319:MQE393319 MZW393319:NAA393319 NJS393319:NJW393319 NTO393319:NTS393319 ODK393319:ODO393319 ONG393319:ONK393319 OXC393319:OXG393319 PGY393319:PHC393319 PQU393319:PQY393319 QAQ393319:QAU393319 QKM393319:QKQ393319 QUI393319:QUM393319 REE393319:REI393319 ROA393319:ROE393319 RXW393319:RYA393319 SHS393319:SHW393319 SRO393319:SRS393319 TBK393319:TBO393319 TLG393319:TLK393319 TVC393319:TVG393319 UEY393319:UFC393319 UOU393319:UOY393319 UYQ393319:UYU393319 VIM393319:VIQ393319 VSI393319:VSM393319 WCE393319:WCI393319 WMA393319:WME393319 WVW393319:WWA393319 O458855:S458855 JK458855:JO458855 TG458855:TK458855 ADC458855:ADG458855 AMY458855:ANC458855 AWU458855:AWY458855 BGQ458855:BGU458855 BQM458855:BQQ458855 CAI458855:CAM458855 CKE458855:CKI458855 CUA458855:CUE458855 DDW458855:DEA458855 DNS458855:DNW458855 DXO458855:DXS458855 EHK458855:EHO458855 ERG458855:ERK458855 FBC458855:FBG458855 FKY458855:FLC458855 FUU458855:FUY458855 GEQ458855:GEU458855 GOM458855:GOQ458855 GYI458855:GYM458855 HIE458855:HII458855 HSA458855:HSE458855 IBW458855:ICA458855 ILS458855:ILW458855 IVO458855:IVS458855 JFK458855:JFO458855 JPG458855:JPK458855 JZC458855:JZG458855 KIY458855:KJC458855 KSU458855:KSY458855 LCQ458855:LCU458855 LMM458855:LMQ458855 LWI458855:LWM458855 MGE458855:MGI458855 MQA458855:MQE458855 MZW458855:NAA458855 NJS458855:NJW458855 NTO458855:NTS458855 ODK458855:ODO458855 ONG458855:ONK458855 OXC458855:OXG458855 PGY458855:PHC458855 PQU458855:PQY458855 QAQ458855:QAU458855 QKM458855:QKQ458855 QUI458855:QUM458855 REE458855:REI458855 ROA458855:ROE458855 RXW458855:RYA458855 SHS458855:SHW458855 SRO458855:SRS458855 TBK458855:TBO458855 TLG458855:TLK458855 TVC458855:TVG458855 UEY458855:UFC458855 UOU458855:UOY458855 UYQ458855:UYU458855 VIM458855:VIQ458855 VSI458855:VSM458855 WCE458855:WCI458855 WMA458855:WME458855 WVW458855:WWA458855 O524391:S524391 JK524391:JO524391 TG524391:TK524391 ADC524391:ADG524391 AMY524391:ANC524391 AWU524391:AWY524391 BGQ524391:BGU524391 BQM524391:BQQ524391 CAI524391:CAM524391 CKE524391:CKI524391 CUA524391:CUE524391 DDW524391:DEA524391 DNS524391:DNW524391 DXO524391:DXS524391 EHK524391:EHO524391 ERG524391:ERK524391 FBC524391:FBG524391 FKY524391:FLC524391 FUU524391:FUY524391 GEQ524391:GEU524391 GOM524391:GOQ524391 GYI524391:GYM524391 HIE524391:HII524391 HSA524391:HSE524391 IBW524391:ICA524391 ILS524391:ILW524391 IVO524391:IVS524391 JFK524391:JFO524391 JPG524391:JPK524391 JZC524391:JZG524391 KIY524391:KJC524391 KSU524391:KSY524391 LCQ524391:LCU524391 LMM524391:LMQ524391 LWI524391:LWM524391 MGE524391:MGI524391 MQA524391:MQE524391 MZW524391:NAA524391 NJS524391:NJW524391 NTO524391:NTS524391 ODK524391:ODO524391 ONG524391:ONK524391 OXC524391:OXG524391 PGY524391:PHC524391 PQU524391:PQY524391 QAQ524391:QAU524391 QKM524391:QKQ524391 QUI524391:QUM524391 REE524391:REI524391 ROA524391:ROE524391 RXW524391:RYA524391 SHS524391:SHW524391 SRO524391:SRS524391 TBK524391:TBO524391 TLG524391:TLK524391 TVC524391:TVG524391 UEY524391:UFC524391 UOU524391:UOY524391 UYQ524391:UYU524391 VIM524391:VIQ524391 VSI524391:VSM524391 WCE524391:WCI524391 WMA524391:WME524391 WVW524391:WWA524391 O589927:S589927 JK589927:JO589927 TG589927:TK589927 ADC589927:ADG589927 AMY589927:ANC589927 AWU589927:AWY589927 BGQ589927:BGU589927 BQM589927:BQQ589927 CAI589927:CAM589927 CKE589927:CKI589927 CUA589927:CUE589927 DDW589927:DEA589927 DNS589927:DNW589927 DXO589927:DXS589927 EHK589927:EHO589927 ERG589927:ERK589927 FBC589927:FBG589927 FKY589927:FLC589927 FUU589927:FUY589927 GEQ589927:GEU589927 GOM589927:GOQ589927 GYI589927:GYM589927 HIE589927:HII589927 HSA589927:HSE589927 IBW589927:ICA589927 ILS589927:ILW589927 IVO589927:IVS589927 JFK589927:JFO589927 JPG589927:JPK589927 JZC589927:JZG589927 KIY589927:KJC589927 KSU589927:KSY589927 LCQ589927:LCU589927 LMM589927:LMQ589927 LWI589927:LWM589927 MGE589927:MGI589927 MQA589927:MQE589927 MZW589927:NAA589927 NJS589927:NJW589927 NTO589927:NTS589927 ODK589927:ODO589927 ONG589927:ONK589927 OXC589927:OXG589927 PGY589927:PHC589927 PQU589927:PQY589927 QAQ589927:QAU589927 QKM589927:QKQ589927 QUI589927:QUM589927 REE589927:REI589927 ROA589927:ROE589927 RXW589927:RYA589927 SHS589927:SHW589927 SRO589927:SRS589927 TBK589927:TBO589927 TLG589927:TLK589927 TVC589927:TVG589927 UEY589927:UFC589927 UOU589927:UOY589927 UYQ589927:UYU589927 VIM589927:VIQ589927 VSI589927:VSM589927 WCE589927:WCI589927 WMA589927:WME589927 WVW589927:WWA589927 O655463:S655463 JK655463:JO655463 TG655463:TK655463 ADC655463:ADG655463 AMY655463:ANC655463 AWU655463:AWY655463 BGQ655463:BGU655463 BQM655463:BQQ655463 CAI655463:CAM655463 CKE655463:CKI655463 CUA655463:CUE655463 DDW655463:DEA655463 DNS655463:DNW655463 DXO655463:DXS655463 EHK655463:EHO655463 ERG655463:ERK655463 FBC655463:FBG655463 FKY655463:FLC655463 FUU655463:FUY655463 GEQ655463:GEU655463 GOM655463:GOQ655463 GYI655463:GYM655463 HIE655463:HII655463 HSA655463:HSE655463 IBW655463:ICA655463 ILS655463:ILW655463 IVO655463:IVS655463 JFK655463:JFO655463 JPG655463:JPK655463 JZC655463:JZG655463 KIY655463:KJC655463 KSU655463:KSY655463 LCQ655463:LCU655463 LMM655463:LMQ655463 LWI655463:LWM655463 MGE655463:MGI655463 MQA655463:MQE655463 MZW655463:NAA655463 NJS655463:NJW655463 NTO655463:NTS655463 ODK655463:ODO655463 ONG655463:ONK655463 OXC655463:OXG655463 PGY655463:PHC655463 PQU655463:PQY655463 QAQ655463:QAU655463 QKM655463:QKQ655463 QUI655463:QUM655463 REE655463:REI655463 ROA655463:ROE655463 RXW655463:RYA655463 SHS655463:SHW655463 SRO655463:SRS655463 TBK655463:TBO655463 TLG655463:TLK655463 TVC655463:TVG655463 UEY655463:UFC655463 UOU655463:UOY655463 UYQ655463:UYU655463 VIM655463:VIQ655463 VSI655463:VSM655463 WCE655463:WCI655463 WMA655463:WME655463 WVW655463:WWA655463 O720999:S720999 JK720999:JO720999 TG720999:TK720999 ADC720999:ADG720999 AMY720999:ANC720999 AWU720999:AWY720999 BGQ720999:BGU720999 BQM720999:BQQ720999 CAI720999:CAM720999 CKE720999:CKI720999 CUA720999:CUE720999 DDW720999:DEA720999 DNS720999:DNW720999 DXO720999:DXS720999 EHK720999:EHO720999 ERG720999:ERK720999 FBC720999:FBG720999 FKY720999:FLC720999 FUU720999:FUY720999 GEQ720999:GEU720999 GOM720999:GOQ720999 GYI720999:GYM720999 HIE720999:HII720999 HSA720999:HSE720999 IBW720999:ICA720999 ILS720999:ILW720999 IVO720999:IVS720999 JFK720999:JFO720999 JPG720999:JPK720999 JZC720999:JZG720999 KIY720999:KJC720999 KSU720999:KSY720999 LCQ720999:LCU720999 LMM720999:LMQ720999 LWI720999:LWM720999 MGE720999:MGI720999 MQA720999:MQE720999 MZW720999:NAA720999 NJS720999:NJW720999 NTO720999:NTS720999 ODK720999:ODO720999 ONG720999:ONK720999 OXC720999:OXG720999 PGY720999:PHC720999 PQU720999:PQY720999 QAQ720999:QAU720999 QKM720999:QKQ720999 QUI720999:QUM720999 REE720999:REI720999 ROA720999:ROE720999 RXW720999:RYA720999 SHS720999:SHW720999 SRO720999:SRS720999 TBK720999:TBO720999 TLG720999:TLK720999 TVC720999:TVG720999 UEY720999:UFC720999 UOU720999:UOY720999 UYQ720999:UYU720999 VIM720999:VIQ720999 VSI720999:VSM720999 WCE720999:WCI720999 WMA720999:WME720999 WVW720999:WWA720999 O786535:S786535 JK786535:JO786535 TG786535:TK786535 ADC786535:ADG786535 AMY786535:ANC786535 AWU786535:AWY786535 BGQ786535:BGU786535 BQM786535:BQQ786535 CAI786535:CAM786535 CKE786535:CKI786535 CUA786535:CUE786535 DDW786535:DEA786535 DNS786535:DNW786535 DXO786535:DXS786535 EHK786535:EHO786535 ERG786535:ERK786535 FBC786535:FBG786535 FKY786535:FLC786535 FUU786535:FUY786535 GEQ786535:GEU786535 GOM786535:GOQ786535 GYI786535:GYM786535 HIE786535:HII786535 HSA786535:HSE786535 IBW786535:ICA786535 ILS786535:ILW786535 IVO786535:IVS786535 JFK786535:JFO786535 JPG786535:JPK786535 JZC786535:JZG786535 KIY786535:KJC786535 KSU786535:KSY786535 LCQ786535:LCU786535 LMM786535:LMQ786535 LWI786535:LWM786535 MGE786535:MGI786535 MQA786535:MQE786535 MZW786535:NAA786535 NJS786535:NJW786535 NTO786535:NTS786535 ODK786535:ODO786535 ONG786535:ONK786535 OXC786535:OXG786535 PGY786535:PHC786535 PQU786535:PQY786535 QAQ786535:QAU786535 QKM786535:QKQ786535 QUI786535:QUM786535 REE786535:REI786535 ROA786535:ROE786535 RXW786535:RYA786535 SHS786535:SHW786535 SRO786535:SRS786535 TBK786535:TBO786535 TLG786535:TLK786535 TVC786535:TVG786535 UEY786535:UFC786535 UOU786535:UOY786535 UYQ786535:UYU786535 VIM786535:VIQ786535 VSI786535:VSM786535 WCE786535:WCI786535 WMA786535:WME786535 WVW786535:WWA786535 O852071:S852071 JK852071:JO852071 TG852071:TK852071 ADC852071:ADG852071 AMY852071:ANC852071 AWU852071:AWY852071 BGQ852071:BGU852071 BQM852071:BQQ852071 CAI852071:CAM852071 CKE852071:CKI852071 CUA852071:CUE852071 DDW852071:DEA852071 DNS852071:DNW852071 DXO852071:DXS852071 EHK852071:EHO852071 ERG852071:ERK852071 FBC852071:FBG852071 FKY852071:FLC852071 FUU852071:FUY852071 GEQ852071:GEU852071 GOM852071:GOQ852071 GYI852071:GYM852071 HIE852071:HII852071 HSA852071:HSE852071 IBW852071:ICA852071 ILS852071:ILW852071 IVO852071:IVS852071 JFK852071:JFO852071 JPG852071:JPK852071 JZC852071:JZG852071 KIY852071:KJC852071 KSU852071:KSY852071 LCQ852071:LCU852071 LMM852071:LMQ852071 LWI852071:LWM852071 MGE852071:MGI852071 MQA852071:MQE852071 MZW852071:NAA852071 NJS852071:NJW852071 NTO852071:NTS852071 ODK852071:ODO852071 ONG852071:ONK852071 OXC852071:OXG852071 PGY852071:PHC852071 PQU852071:PQY852071 QAQ852071:QAU852071 QKM852071:QKQ852071 QUI852071:QUM852071 REE852071:REI852071 ROA852071:ROE852071 RXW852071:RYA852071 SHS852071:SHW852071 SRO852071:SRS852071 TBK852071:TBO852071 TLG852071:TLK852071 TVC852071:TVG852071 UEY852071:UFC852071 UOU852071:UOY852071 UYQ852071:UYU852071 VIM852071:VIQ852071 VSI852071:VSM852071 WCE852071:WCI852071 WMA852071:WME852071 WVW852071:WWA852071 O917607:S917607 JK917607:JO917607 TG917607:TK917607 ADC917607:ADG917607 AMY917607:ANC917607 AWU917607:AWY917607 BGQ917607:BGU917607 BQM917607:BQQ917607 CAI917607:CAM917607 CKE917607:CKI917607 CUA917607:CUE917607 DDW917607:DEA917607 DNS917607:DNW917607 DXO917607:DXS917607 EHK917607:EHO917607 ERG917607:ERK917607 FBC917607:FBG917607 FKY917607:FLC917607 FUU917607:FUY917607 GEQ917607:GEU917607 GOM917607:GOQ917607 GYI917607:GYM917607 HIE917607:HII917607 HSA917607:HSE917607 IBW917607:ICA917607 ILS917607:ILW917607 IVO917607:IVS917607 JFK917607:JFO917607 JPG917607:JPK917607 JZC917607:JZG917607 KIY917607:KJC917607 KSU917607:KSY917607 LCQ917607:LCU917607 LMM917607:LMQ917607 LWI917607:LWM917607 MGE917607:MGI917607 MQA917607:MQE917607 MZW917607:NAA917607 NJS917607:NJW917607 NTO917607:NTS917607 ODK917607:ODO917607 ONG917607:ONK917607 OXC917607:OXG917607 PGY917607:PHC917607 PQU917607:PQY917607 QAQ917607:QAU917607 QKM917607:QKQ917607 QUI917607:QUM917607 REE917607:REI917607 ROA917607:ROE917607 RXW917607:RYA917607 SHS917607:SHW917607 SRO917607:SRS917607 TBK917607:TBO917607 TLG917607:TLK917607 TVC917607:TVG917607 UEY917607:UFC917607 UOU917607:UOY917607 UYQ917607:UYU917607 VIM917607:VIQ917607 VSI917607:VSM917607 WCE917607:WCI917607 WMA917607:WME917607 WVW917607:WWA917607 O983143:S983143 JK983143:JO983143 TG983143:TK983143 ADC983143:ADG983143 AMY983143:ANC983143 AWU983143:AWY983143 BGQ983143:BGU983143 BQM983143:BQQ983143 CAI983143:CAM983143 CKE983143:CKI983143 CUA983143:CUE983143 DDW983143:DEA983143 DNS983143:DNW983143 DXO983143:DXS983143 EHK983143:EHO983143 ERG983143:ERK983143 FBC983143:FBG983143 FKY983143:FLC983143 FUU983143:FUY983143 GEQ983143:GEU983143 GOM983143:GOQ983143 GYI983143:GYM983143 HIE983143:HII983143 HSA983143:HSE983143 IBW983143:ICA983143 ILS983143:ILW983143 IVO983143:IVS983143 JFK983143:JFO983143 JPG983143:JPK983143 JZC983143:JZG983143 KIY983143:KJC983143 KSU983143:KSY983143 LCQ983143:LCU983143 LMM983143:LMQ983143 LWI983143:LWM983143 MGE983143:MGI983143 MQA983143:MQE983143 MZW983143:NAA983143 NJS983143:NJW983143 NTO983143:NTS983143 ODK983143:ODO983143 ONG983143:ONK983143 OXC983143:OXG983143 PGY983143:PHC983143 PQU983143:PQY983143 QAQ983143:QAU983143 QKM983143:QKQ983143 QUI983143:QUM983143 REE983143:REI983143 ROA983143:ROE983143 RXW983143:RYA983143 SHS983143:SHW983143 SRO983143:SRS983143 TBK983143:TBO983143 TLG983143:TLK983143 TVC983143:TVG983143 UEY983143:UFC983143 UOU983143:UOY983143 UYQ983143:UYU983143 VIM983143:VIQ983143 VSI983143:VSM983143 WCE983143:WCI983143 WMA983143:WME983143 WVW983143:WWA983143">
      <formula1>$Q$1:$R$1</formula1>
    </dataValidation>
    <dataValidation type="list" allowBlank="1" showInputMessage="1" showErrorMessage="1" sqref="JY121 TU121 ADQ121 ANM121 AXI121 BHE121 BRA121 CAW121 CKS121 CUO121 DEK121 DOG121 DYC121 EHY121 ERU121 FBQ121 FLM121 FVI121 GFE121 GPA121 GYW121 HIS121 HSO121 ICK121 IMG121 IWC121 JFY121 JPU121 JZQ121 KJM121 KTI121 LDE121 LNA121 LWW121 MGS121 MQO121 NAK121 NKG121 NUC121 ODY121 ONU121 OXQ121 PHM121 PRI121 QBE121 QLA121 QUW121 RES121 ROO121 RYK121 SIG121 SSC121 TBY121 TLU121 TVQ121 UFM121 UPI121 UZE121 VJA121 VSW121 WCS121 WMO121 WWK121 AC65657 JY65657 TU65657 ADQ65657 ANM65657 AXI65657 BHE65657 BRA65657 CAW65657 CKS65657 CUO65657 DEK65657 DOG65657 DYC65657 EHY65657 ERU65657 FBQ65657 FLM65657 FVI65657 GFE65657 GPA65657 GYW65657 HIS65657 HSO65657 ICK65657 IMG65657 IWC65657 JFY65657 JPU65657 JZQ65657 KJM65657 KTI65657 LDE65657 LNA65657 LWW65657 MGS65657 MQO65657 NAK65657 NKG65657 NUC65657 ODY65657 ONU65657 OXQ65657 PHM65657 PRI65657 QBE65657 QLA65657 QUW65657 RES65657 ROO65657 RYK65657 SIG65657 SSC65657 TBY65657 TLU65657 TVQ65657 UFM65657 UPI65657 UZE65657 VJA65657 VSW65657 WCS65657 WMO65657 WWK65657 AC131193 JY131193 TU131193 ADQ131193 ANM131193 AXI131193 BHE131193 BRA131193 CAW131193 CKS131193 CUO131193 DEK131193 DOG131193 DYC131193 EHY131193 ERU131193 FBQ131193 FLM131193 FVI131193 GFE131193 GPA131193 GYW131193 HIS131193 HSO131193 ICK131193 IMG131193 IWC131193 JFY131193 JPU131193 JZQ131193 KJM131193 KTI131193 LDE131193 LNA131193 LWW131193 MGS131193 MQO131193 NAK131193 NKG131193 NUC131193 ODY131193 ONU131193 OXQ131193 PHM131193 PRI131193 QBE131193 QLA131193 QUW131193 RES131193 ROO131193 RYK131193 SIG131193 SSC131193 TBY131193 TLU131193 TVQ131193 UFM131193 UPI131193 UZE131193 VJA131193 VSW131193 WCS131193 WMO131193 WWK131193 AC196729 JY196729 TU196729 ADQ196729 ANM196729 AXI196729 BHE196729 BRA196729 CAW196729 CKS196729 CUO196729 DEK196729 DOG196729 DYC196729 EHY196729 ERU196729 FBQ196729 FLM196729 FVI196729 GFE196729 GPA196729 GYW196729 HIS196729 HSO196729 ICK196729 IMG196729 IWC196729 JFY196729 JPU196729 JZQ196729 KJM196729 KTI196729 LDE196729 LNA196729 LWW196729 MGS196729 MQO196729 NAK196729 NKG196729 NUC196729 ODY196729 ONU196729 OXQ196729 PHM196729 PRI196729 QBE196729 QLA196729 QUW196729 RES196729 ROO196729 RYK196729 SIG196729 SSC196729 TBY196729 TLU196729 TVQ196729 UFM196729 UPI196729 UZE196729 VJA196729 VSW196729 WCS196729 WMO196729 WWK196729 AC262265 JY262265 TU262265 ADQ262265 ANM262265 AXI262265 BHE262265 BRA262265 CAW262265 CKS262265 CUO262265 DEK262265 DOG262265 DYC262265 EHY262265 ERU262265 FBQ262265 FLM262265 FVI262265 GFE262265 GPA262265 GYW262265 HIS262265 HSO262265 ICK262265 IMG262265 IWC262265 JFY262265 JPU262265 JZQ262265 KJM262265 KTI262265 LDE262265 LNA262265 LWW262265 MGS262265 MQO262265 NAK262265 NKG262265 NUC262265 ODY262265 ONU262265 OXQ262265 PHM262265 PRI262265 QBE262265 QLA262265 QUW262265 RES262265 ROO262265 RYK262265 SIG262265 SSC262265 TBY262265 TLU262265 TVQ262265 UFM262265 UPI262265 UZE262265 VJA262265 VSW262265 WCS262265 WMO262265 WWK262265 AC327801 JY327801 TU327801 ADQ327801 ANM327801 AXI327801 BHE327801 BRA327801 CAW327801 CKS327801 CUO327801 DEK327801 DOG327801 DYC327801 EHY327801 ERU327801 FBQ327801 FLM327801 FVI327801 GFE327801 GPA327801 GYW327801 HIS327801 HSO327801 ICK327801 IMG327801 IWC327801 JFY327801 JPU327801 JZQ327801 KJM327801 KTI327801 LDE327801 LNA327801 LWW327801 MGS327801 MQO327801 NAK327801 NKG327801 NUC327801 ODY327801 ONU327801 OXQ327801 PHM327801 PRI327801 QBE327801 QLA327801 QUW327801 RES327801 ROO327801 RYK327801 SIG327801 SSC327801 TBY327801 TLU327801 TVQ327801 UFM327801 UPI327801 UZE327801 VJA327801 VSW327801 WCS327801 WMO327801 WWK327801 AC393337 JY393337 TU393337 ADQ393337 ANM393337 AXI393337 BHE393337 BRA393337 CAW393337 CKS393337 CUO393337 DEK393337 DOG393337 DYC393337 EHY393337 ERU393337 FBQ393337 FLM393337 FVI393337 GFE393337 GPA393337 GYW393337 HIS393337 HSO393337 ICK393337 IMG393337 IWC393337 JFY393337 JPU393337 JZQ393337 KJM393337 KTI393337 LDE393337 LNA393337 LWW393337 MGS393337 MQO393337 NAK393337 NKG393337 NUC393337 ODY393337 ONU393337 OXQ393337 PHM393337 PRI393337 QBE393337 QLA393337 QUW393337 RES393337 ROO393337 RYK393337 SIG393337 SSC393337 TBY393337 TLU393337 TVQ393337 UFM393337 UPI393337 UZE393337 VJA393337 VSW393337 WCS393337 WMO393337 WWK393337 AC458873 JY458873 TU458873 ADQ458873 ANM458873 AXI458873 BHE458873 BRA458873 CAW458873 CKS458873 CUO458873 DEK458873 DOG458873 DYC458873 EHY458873 ERU458873 FBQ458873 FLM458873 FVI458873 GFE458873 GPA458873 GYW458873 HIS458873 HSO458873 ICK458873 IMG458873 IWC458873 JFY458873 JPU458873 JZQ458873 KJM458873 KTI458873 LDE458873 LNA458873 LWW458873 MGS458873 MQO458873 NAK458873 NKG458873 NUC458873 ODY458873 ONU458873 OXQ458873 PHM458873 PRI458873 QBE458873 QLA458873 QUW458873 RES458873 ROO458873 RYK458873 SIG458873 SSC458873 TBY458873 TLU458873 TVQ458873 UFM458873 UPI458873 UZE458873 VJA458873 VSW458873 WCS458873 WMO458873 WWK458873 AC524409 JY524409 TU524409 ADQ524409 ANM524409 AXI524409 BHE524409 BRA524409 CAW524409 CKS524409 CUO524409 DEK524409 DOG524409 DYC524409 EHY524409 ERU524409 FBQ524409 FLM524409 FVI524409 GFE524409 GPA524409 GYW524409 HIS524409 HSO524409 ICK524409 IMG524409 IWC524409 JFY524409 JPU524409 JZQ524409 KJM524409 KTI524409 LDE524409 LNA524409 LWW524409 MGS524409 MQO524409 NAK524409 NKG524409 NUC524409 ODY524409 ONU524409 OXQ524409 PHM524409 PRI524409 QBE524409 QLA524409 QUW524409 RES524409 ROO524409 RYK524409 SIG524409 SSC524409 TBY524409 TLU524409 TVQ524409 UFM524409 UPI524409 UZE524409 VJA524409 VSW524409 WCS524409 WMO524409 WWK524409 AC589945 JY589945 TU589945 ADQ589945 ANM589945 AXI589945 BHE589945 BRA589945 CAW589945 CKS589945 CUO589945 DEK589945 DOG589945 DYC589945 EHY589945 ERU589945 FBQ589945 FLM589945 FVI589945 GFE589945 GPA589945 GYW589945 HIS589945 HSO589945 ICK589945 IMG589945 IWC589945 JFY589945 JPU589945 JZQ589945 KJM589945 KTI589945 LDE589945 LNA589945 LWW589945 MGS589945 MQO589945 NAK589945 NKG589945 NUC589945 ODY589945 ONU589945 OXQ589945 PHM589945 PRI589945 QBE589945 QLA589945 QUW589945 RES589945 ROO589945 RYK589945 SIG589945 SSC589945 TBY589945 TLU589945 TVQ589945 UFM589945 UPI589945 UZE589945 VJA589945 VSW589945 WCS589945 WMO589945 WWK589945 AC655481 JY655481 TU655481 ADQ655481 ANM655481 AXI655481 BHE655481 BRA655481 CAW655481 CKS655481 CUO655481 DEK655481 DOG655481 DYC655481 EHY655481 ERU655481 FBQ655481 FLM655481 FVI655481 GFE655481 GPA655481 GYW655481 HIS655481 HSO655481 ICK655481 IMG655481 IWC655481 JFY655481 JPU655481 JZQ655481 KJM655481 KTI655481 LDE655481 LNA655481 LWW655481 MGS655481 MQO655481 NAK655481 NKG655481 NUC655481 ODY655481 ONU655481 OXQ655481 PHM655481 PRI655481 QBE655481 QLA655481 QUW655481 RES655481 ROO655481 RYK655481 SIG655481 SSC655481 TBY655481 TLU655481 TVQ655481 UFM655481 UPI655481 UZE655481 VJA655481 VSW655481 WCS655481 WMO655481 WWK655481 AC721017 JY721017 TU721017 ADQ721017 ANM721017 AXI721017 BHE721017 BRA721017 CAW721017 CKS721017 CUO721017 DEK721017 DOG721017 DYC721017 EHY721017 ERU721017 FBQ721017 FLM721017 FVI721017 GFE721017 GPA721017 GYW721017 HIS721017 HSO721017 ICK721017 IMG721017 IWC721017 JFY721017 JPU721017 JZQ721017 KJM721017 KTI721017 LDE721017 LNA721017 LWW721017 MGS721017 MQO721017 NAK721017 NKG721017 NUC721017 ODY721017 ONU721017 OXQ721017 PHM721017 PRI721017 QBE721017 QLA721017 QUW721017 RES721017 ROO721017 RYK721017 SIG721017 SSC721017 TBY721017 TLU721017 TVQ721017 UFM721017 UPI721017 UZE721017 VJA721017 VSW721017 WCS721017 WMO721017 WWK721017 AC786553 JY786553 TU786553 ADQ786553 ANM786553 AXI786553 BHE786553 BRA786553 CAW786553 CKS786553 CUO786553 DEK786553 DOG786553 DYC786553 EHY786553 ERU786553 FBQ786553 FLM786553 FVI786553 GFE786553 GPA786553 GYW786553 HIS786553 HSO786553 ICK786553 IMG786553 IWC786553 JFY786553 JPU786553 JZQ786553 KJM786553 KTI786553 LDE786553 LNA786553 LWW786553 MGS786553 MQO786553 NAK786553 NKG786553 NUC786553 ODY786553 ONU786553 OXQ786553 PHM786553 PRI786553 QBE786553 QLA786553 QUW786553 RES786553 ROO786553 RYK786553 SIG786553 SSC786553 TBY786553 TLU786553 TVQ786553 UFM786553 UPI786553 UZE786553 VJA786553 VSW786553 WCS786553 WMO786553 WWK786553 AC852089 JY852089 TU852089 ADQ852089 ANM852089 AXI852089 BHE852089 BRA852089 CAW852089 CKS852089 CUO852089 DEK852089 DOG852089 DYC852089 EHY852089 ERU852089 FBQ852089 FLM852089 FVI852089 GFE852089 GPA852089 GYW852089 HIS852089 HSO852089 ICK852089 IMG852089 IWC852089 JFY852089 JPU852089 JZQ852089 KJM852089 KTI852089 LDE852089 LNA852089 LWW852089 MGS852089 MQO852089 NAK852089 NKG852089 NUC852089 ODY852089 ONU852089 OXQ852089 PHM852089 PRI852089 QBE852089 QLA852089 QUW852089 RES852089 ROO852089 RYK852089 SIG852089 SSC852089 TBY852089 TLU852089 TVQ852089 UFM852089 UPI852089 UZE852089 VJA852089 VSW852089 WCS852089 WMO852089 WWK852089 AC917625 JY917625 TU917625 ADQ917625 ANM917625 AXI917625 BHE917625 BRA917625 CAW917625 CKS917625 CUO917625 DEK917625 DOG917625 DYC917625 EHY917625 ERU917625 FBQ917625 FLM917625 FVI917625 GFE917625 GPA917625 GYW917625 HIS917625 HSO917625 ICK917625 IMG917625 IWC917625 JFY917625 JPU917625 JZQ917625 KJM917625 KTI917625 LDE917625 LNA917625 LWW917625 MGS917625 MQO917625 NAK917625 NKG917625 NUC917625 ODY917625 ONU917625 OXQ917625 PHM917625 PRI917625 QBE917625 QLA917625 QUW917625 RES917625 ROO917625 RYK917625 SIG917625 SSC917625 TBY917625 TLU917625 TVQ917625 UFM917625 UPI917625 UZE917625 VJA917625 VSW917625 WCS917625 WMO917625 WWK917625 AC983161 JY983161 TU983161 ADQ983161 ANM983161 AXI983161 BHE983161 BRA983161 CAW983161 CKS983161 CUO983161 DEK983161 DOG983161 DYC983161 EHY983161 ERU983161 FBQ983161 FLM983161 FVI983161 GFE983161 GPA983161 GYW983161 HIS983161 HSO983161 ICK983161 IMG983161 IWC983161 JFY983161 JPU983161 JZQ983161 KJM983161 KTI983161 LDE983161 LNA983161 LWW983161 MGS983161 MQO983161 NAK983161 NKG983161 NUC983161 ODY983161 ONU983161 OXQ983161 PHM983161 PRI983161 QBE983161 QLA983161 QUW983161 RES983161 ROO983161 RYK983161 SIG983161 SSC983161 TBY983161 TLU983161 TVQ983161 UFM983161 UPI983161 UZE983161 VJA983161 VSW983161 WCS983161 WMO983161 WWK983161">
      <formula1>$AA$2:$AA$4</formula1>
    </dataValidation>
    <dataValidation type="list" allowBlank="1" showInputMessage="1" showErrorMessage="1" sqref="JP102:JR102 TL102:TN102 ADH102:ADJ102 AND102:ANF102 AWZ102:AXB102 BGV102:BGX102 BQR102:BQT102 CAN102:CAP102 CKJ102:CKL102 CUF102:CUH102 DEB102:DED102 DNX102:DNZ102 DXT102:DXV102 EHP102:EHR102 ERL102:ERN102 FBH102:FBJ102 FLD102:FLF102 FUZ102:FVB102 GEV102:GEX102 GOR102:GOT102 GYN102:GYP102 HIJ102:HIL102 HSF102:HSH102 ICB102:ICD102 ILX102:ILZ102 IVT102:IVV102 JFP102:JFR102 JPL102:JPN102 JZH102:JZJ102 KJD102:KJF102 KSZ102:KTB102 LCV102:LCX102 LMR102:LMT102 LWN102:LWP102 MGJ102:MGL102 MQF102:MQH102 NAB102:NAD102 NJX102:NJZ102 NTT102:NTV102 ODP102:ODR102 ONL102:ONN102 OXH102:OXJ102 PHD102:PHF102 PQZ102:PRB102 QAV102:QAX102 QKR102:QKT102 QUN102:QUP102 REJ102:REL102 ROF102:ROH102 RYB102:RYD102 SHX102:SHZ102 SRT102:SRV102 TBP102:TBR102 TLL102:TLN102 TVH102:TVJ102 UFD102:UFF102 UOZ102:UPB102 UYV102:UYX102 VIR102:VIT102 VSN102:VSP102 WCJ102:WCL102 WMF102:WMH102 WWB102:WWD102 T65639:V65639 JP65639:JR65639 TL65639:TN65639 ADH65639:ADJ65639 AND65639:ANF65639 AWZ65639:AXB65639 BGV65639:BGX65639 BQR65639:BQT65639 CAN65639:CAP65639 CKJ65639:CKL65639 CUF65639:CUH65639 DEB65639:DED65639 DNX65639:DNZ65639 DXT65639:DXV65639 EHP65639:EHR65639 ERL65639:ERN65639 FBH65639:FBJ65639 FLD65639:FLF65639 FUZ65639:FVB65639 GEV65639:GEX65639 GOR65639:GOT65639 GYN65639:GYP65639 HIJ65639:HIL65639 HSF65639:HSH65639 ICB65639:ICD65639 ILX65639:ILZ65639 IVT65639:IVV65639 JFP65639:JFR65639 JPL65639:JPN65639 JZH65639:JZJ65639 KJD65639:KJF65639 KSZ65639:KTB65639 LCV65639:LCX65639 LMR65639:LMT65639 LWN65639:LWP65639 MGJ65639:MGL65639 MQF65639:MQH65639 NAB65639:NAD65639 NJX65639:NJZ65639 NTT65639:NTV65639 ODP65639:ODR65639 ONL65639:ONN65639 OXH65639:OXJ65639 PHD65639:PHF65639 PQZ65639:PRB65639 QAV65639:QAX65639 QKR65639:QKT65639 QUN65639:QUP65639 REJ65639:REL65639 ROF65639:ROH65639 RYB65639:RYD65639 SHX65639:SHZ65639 SRT65639:SRV65639 TBP65639:TBR65639 TLL65639:TLN65639 TVH65639:TVJ65639 UFD65639:UFF65639 UOZ65639:UPB65639 UYV65639:UYX65639 VIR65639:VIT65639 VSN65639:VSP65639 WCJ65639:WCL65639 WMF65639:WMH65639 WWB65639:WWD65639 T131175:V131175 JP131175:JR131175 TL131175:TN131175 ADH131175:ADJ131175 AND131175:ANF131175 AWZ131175:AXB131175 BGV131175:BGX131175 BQR131175:BQT131175 CAN131175:CAP131175 CKJ131175:CKL131175 CUF131175:CUH131175 DEB131175:DED131175 DNX131175:DNZ131175 DXT131175:DXV131175 EHP131175:EHR131175 ERL131175:ERN131175 FBH131175:FBJ131175 FLD131175:FLF131175 FUZ131175:FVB131175 GEV131175:GEX131175 GOR131175:GOT131175 GYN131175:GYP131175 HIJ131175:HIL131175 HSF131175:HSH131175 ICB131175:ICD131175 ILX131175:ILZ131175 IVT131175:IVV131175 JFP131175:JFR131175 JPL131175:JPN131175 JZH131175:JZJ131175 KJD131175:KJF131175 KSZ131175:KTB131175 LCV131175:LCX131175 LMR131175:LMT131175 LWN131175:LWP131175 MGJ131175:MGL131175 MQF131175:MQH131175 NAB131175:NAD131175 NJX131175:NJZ131175 NTT131175:NTV131175 ODP131175:ODR131175 ONL131175:ONN131175 OXH131175:OXJ131175 PHD131175:PHF131175 PQZ131175:PRB131175 QAV131175:QAX131175 QKR131175:QKT131175 QUN131175:QUP131175 REJ131175:REL131175 ROF131175:ROH131175 RYB131175:RYD131175 SHX131175:SHZ131175 SRT131175:SRV131175 TBP131175:TBR131175 TLL131175:TLN131175 TVH131175:TVJ131175 UFD131175:UFF131175 UOZ131175:UPB131175 UYV131175:UYX131175 VIR131175:VIT131175 VSN131175:VSP131175 WCJ131175:WCL131175 WMF131175:WMH131175 WWB131175:WWD131175 T196711:V196711 JP196711:JR196711 TL196711:TN196711 ADH196711:ADJ196711 AND196711:ANF196711 AWZ196711:AXB196711 BGV196711:BGX196711 BQR196711:BQT196711 CAN196711:CAP196711 CKJ196711:CKL196711 CUF196711:CUH196711 DEB196711:DED196711 DNX196711:DNZ196711 DXT196711:DXV196711 EHP196711:EHR196711 ERL196711:ERN196711 FBH196711:FBJ196711 FLD196711:FLF196711 FUZ196711:FVB196711 GEV196711:GEX196711 GOR196711:GOT196711 GYN196711:GYP196711 HIJ196711:HIL196711 HSF196711:HSH196711 ICB196711:ICD196711 ILX196711:ILZ196711 IVT196711:IVV196711 JFP196711:JFR196711 JPL196711:JPN196711 JZH196711:JZJ196711 KJD196711:KJF196711 KSZ196711:KTB196711 LCV196711:LCX196711 LMR196711:LMT196711 LWN196711:LWP196711 MGJ196711:MGL196711 MQF196711:MQH196711 NAB196711:NAD196711 NJX196711:NJZ196711 NTT196711:NTV196711 ODP196711:ODR196711 ONL196711:ONN196711 OXH196711:OXJ196711 PHD196711:PHF196711 PQZ196711:PRB196711 QAV196711:QAX196711 QKR196711:QKT196711 QUN196711:QUP196711 REJ196711:REL196711 ROF196711:ROH196711 RYB196711:RYD196711 SHX196711:SHZ196711 SRT196711:SRV196711 TBP196711:TBR196711 TLL196711:TLN196711 TVH196711:TVJ196711 UFD196711:UFF196711 UOZ196711:UPB196711 UYV196711:UYX196711 VIR196711:VIT196711 VSN196711:VSP196711 WCJ196711:WCL196711 WMF196711:WMH196711 WWB196711:WWD196711 T262247:V262247 JP262247:JR262247 TL262247:TN262247 ADH262247:ADJ262247 AND262247:ANF262247 AWZ262247:AXB262247 BGV262247:BGX262247 BQR262247:BQT262247 CAN262247:CAP262247 CKJ262247:CKL262247 CUF262247:CUH262247 DEB262247:DED262247 DNX262247:DNZ262247 DXT262247:DXV262247 EHP262247:EHR262247 ERL262247:ERN262247 FBH262247:FBJ262247 FLD262247:FLF262247 FUZ262247:FVB262247 GEV262247:GEX262247 GOR262247:GOT262247 GYN262247:GYP262247 HIJ262247:HIL262247 HSF262247:HSH262247 ICB262247:ICD262247 ILX262247:ILZ262247 IVT262247:IVV262247 JFP262247:JFR262247 JPL262247:JPN262247 JZH262247:JZJ262247 KJD262247:KJF262247 KSZ262247:KTB262247 LCV262247:LCX262247 LMR262247:LMT262247 LWN262247:LWP262247 MGJ262247:MGL262247 MQF262247:MQH262247 NAB262247:NAD262247 NJX262247:NJZ262247 NTT262247:NTV262247 ODP262247:ODR262247 ONL262247:ONN262247 OXH262247:OXJ262247 PHD262247:PHF262247 PQZ262247:PRB262247 QAV262247:QAX262247 QKR262247:QKT262247 QUN262247:QUP262247 REJ262247:REL262247 ROF262247:ROH262247 RYB262247:RYD262247 SHX262247:SHZ262247 SRT262247:SRV262247 TBP262247:TBR262247 TLL262247:TLN262247 TVH262247:TVJ262247 UFD262247:UFF262247 UOZ262247:UPB262247 UYV262247:UYX262247 VIR262247:VIT262247 VSN262247:VSP262247 WCJ262247:WCL262247 WMF262247:WMH262247 WWB262247:WWD262247 T327783:V327783 JP327783:JR327783 TL327783:TN327783 ADH327783:ADJ327783 AND327783:ANF327783 AWZ327783:AXB327783 BGV327783:BGX327783 BQR327783:BQT327783 CAN327783:CAP327783 CKJ327783:CKL327783 CUF327783:CUH327783 DEB327783:DED327783 DNX327783:DNZ327783 DXT327783:DXV327783 EHP327783:EHR327783 ERL327783:ERN327783 FBH327783:FBJ327783 FLD327783:FLF327783 FUZ327783:FVB327783 GEV327783:GEX327783 GOR327783:GOT327783 GYN327783:GYP327783 HIJ327783:HIL327783 HSF327783:HSH327783 ICB327783:ICD327783 ILX327783:ILZ327783 IVT327783:IVV327783 JFP327783:JFR327783 JPL327783:JPN327783 JZH327783:JZJ327783 KJD327783:KJF327783 KSZ327783:KTB327783 LCV327783:LCX327783 LMR327783:LMT327783 LWN327783:LWP327783 MGJ327783:MGL327783 MQF327783:MQH327783 NAB327783:NAD327783 NJX327783:NJZ327783 NTT327783:NTV327783 ODP327783:ODR327783 ONL327783:ONN327783 OXH327783:OXJ327783 PHD327783:PHF327783 PQZ327783:PRB327783 QAV327783:QAX327783 QKR327783:QKT327783 QUN327783:QUP327783 REJ327783:REL327783 ROF327783:ROH327783 RYB327783:RYD327783 SHX327783:SHZ327783 SRT327783:SRV327783 TBP327783:TBR327783 TLL327783:TLN327783 TVH327783:TVJ327783 UFD327783:UFF327783 UOZ327783:UPB327783 UYV327783:UYX327783 VIR327783:VIT327783 VSN327783:VSP327783 WCJ327783:WCL327783 WMF327783:WMH327783 WWB327783:WWD327783 T393319:V393319 JP393319:JR393319 TL393319:TN393319 ADH393319:ADJ393319 AND393319:ANF393319 AWZ393319:AXB393319 BGV393319:BGX393319 BQR393319:BQT393319 CAN393319:CAP393319 CKJ393319:CKL393319 CUF393319:CUH393319 DEB393319:DED393319 DNX393319:DNZ393319 DXT393319:DXV393319 EHP393319:EHR393319 ERL393319:ERN393319 FBH393319:FBJ393319 FLD393319:FLF393319 FUZ393319:FVB393319 GEV393319:GEX393319 GOR393319:GOT393319 GYN393319:GYP393319 HIJ393319:HIL393319 HSF393319:HSH393319 ICB393319:ICD393319 ILX393319:ILZ393319 IVT393319:IVV393319 JFP393319:JFR393319 JPL393319:JPN393319 JZH393319:JZJ393319 KJD393319:KJF393319 KSZ393319:KTB393319 LCV393319:LCX393319 LMR393319:LMT393319 LWN393319:LWP393319 MGJ393319:MGL393319 MQF393319:MQH393319 NAB393319:NAD393319 NJX393319:NJZ393319 NTT393319:NTV393319 ODP393319:ODR393319 ONL393319:ONN393319 OXH393319:OXJ393319 PHD393319:PHF393319 PQZ393319:PRB393319 QAV393319:QAX393319 QKR393319:QKT393319 QUN393319:QUP393319 REJ393319:REL393319 ROF393319:ROH393319 RYB393319:RYD393319 SHX393319:SHZ393319 SRT393319:SRV393319 TBP393319:TBR393319 TLL393319:TLN393319 TVH393319:TVJ393319 UFD393319:UFF393319 UOZ393319:UPB393319 UYV393319:UYX393319 VIR393319:VIT393319 VSN393319:VSP393319 WCJ393319:WCL393319 WMF393319:WMH393319 WWB393319:WWD393319 T458855:V458855 JP458855:JR458855 TL458855:TN458855 ADH458855:ADJ458855 AND458855:ANF458855 AWZ458855:AXB458855 BGV458855:BGX458855 BQR458855:BQT458855 CAN458855:CAP458855 CKJ458855:CKL458855 CUF458855:CUH458855 DEB458855:DED458855 DNX458855:DNZ458855 DXT458855:DXV458855 EHP458855:EHR458855 ERL458855:ERN458855 FBH458855:FBJ458855 FLD458855:FLF458855 FUZ458855:FVB458855 GEV458855:GEX458855 GOR458855:GOT458855 GYN458855:GYP458855 HIJ458855:HIL458855 HSF458855:HSH458855 ICB458855:ICD458855 ILX458855:ILZ458855 IVT458855:IVV458855 JFP458855:JFR458855 JPL458855:JPN458855 JZH458855:JZJ458855 KJD458855:KJF458855 KSZ458855:KTB458855 LCV458855:LCX458855 LMR458855:LMT458855 LWN458855:LWP458855 MGJ458855:MGL458855 MQF458855:MQH458855 NAB458855:NAD458855 NJX458855:NJZ458855 NTT458855:NTV458855 ODP458855:ODR458855 ONL458855:ONN458855 OXH458855:OXJ458855 PHD458855:PHF458855 PQZ458855:PRB458855 QAV458855:QAX458855 QKR458855:QKT458855 QUN458855:QUP458855 REJ458855:REL458855 ROF458855:ROH458855 RYB458855:RYD458855 SHX458855:SHZ458855 SRT458855:SRV458855 TBP458855:TBR458855 TLL458855:TLN458855 TVH458855:TVJ458855 UFD458855:UFF458855 UOZ458855:UPB458855 UYV458855:UYX458855 VIR458855:VIT458855 VSN458855:VSP458855 WCJ458855:WCL458855 WMF458855:WMH458855 WWB458855:WWD458855 T524391:V524391 JP524391:JR524391 TL524391:TN524391 ADH524391:ADJ524391 AND524391:ANF524391 AWZ524391:AXB524391 BGV524391:BGX524391 BQR524391:BQT524391 CAN524391:CAP524391 CKJ524391:CKL524391 CUF524391:CUH524391 DEB524391:DED524391 DNX524391:DNZ524391 DXT524391:DXV524391 EHP524391:EHR524391 ERL524391:ERN524391 FBH524391:FBJ524391 FLD524391:FLF524391 FUZ524391:FVB524391 GEV524391:GEX524391 GOR524391:GOT524391 GYN524391:GYP524391 HIJ524391:HIL524391 HSF524391:HSH524391 ICB524391:ICD524391 ILX524391:ILZ524391 IVT524391:IVV524391 JFP524391:JFR524391 JPL524391:JPN524391 JZH524391:JZJ524391 KJD524391:KJF524391 KSZ524391:KTB524391 LCV524391:LCX524391 LMR524391:LMT524391 LWN524391:LWP524391 MGJ524391:MGL524391 MQF524391:MQH524391 NAB524391:NAD524391 NJX524391:NJZ524391 NTT524391:NTV524391 ODP524391:ODR524391 ONL524391:ONN524391 OXH524391:OXJ524391 PHD524391:PHF524391 PQZ524391:PRB524391 QAV524391:QAX524391 QKR524391:QKT524391 QUN524391:QUP524391 REJ524391:REL524391 ROF524391:ROH524391 RYB524391:RYD524391 SHX524391:SHZ524391 SRT524391:SRV524391 TBP524391:TBR524391 TLL524391:TLN524391 TVH524391:TVJ524391 UFD524391:UFF524391 UOZ524391:UPB524391 UYV524391:UYX524391 VIR524391:VIT524391 VSN524391:VSP524391 WCJ524391:WCL524391 WMF524391:WMH524391 WWB524391:WWD524391 T589927:V589927 JP589927:JR589927 TL589927:TN589927 ADH589927:ADJ589927 AND589927:ANF589927 AWZ589927:AXB589927 BGV589927:BGX589927 BQR589927:BQT589927 CAN589927:CAP589927 CKJ589927:CKL589927 CUF589927:CUH589927 DEB589927:DED589927 DNX589927:DNZ589927 DXT589927:DXV589927 EHP589927:EHR589927 ERL589927:ERN589927 FBH589927:FBJ589927 FLD589927:FLF589927 FUZ589927:FVB589927 GEV589927:GEX589927 GOR589927:GOT589927 GYN589927:GYP589927 HIJ589927:HIL589927 HSF589927:HSH589927 ICB589927:ICD589927 ILX589927:ILZ589927 IVT589927:IVV589927 JFP589927:JFR589927 JPL589927:JPN589927 JZH589927:JZJ589927 KJD589927:KJF589927 KSZ589927:KTB589927 LCV589927:LCX589927 LMR589927:LMT589927 LWN589927:LWP589927 MGJ589927:MGL589927 MQF589927:MQH589927 NAB589927:NAD589927 NJX589927:NJZ589927 NTT589927:NTV589927 ODP589927:ODR589927 ONL589927:ONN589927 OXH589927:OXJ589927 PHD589927:PHF589927 PQZ589927:PRB589927 QAV589927:QAX589927 QKR589927:QKT589927 QUN589927:QUP589927 REJ589927:REL589927 ROF589927:ROH589927 RYB589927:RYD589927 SHX589927:SHZ589927 SRT589927:SRV589927 TBP589927:TBR589927 TLL589927:TLN589927 TVH589927:TVJ589927 UFD589927:UFF589927 UOZ589927:UPB589927 UYV589927:UYX589927 VIR589927:VIT589927 VSN589927:VSP589927 WCJ589927:WCL589927 WMF589927:WMH589927 WWB589927:WWD589927 T655463:V655463 JP655463:JR655463 TL655463:TN655463 ADH655463:ADJ655463 AND655463:ANF655463 AWZ655463:AXB655463 BGV655463:BGX655463 BQR655463:BQT655463 CAN655463:CAP655463 CKJ655463:CKL655463 CUF655463:CUH655463 DEB655463:DED655463 DNX655463:DNZ655463 DXT655463:DXV655463 EHP655463:EHR655463 ERL655463:ERN655463 FBH655463:FBJ655463 FLD655463:FLF655463 FUZ655463:FVB655463 GEV655463:GEX655463 GOR655463:GOT655463 GYN655463:GYP655463 HIJ655463:HIL655463 HSF655463:HSH655463 ICB655463:ICD655463 ILX655463:ILZ655463 IVT655463:IVV655463 JFP655463:JFR655463 JPL655463:JPN655463 JZH655463:JZJ655463 KJD655463:KJF655463 KSZ655463:KTB655463 LCV655463:LCX655463 LMR655463:LMT655463 LWN655463:LWP655463 MGJ655463:MGL655463 MQF655463:MQH655463 NAB655463:NAD655463 NJX655463:NJZ655463 NTT655463:NTV655463 ODP655463:ODR655463 ONL655463:ONN655463 OXH655463:OXJ655463 PHD655463:PHF655463 PQZ655463:PRB655463 QAV655463:QAX655463 QKR655463:QKT655463 QUN655463:QUP655463 REJ655463:REL655463 ROF655463:ROH655463 RYB655463:RYD655463 SHX655463:SHZ655463 SRT655463:SRV655463 TBP655463:TBR655463 TLL655463:TLN655463 TVH655463:TVJ655463 UFD655463:UFF655463 UOZ655463:UPB655463 UYV655463:UYX655463 VIR655463:VIT655463 VSN655463:VSP655463 WCJ655463:WCL655463 WMF655463:WMH655463 WWB655463:WWD655463 T720999:V720999 JP720999:JR720999 TL720999:TN720999 ADH720999:ADJ720999 AND720999:ANF720999 AWZ720999:AXB720999 BGV720999:BGX720999 BQR720999:BQT720999 CAN720999:CAP720999 CKJ720999:CKL720999 CUF720999:CUH720999 DEB720999:DED720999 DNX720999:DNZ720999 DXT720999:DXV720999 EHP720999:EHR720999 ERL720999:ERN720999 FBH720999:FBJ720999 FLD720999:FLF720999 FUZ720999:FVB720999 GEV720999:GEX720999 GOR720999:GOT720999 GYN720999:GYP720999 HIJ720999:HIL720999 HSF720999:HSH720999 ICB720999:ICD720999 ILX720999:ILZ720999 IVT720999:IVV720999 JFP720999:JFR720999 JPL720999:JPN720999 JZH720999:JZJ720999 KJD720999:KJF720999 KSZ720999:KTB720999 LCV720999:LCX720999 LMR720999:LMT720999 LWN720999:LWP720999 MGJ720999:MGL720999 MQF720999:MQH720999 NAB720999:NAD720999 NJX720999:NJZ720999 NTT720999:NTV720999 ODP720999:ODR720999 ONL720999:ONN720999 OXH720999:OXJ720999 PHD720999:PHF720999 PQZ720999:PRB720999 QAV720999:QAX720999 QKR720999:QKT720999 QUN720999:QUP720999 REJ720999:REL720999 ROF720999:ROH720999 RYB720999:RYD720999 SHX720999:SHZ720999 SRT720999:SRV720999 TBP720999:TBR720999 TLL720999:TLN720999 TVH720999:TVJ720999 UFD720999:UFF720999 UOZ720999:UPB720999 UYV720999:UYX720999 VIR720999:VIT720999 VSN720999:VSP720999 WCJ720999:WCL720999 WMF720999:WMH720999 WWB720999:WWD720999 T786535:V786535 JP786535:JR786535 TL786535:TN786535 ADH786535:ADJ786535 AND786535:ANF786535 AWZ786535:AXB786535 BGV786535:BGX786535 BQR786535:BQT786535 CAN786535:CAP786535 CKJ786535:CKL786535 CUF786535:CUH786535 DEB786535:DED786535 DNX786535:DNZ786535 DXT786535:DXV786535 EHP786535:EHR786535 ERL786535:ERN786535 FBH786535:FBJ786535 FLD786535:FLF786535 FUZ786535:FVB786535 GEV786535:GEX786535 GOR786535:GOT786535 GYN786535:GYP786535 HIJ786535:HIL786535 HSF786535:HSH786535 ICB786535:ICD786535 ILX786535:ILZ786535 IVT786535:IVV786535 JFP786535:JFR786535 JPL786535:JPN786535 JZH786535:JZJ786535 KJD786535:KJF786535 KSZ786535:KTB786535 LCV786535:LCX786535 LMR786535:LMT786535 LWN786535:LWP786535 MGJ786535:MGL786535 MQF786535:MQH786535 NAB786535:NAD786535 NJX786535:NJZ786535 NTT786535:NTV786535 ODP786535:ODR786535 ONL786535:ONN786535 OXH786535:OXJ786535 PHD786535:PHF786535 PQZ786535:PRB786535 QAV786535:QAX786535 QKR786535:QKT786535 QUN786535:QUP786535 REJ786535:REL786535 ROF786535:ROH786535 RYB786535:RYD786535 SHX786535:SHZ786535 SRT786535:SRV786535 TBP786535:TBR786535 TLL786535:TLN786535 TVH786535:TVJ786535 UFD786535:UFF786535 UOZ786535:UPB786535 UYV786535:UYX786535 VIR786535:VIT786535 VSN786535:VSP786535 WCJ786535:WCL786535 WMF786535:WMH786535 WWB786535:WWD786535 T852071:V852071 JP852071:JR852071 TL852071:TN852071 ADH852071:ADJ852071 AND852071:ANF852071 AWZ852071:AXB852071 BGV852071:BGX852071 BQR852071:BQT852071 CAN852071:CAP852071 CKJ852071:CKL852071 CUF852071:CUH852071 DEB852071:DED852071 DNX852071:DNZ852071 DXT852071:DXV852071 EHP852071:EHR852071 ERL852071:ERN852071 FBH852071:FBJ852071 FLD852071:FLF852071 FUZ852071:FVB852071 GEV852071:GEX852071 GOR852071:GOT852071 GYN852071:GYP852071 HIJ852071:HIL852071 HSF852071:HSH852071 ICB852071:ICD852071 ILX852071:ILZ852071 IVT852071:IVV852071 JFP852071:JFR852071 JPL852071:JPN852071 JZH852071:JZJ852071 KJD852071:KJF852071 KSZ852071:KTB852071 LCV852071:LCX852071 LMR852071:LMT852071 LWN852071:LWP852071 MGJ852071:MGL852071 MQF852071:MQH852071 NAB852071:NAD852071 NJX852071:NJZ852071 NTT852071:NTV852071 ODP852071:ODR852071 ONL852071:ONN852071 OXH852071:OXJ852071 PHD852071:PHF852071 PQZ852071:PRB852071 QAV852071:QAX852071 QKR852071:QKT852071 QUN852071:QUP852071 REJ852071:REL852071 ROF852071:ROH852071 RYB852071:RYD852071 SHX852071:SHZ852071 SRT852071:SRV852071 TBP852071:TBR852071 TLL852071:TLN852071 TVH852071:TVJ852071 UFD852071:UFF852071 UOZ852071:UPB852071 UYV852071:UYX852071 VIR852071:VIT852071 VSN852071:VSP852071 WCJ852071:WCL852071 WMF852071:WMH852071 WWB852071:WWD852071 T917607:V917607 JP917607:JR917607 TL917607:TN917607 ADH917607:ADJ917607 AND917607:ANF917607 AWZ917607:AXB917607 BGV917607:BGX917607 BQR917607:BQT917607 CAN917607:CAP917607 CKJ917607:CKL917607 CUF917607:CUH917607 DEB917607:DED917607 DNX917607:DNZ917607 DXT917607:DXV917607 EHP917607:EHR917607 ERL917607:ERN917607 FBH917607:FBJ917607 FLD917607:FLF917607 FUZ917607:FVB917607 GEV917607:GEX917607 GOR917607:GOT917607 GYN917607:GYP917607 HIJ917607:HIL917607 HSF917607:HSH917607 ICB917607:ICD917607 ILX917607:ILZ917607 IVT917607:IVV917607 JFP917607:JFR917607 JPL917607:JPN917607 JZH917607:JZJ917607 KJD917607:KJF917607 KSZ917607:KTB917607 LCV917607:LCX917607 LMR917607:LMT917607 LWN917607:LWP917607 MGJ917607:MGL917607 MQF917607:MQH917607 NAB917607:NAD917607 NJX917607:NJZ917607 NTT917607:NTV917607 ODP917607:ODR917607 ONL917607:ONN917607 OXH917607:OXJ917607 PHD917607:PHF917607 PQZ917607:PRB917607 QAV917607:QAX917607 QKR917607:QKT917607 QUN917607:QUP917607 REJ917607:REL917607 ROF917607:ROH917607 RYB917607:RYD917607 SHX917607:SHZ917607 SRT917607:SRV917607 TBP917607:TBR917607 TLL917607:TLN917607 TVH917607:TVJ917607 UFD917607:UFF917607 UOZ917607:UPB917607 UYV917607:UYX917607 VIR917607:VIT917607 VSN917607:VSP917607 WCJ917607:WCL917607 WMF917607:WMH917607 WWB917607:WWD917607 T983143:V983143 JP983143:JR983143 TL983143:TN983143 ADH983143:ADJ983143 AND983143:ANF983143 AWZ983143:AXB983143 BGV983143:BGX983143 BQR983143:BQT983143 CAN983143:CAP983143 CKJ983143:CKL983143 CUF983143:CUH983143 DEB983143:DED983143 DNX983143:DNZ983143 DXT983143:DXV983143 EHP983143:EHR983143 ERL983143:ERN983143 FBH983143:FBJ983143 FLD983143:FLF983143 FUZ983143:FVB983143 GEV983143:GEX983143 GOR983143:GOT983143 GYN983143:GYP983143 HIJ983143:HIL983143 HSF983143:HSH983143 ICB983143:ICD983143 ILX983143:ILZ983143 IVT983143:IVV983143 JFP983143:JFR983143 JPL983143:JPN983143 JZH983143:JZJ983143 KJD983143:KJF983143 KSZ983143:KTB983143 LCV983143:LCX983143 LMR983143:LMT983143 LWN983143:LWP983143 MGJ983143:MGL983143 MQF983143:MQH983143 NAB983143:NAD983143 NJX983143:NJZ983143 NTT983143:NTV983143 ODP983143:ODR983143 ONL983143:ONN983143 OXH983143:OXJ983143 PHD983143:PHF983143 PQZ983143:PRB983143 QAV983143:QAX983143 QKR983143:QKT983143 QUN983143:QUP983143 REJ983143:REL983143 ROF983143:ROH983143 RYB983143:RYD983143 SHX983143:SHZ983143 SRT983143:SRV983143 TBP983143:TBR983143 TLL983143:TLN983143 TVH983143:TVJ983143 UFD983143:UFF983143 UOZ983143:UPB983143 UYV983143:UYX983143 VIR983143:VIT983143 VSN983143:VSP983143 WCJ983143:WCL983143 WMF983143:WMH983143 WWB983143:WWD983143">
      <formula1>"现场报告 Field Report,正式报告 Official Report"</formula1>
    </dataValidation>
    <dataValidation type="list" allowBlank="1" showInputMessage="1" showErrorMessage="1" sqref="JS102:JV102 TO102:TR102 ADK102:ADN102 ANG102:ANJ102 AXC102:AXF102 BGY102:BHB102 BQU102:BQX102 CAQ102:CAT102 CKM102:CKP102 CUI102:CUL102 DEE102:DEH102 DOA102:DOD102 DXW102:DXZ102 EHS102:EHV102 ERO102:ERR102 FBK102:FBN102 FLG102:FLJ102 FVC102:FVF102 GEY102:GFB102 GOU102:GOX102 GYQ102:GYT102 HIM102:HIP102 HSI102:HSL102 ICE102:ICH102 IMA102:IMD102 IVW102:IVZ102 JFS102:JFV102 JPO102:JPR102 JZK102:JZN102 KJG102:KJJ102 KTC102:KTF102 LCY102:LDB102 LMU102:LMX102 LWQ102:LWT102 MGM102:MGP102 MQI102:MQL102 NAE102:NAH102 NKA102:NKD102 NTW102:NTZ102 ODS102:ODV102 ONO102:ONR102 OXK102:OXN102 PHG102:PHJ102 PRC102:PRF102 QAY102:QBB102 QKU102:QKX102 QUQ102:QUT102 REM102:REP102 ROI102:ROL102 RYE102:RYH102 SIA102:SID102 SRW102:SRZ102 TBS102:TBV102 TLO102:TLR102 TVK102:TVN102 UFG102:UFJ102 UPC102:UPF102 UYY102:UZB102 VIU102:VIX102 VSQ102:VST102 WCM102:WCP102 WMI102:WML102 WWE102:WWH102 W65639:Z65639 JS65639:JV65639 TO65639:TR65639 ADK65639:ADN65639 ANG65639:ANJ65639 AXC65639:AXF65639 BGY65639:BHB65639 BQU65639:BQX65639 CAQ65639:CAT65639 CKM65639:CKP65639 CUI65639:CUL65639 DEE65639:DEH65639 DOA65639:DOD65639 DXW65639:DXZ65639 EHS65639:EHV65639 ERO65639:ERR65639 FBK65639:FBN65639 FLG65639:FLJ65639 FVC65639:FVF65639 GEY65639:GFB65639 GOU65639:GOX65639 GYQ65639:GYT65639 HIM65639:HIP65639 HSI65639:HSL65639 ICE65639:ICH65639 IMA65639:IMD65639 IVW65639:IVZ65639 JFS65639:JFV65639 JPO65639:JPR65639 JZK65639:JZN65639 KJG65639:KJJ65639 KTC65639:KTF65639 LCY65639:LDB65639 LMU65639:LMX65639 LWQ65639:LWT65639 MGM65639:MGP65639 MQI65639:MQL65639 NAE65639:NAH65639 NKA65639:NKD65639 NTW65639:NTZ65639 ODS65639:ODV65639 ONO65639:ONR65639 OXK65639:OXN65639 PHG65639:PHJ65639 PRC65639:PRF65639 QAY65639:QBB65639 QKU65639:QKX65639 QUQ65639:QUT65639 REM65639:REP65639 ROI65639:ROL65639 RYE65639:RYH65639 SIA65639:SID65639 SRW65639:SRZ65639 TBS65639:TBV65639 TLO65639:TLR65639 TVK65639:TVN65639 UFG65639:UFJ65639 UPC65639:UPF65639 UYY65639:UZB65639 VIU65639:VIX65639 VSQ65639:VST65639 WCM65639:WCP65639 WMI65639:WML65639 WWE65639:WWH65639 W131175:Z131175 JS131175:JV131175 TO131175:TR131175 ADK131175:ADN131175 ANG131175:ANJ131175 AXC131175:AXF131175 BGY131175:BHB131175 BQU131175:BQX131175 CAQ131175:CAT131175 CKM131175:CKP131175 CUI131175:CUL131175 DEE131175:DEH131175 DOA131175:DOD131175 DXW131175:DXZ131175 EHS131175:EHV131175 ERO131175:ERR131175 FBK131175:FBN131175 FLG131175:FLJ131175 FVC131175:FVF131175 GEY131175:GFB131175 GOU131175:GOX131175 GYQ131175:GYT131175 HIM131175:HIP131175 HSI131175:HSL131175 ICE131175:ICH131175 IMA131175:IMD131175 IVW131175:IVZ131175 JFS131175:JFV131175 JPO131175:JPR131175 JZK131175:JZN131175 KJG131175:KJJ131175 KTC131175:KTF131175 LCY131175:LDB131175 LMU131175:LMX131175 LWQ131175:LWT131175 MGM131175:MGP131175 MQI131175:MQL131175 NAE131175:NAH131175 NKA131175:NKD131175 NTW131175:NTZ131175 ODS131175:ODV131175 ONO131175:ONR131175 OXK131175:OXN131175 PHG131175:PHJ131175 PRC131175:PRF131175 QAY131175:QBB131175 QKU131175:QKX131175 QUQ131175:QUT131175 REM131175:REP131175 ROI131175:ROL131175 RYE131175:RYH131175 SIA131175:SID131175 SRW131175:SRZ131175 TBS131175:TBV131175 TLO131175:TLR131175 TVK131175:TVN131175 UFG131175:UFJ131175 UPC131175:UPF131175 UYY131175:UZB131175 VIU131175:VIX131175 VSQ131175:VST131175 WCM131175:WCP131175 WMI131175:WML131175 WWE131175:WWH131175 W196711:Z196711 JS196711:JV196711 TO196711:TR196711 ADK196711:ADN196711 ANG196711:ANJ196711 AXC196711:AXF196711 BGY196711:BHB196711 BQU196711:BQX196711 CAQ196711:CAT196711 CKM196711:CKP196711 CUI196711:CUL196711 DEE196711:DEH196711 DOA196711:DOD196711 DXW196711:DXZ196711 EHS196711:EHV196711 ERO196711:ERR196711 FBK196711:FBN196711 FLG196711:FLJ196711 FVC196711:FVF196711 GEY196711:GFB196711 GOU196711:GOX196711 GYQ196711:GYT196711 HIM196711:HIP196711 HSI196711:HSL196711 ICE196711:ICH196711 IMA196711:IMD196711 IVW196711:IVZ196711 JFS196711:JFV196711 JPO196711:JPR196711 JZK196711:JZN196711 KJG196711:KJJ196711 KTC196711:KTF196711 LCY196711:LDB196711 LMU196711:LMX196711 LWQ196711:LWT196711 MGM196711:MGP196711 MQI196711:MQL196711 NAE196711:NAH196711 NKA196711:NKD196711 NTW196711:NTZ196711 ODS196711:ODV196711 ONO196711:ONR196711 OXK196711:OXN196711 PHG196711:PHJ196711 PRC196711:PRF196711 QAY196711:QBB196711 QKU196711:QKX196711 QUQ196711:QUT196711 REM196711:REP196711 ROI196711:ROL196711 RYE196711:RYH196711 SIA196711:SID196711 SRW196711:SRZ196711 TBS196711:TBV196711 TLO196711:TLR196711 TVK196711:TVN196711 UFG196711:UFJ196711 UPC196711:UPF196711 UYY196711:UZB196711 VIU196711:VIX196711 VSQ196711:VST196711 WCM196711:WCP196711 WMI196711:WML196711 WWE196711:WWH196711 W262247:Z262247 JS262247:JV262247 TO262247:TR262247 ADK262247:ADN262247 ANG262247:ANJ262247 AXC262247:AXF262247 BGY262247:BHB262247 BQU262247:BQX262247 CAQ262247:CAT262247 CKM262247:CKP262247 CUI262247:CUL262247 DEE262247:DEH262247 DOA262247:DOD262247 DXW262247:DXZ262247 EHS262247:EHV262247 ERO262247:ERR262247 FBK262247:FBN262247 FLG262247:FLJ262247 FVC262247:FVF262247 GEY262247:GFB262247 GOU262247:GOX262247 GYQ262247:GYT262247 HIM262247:HIP262247 HSI262247:HSL262247 ICE262247:ICH262247 IMA262247:IMD262247 IVW262247:IVZ262247 JFS262247:JFV262247 JPO262247:JPR262247 JZK262247:JZN262247 KJG262247:KJJ262247 KTC262247:KTF262247 LCY262247:LDB262247 LMU262247:LMX262247 LWQ262247:LWT262247 MGM262247:MGP262247 MQI262247:MQL262247 NAE262247:NAH262247 NKA262247:NKD262247 NTW262247:NTZ262247 ODS262247:ODV262247 ONO262247:ONR262247 OXK262247:OXN262247 PHG262247:PHJ262247 PRC262247:PRF262247 QAY262247:QBB262247 QKU262247:QKX262247 QUQ262247:QUT262247 REM262247:REP262247 ROI262247:ROL262247 RYE262247:RYH262247 SIA262247:SID262247 SRW262247:SRZ262247 TBS262247:TBV262247 TLO262247:TLR262247 TVK262247:TVN262247 UFG262247:UFJ262247 UPC262247:UPF262247 UYY262247:UZB262247 VIU262247:VIX262247 VSQ262247:VST262247 WCM262247:WCP262247 WMI262247:WML262247 WWE262247:WWH262247 W327783:Z327783 JS327783:JV327783 TO327783:TR327783 ADK327783:ADN327783 ANG327783:ANJ327783 AXC327783:AXF327783 BGY327783:BHB327783 BQU327783:BQX327783 CAQ327783:CAT327783 CKM327783:CKP327783 CUI327783:CUL327783 DEE327783:DEH327783 DOA327783:DOD327783 DXW327783:DXZ327783 EHS327783:EHV327783 ERO327783:ERR327783 FBK327783:FBN327783 FLG327783:FLJ327783 FVC327783:FVF327783 GEY327783:GFB327783 GOU327783:GOX327783 GYQ327783:GYT327783 HIM327783:HIP327783 HSI327783:HSL327783 ICE327783:ICH327783 IMA327783:IMD327783 IVW327783:IVZ327783 JFS327783:JFV327783 JPO327783:JPR327783 JZK327783:JZN327783 KJG327783:KJJ327783 KTC327783:KTF327783 LCY327783:LDB327783 LMU327783:LMX327783 LWQ327783:LWT327783 MGM327783:MGP327783 MQI327783:MQL327783 NAE327783:NAH327783 NKA327783:NKD327783 NTW327783:NTZ327783 ODS327783:ODV327783 ONO327783:ONR327783 OXK327783:OXN327783 PHG327783:PHJ327783 PRC327783:PRF327783 QAY327783:QBB327783 QKU327783:QKX327783 QUQ327783:QUT327783 REM327783:REP327783 ROI327783:ROL327783 RYE327783:RYH327783 SIA327783:SID327783 SRW327783:SRZ327783 TBS327783:TBV327783 TLO327783:TLR327783 TVK327783:TVN327783 UFG327783:UFJ327783 UPC327783:UPF327783 UYY327783:UZB327783 VIU327783:VIX327783 VSQ327783:VST327783 WCM327783:WCP327783 WMI327783:WML327783 WWE327783:WWH327783 W393319:Z393319 JS393319:JV393319 TO393319:TR393319 ADK393319:ADN393319 ANG393319:ANJ393319 AXC393319:AXF393319 BGY393319:BHB393319 BQU393319:BQX393319 CAQ393319:CAT393319 CKM393319:CKP393319 CUI393319:CUL393319 DEE393319:DEH393319 DOA393319:DOD393319 DXW393319:DXZ393319 EHS393319:EHV393319 ERO393319:ERR393319 FBK393319:FBN393319 FLG393319:FLJ393319 FVC393319:FVF393319 GEY393319:GFB393319 GOU393319:GOX393319 GYQ393319:GYT393319 HIM393319:HIP393319 HSI393319:HSL393319 ICE393319:ICH393319 IMA393319:IMD393319 IVW393319:IVZ393319 JFS393319:JFV393319 JPO393319:JPR393319 JZK393319:JZN393319 KJG393319:KJJ393319 KTC393319:KTF393319 LCY393319:LDB393319 LMU393319:LMX393319 LWQ393319:LWT393319 MGM393319:MGP393319 MQI393319:MQL393319 NAE393319:NAH393319 NKA393319:NKD393319 NTW393319:NTZ393319 ODS393319:ODV393319 ONO393319:ONR393319 OXK393319:OXN393319 PHG393319:PHJ393319 PRC393319:PRF393319 QAY393319:QBB393319 QKU393319:QKX393319 QUQ393319:QUT393319 REM393319:REP393319 ROI393319:ROL393319 RYE393319:RYH393319 SIA393319:SID393319 SRW393319:SRZ393319 TBS393319:TBV393319 TLO393319:TLR393319 TVK393319:TVN393319 UFG393319:UFJ393319 UPC393319:UPF393319 UYY393319:UZB393319 VIU393319:VIX393319 VSQ393319:VST393319 WCM393319:WCP393319 WMI393319:WML393319 WWE393319:WWH393319 W458855:Z458855 JS458855:JV458855 TO458855:TR458855 ADK458855:ADN458855 ANG458855:ANJ458855 AXC458855:AXF458855 BGY458855:BHB458855 BQU458855:BQX458855 CAQ458855:CAT458855 CKM458855:CKP458855 CUI458855:CUL458855 DEE458855:DEH458855 DOA458855:DOD458855 DXW458855:DXZ458855 EHS458855:EHV458855 ERO458855:ERR458855 FBK458855:FBN458855 FLG458855:FLJ458855 FVC458855:FVF458855 GEY458855:GFB458855 GOU458855:GOX458855 GYQ458855:GYT458855 HIM458855:HIP458855 HSI458855:HSL458855 ICE458855:ICH458855 IMA458855:IMD458855 IVW458855:IVZ458855 JFS458855:JFV458855 JPO458855:JPR458855 JZK458855:JZN458855 KJG458855:KJJ458855 KTC458855:KTF458855 LCY458855:LDB458855 LMU458855:LMX458855 LWQ458855:LWT458855 MGM458855:MGP458855 MQI458855:MQL458855 NAE458855:NAH458855 NKA458855:NKD458855 NTW458855:NTZ458855 ODS458855:ODV458855 ONO458855:ONR458855 OXK458855:OXN458855 PHG458855:PHJ458855 PRC458855:PRF458855 QAY458855:QBB458855 QKU458855:QKX458855 QUQ458855:QUT458855 REM458855:REP458855 ROI458855:ROL458855 RYE458855:RYH458855 SIA458855:SID458855 SRW458855:SRZ458855 TBS458855:TBV458855 TLO458855:TLR458855 TVK458855:TVN458855 UFG458855:UFJ458855 UPC458855:UPF458855 UYY458855:UZB458855 VIU458855:VIX458855 VSQ458855:VST458855 WCM458855:WCP458855 WMI458855:WML458855 WWE458855:WWH458855 W524391:Z524391 JS524391:JV524391 TO524391:TR524391 ADK524391:ADN524391 ANG524391:ANJ524391 AXC524391:AXF524391 BGY524391:BHB524391 BQU524391:BQX524391 CAQ524391:CAT524391 CKM524391:CKP524391 CUI524391:CUL524391 DEE524391:DEH524391 DOA524391:DOD524391 DXW524391:DXZ524391 EHS524391:EHV524391 ERO524391:ERR524391 FBK524391:FBN524391 FLG524391:FLJ524391 FVC524391:FVF524391 GEY524391:GFB524391 GOU524391:GOX524391 GYQ524391:GYT524391 HIM524391:HIP524391 HSI524391:HSL524391 ICE524391:ICH524391 IMA524391:IMD524391 IVW524391:IVZ524391 JFS524391:JFV524391 JPO524391:JPR524391 JZK524391:JZN524391 KJG524391:KJJ524391 KTC524391:KTF524391 LCY524391:LDB524391 LMU524391:LMX524391 LWQ524391:LWT524391 MGM524391:MGP524391 MQI524391:MQL524391 NAE524391:NAH524391 NKA524391:NKD524391 NTW524391:NTZ524391 ODS524391:ODV524391 ONO524391:ONR524391 OXK524391:OXN524391 PHG524391:PHJ524391 PRC524391:PRF524391 QAY524391:QBB524391 QKU524391:QKX524391 QUQ524391:QUT524391 REM524391:REP524391 ROI524391:ROL524391 RYE524391:RYH524391 SIA524391:SID524391 SRW524391:SRZ524391 TBS524391:TBV524391 TLO524391:TLR524391 TVK524391:TVN524391 UFG524391:UFJ524391 UPC524391:UPF524391 UYY524391:UZB524391 VIU524391:VIX524391 VSQ524391:VST524391 WCM524391:WCP524391 WMI524391:WML524391 WWE524391:WWH524391 W589927:Z589927 JS589927:JV589927 TO589927:TR589927 ADK589927:ADN589927 ANG589927:ANJ589927 AXC589927:AXF589927 BGY589927:BHB589927 BQU589927:BQX589927 CAQ589927:CAT589927 CKM589927:CKP589927 CUI589927:CUL589927 DEE589927:DEH589927 DOA589927:DOD589927 DXW589927:DXZ589927 EHS589927:EHV589927 ERO589927:ERR589927 FBK589927:FBN589927 FLG589927:FLJ589927 FVC589927:FVF589927 GEY589927:GFB589927 GOU589927:GOX589927 GYQ589927:GYT589927 HIM589927:HIP589927 HSI589927:HSL589927 ICE589927:ICH589927 IMA589927:IMD589927 IVW589927:IVZ589927 JFS589927:JFV589927 JPO589927:JPR589927 JZK589927:JZN589927 KJG589927:KJJ589927 KTC589927:KTF589927 LCY589927:LDB589927 LMU589927:LMX589927 LWQ589927:LWT589927 MGM589927:MGP589927 MQI589927:MQL589927 NAE589927:NAH589927 NKA589927:NKD589927 NTW589927:NTZ589927 ODS589927:ODV589927 ONO589927:ONR589927 OXK589927:OXN589927 PHG589927:PHJ589927 PRC589927:PRF589927 QAY589927:QBB589927 QKU589927:QKX589927 QUQ589927:QUT589927 REM589927:REP589927 ROI589927:ROL589927 RYE589927:RYH589927 SIA589927:SID589927 SRW589927:SRZ589927 TBS589927:TBV589927 TLO589927:TLR589927 TVK589927:TVN589927 UFG589927:UFJ589927 UPC589927:UPF589927 UYY589927:UZB589927 VIU589927:VIX589927 VSQ589927:VST589927 WCM589927:WCP589927 WMI589927:WML589927 WWE589927:WWH589927 W655463:Z655463 JS655463:JV655463 TO655463:TR655463 ADK655463:ADN655463 ANG655463:ANJ655463 AXC655463:AXF655463 BGY655463:BHB655463 BQU655463:BQX655463 CAQ655463:CAT655463 CKM655463:CKP655463 CUI655463:CUL655463 DEE655463:DEH655463 DOA655463:DOD655463 DXW655463:DXZ655463 EHS655463:EHV655463 ERO655463:ERR655463 FBK655463:FBN655463 FLG655463:FLJ655463 FVC655463:FVF655463 GEY655463:GFB655463 GOU655463:GOX655463 GYQ655463:GYT655463 HIM655463:HIP655463 HSI655463:HSL655463 ICE655463:ICH655463 IMA655463:IMD655463 IVW655463:IVZ655463 JFS655463:JFV655463 JPO655463:JPR655463 JZK655463:JZN655463 KJG655463:KJJ655463 KTC655463:KTF655463 LCY655463:LDB655463 LMU655463:LMX655463 LWQ655463:LWT655463 MGM655463:MGP655463 MQI655463:MQL655463 NAE655463:NAH655463 NKA655463:NKD655463 NTW655463:NTZ655463 ODS655463:ODV655463 ONO655463:ONR655463 OXK655463:OXN655463 PHG655463:PHJ655463 PRC655463:PRF655463 QAY655463:QBB655463 QKU655463:QKX655463 QUQ655463:QUT655463 REM655463:REP655463 ROI655463:ROL655463 RYE655463:RYH655463 SIA655463:SID655463 SRW655463:SRZ655463 TBS655463:TBV655463 TLO655463:TLR655463 TVK655463:TVN655463 UFG655463:UFJ655463 UPC655463:UPF655463 UYY655463:UZB655463 VIU655463:VIX655463 VSQ655463:VST655463 WCM655463:WCP655463 WMI655463:WML655463 WWE655463:WWH655463 W720999:Z720999 JS720999:JV720999 TO720999:TR720999 ADK720999:ADN720999 ANG720999:ANJ720999 AXC720999:AXF720999 BGY720999:BHB720999 BQU720999:BQX720999 CAQ720999:CAT720999 CKM720999:CKP720999 CUI720999:CUL720999 DEE720999:DEH720999 DOA720999:DOD720999 DXW720999:DXZ720999 EHS720999:EHV720999 ERO720999:ERR720999 FBK720999:FBN720999 FLG720999:FLJ720999 FVC720999:FVF720999 GEY720999:GFB720999 GOU720999:GOX720999 GYQ720999:GYT720999 HIM720999:HIP720999 HSI720999:HSL720999 ICE720999:ICH720999 IMA720999:IMD720999 IVW720999:IVZ720999 JFS720999:JFV720999 JPO720999:JPR720999 JZK720999:JZN720999 KJG720999:KJJ720999 KTC720999:KTF720999 LCY720999:LDB720999 LMU720999:LMX720999 LWQ720999:LWT720999 MGM720999:MGP720999 MQI720999:MQL720999 NAE720999:NAH720999 NKA720999:NKD720999 NTW720999:NTZ720999 ODS720999:ODV720999 ONO720999:ONR720999 OXK720999:OXN720999 PHG720999:PHJ720999 PRC720999:PRF720999 QAY720999:QBB720999 QKU720999:QKX720999 QUQ720999:QUT720999 REM720999:REP720999 ROI720999:ROL720999 RYE720999:RYH720999 SIA720999:SID720999 SRW720999:SRZ720999 TBS720999:TBV720999 TLO720999:TLR720999 TVK720999:TVN720999 UFG720999:UFJ720999 UPC720999:UPF720999 UYY720999:UZB720999 VIU720999:VIX720999 VSQ720999:VST720999 WCM720999:WCP720999 WMI720999:WML720999 WWE720999:WWH720999 W786535:Z786535 JS786535:JV786535 TO786535:TR786535 ADK786535:ADN786535 ANG786535:ANJ786535 AXC786535:AXF786535 BGY786535:BHB786535 BQU786535:BQX786535 CAQ786535:CAT786535 CKM786535:CKP786535 CUI786535:CUL786535 DEE786535:DEH786535 DOA786535:DOD786535 DXW786535:DXZ786535 EHS786535:EHV786535 ERO786535:ERR786535 FBK786535:FBN786535 FLG786535:FLJ786535 FVC786535:FVF786535 GEY786535:GFB786535 GOU786535:GOX786535 GYQ786535:GYT786535 HIM786535:HIP786535 HSI786535:HSL786535 ICE786535:ICH786535 IMA786535:IMD786535 IVW786535:IVZ786535 JFS786535:JFV786535 JPO786535:JPR786535 JZK786535:JZN786535 KJG786535:KJJ786535 KTC786535:KTF786535 LCY786535:LDB786535 LMU786535:LMX786535 LWQ786535:LWT786535 MGM786535:MGP786535 MQI786535:MQL786535 NAE786535:NAH786535 NKA786535:NKD786535 NTW786535:NTZ786535 ODS786535:ODV786535 ONO786535:ONR786535 OXK786535:OXN786535 PHG786535:PHJ786535 PRC786535:PRF786535 QAY786535:QBB786535 QKU786535:QKX786535 QUQ786535:QUT786535 REM786535:REP786535 ROI786535:ROL786535 RYE786535:RYH786535 SIA786535:SID786535 SRW786535:SRZ786535 TBS786535:TBV786535 TLO786535:TLR786535 TVK786535:TVN786535 UFG786535:UFJ786535 UPC786535:UPF786535 UYY786535:UZB786535 VIU786535:VIX786535 VSQ786535:VST786535 WCM786535:WCP786535 WMI786535:WML786535 WWE786535:WWH786535 W852071:Z852071 JS852071:JV852071 TO852071:TR852071 ADK852071:ADN852071 ANG852071:ANJ852071 AXC852071:AXF852071 BGY852071:BHB852071 BQU852071:BQX852071 CAQ852071:CAT852071 CKM852071:CKP852071 CUI852071:CUL852071 DEE852071:DEH852071 DOA852071:DOD852071 DXW852071:DXZ852071 EHS852071:EHV852071 ERO852071:ERR852071 FBK852071:FBN852071 FLG852071:FLJ852071 FVC852071:FVF852071 GEY852071:GFB852071 GOU852071:GOX852071 GYQ852071:GYT852071 HIM852071:HIP852071 HSI852071:HSL852071 ICE852071:ICH852071 IMA852071:IMD852071 IVW852071:IVZ852071 JFS852071:JFV852071 JPO852071:JPR852071 JZK852071:JZN852071 KJG852071:KJJ852071 KTC852071:KTF852071 LCY852071:LDB852071 LMU852071:LMX852071 LWQ852071:LWT852071 MGM852071:MGP852071 MQI852071:MQL852071 NAE852071:NAH852071 NKA852071:NKD852071 NTW852071:NTZ852071 ODS852071:ODV852071 ONO852071:ONR852071 OXK852071:OXN852071 PHG852071:PHJ852071 PRC852071:PRF852071 QAY852071:QBB852071 QKU852071:QKX852071 QUQ852071:QUT852071 REM852071:REP852071 ROI852071:ROL852071 RYE852071:RYH852071 SIA852071:SID852071 SRW852071:SRZ852071 TBS852071:TBV852071 TLO852071:TLR852071 TVK852071:TVN852071 UFG852071:UFJ852071 UPC852071:UPF852071 UYY852071:UZB852071 VIU852071:VIX852071 VSQ852071:VST852071 WCM852071:WCP852071 WMI852071:WML852071 WWE852071:WWH852071 W917607:Z917607 JS917607:JV917607 TO917607:TR917607 ADK917607:ADN917607 ANG917607:ANJ917607 AXC917607:AXF917607 BGY917607:BHB917607 BQU917607:BQX917607 CAQ917607:CAT917607 CKM917607:CKP917607 CUI917607:CUL917607 DEE917607:DEH917607 DOA917607:DOD917607 DXW917607:DXZ917607 EHS917607:EHV917607 ERO917607:ERR917607 FBK917607:FBN917607 FLG917607:FLJ917607 FVC917607:FVF917607 GEY917607:GFB917607 GOU917607:GOX917607 GYQ917607:GYT917607 HIM917607:HIP917607 HSI917607:HSL917607 ICE917607:ICH917607 IMA917607:IMD917607 IVW917607:IVZ917607 JFS917607:JFV917607 JPO917607:JPR917607 JZK917607:JZN917607 KJG917607:KJJ917607 KTC917607:KTF917607 LCY917607:LDB917607 LMU917607:LMX917607 LWQ917607:LWT917607 MGM917607:MGP917607 MQI917607:MQL917607 NAE917607:NAH917607 NKA917607:NKD917607 NTW917607:NTZ917607 ODS917607:ODV917607 ONO917607:ONR917607 OXK917607:OXN917607 PHG917607:PHJ917607 PRC917607:PRF917607 QAY917607:QBB917607 QKU917607:QKX917607 QUQ917607:QUT917607 REM917607:REP917607 ROI917607:ROL917607 RYE917607:RYH917607 SIA917607:SID917607 SRW917607:SRZ917607 TBS917607:TBV917607 TLO917607:TLR917607 TVK917607:TVN917607 UFG917607:UFJ917607 UPC917607:UPF917607 UYY917607:UZB917607 VIU917607:VIX917607 VSQ917607:VST917607 WCM917607:WCP917607 WMI917607:WML917607 WWE917607:WWH917607 W983143:Z983143 JS983143:JV983143 TO983143:TR983143 ADK983143:ADN983143 ANG983143:ANJ983143 AXC983143:AXF983143 BGY983143:BHB983143 BQU983143:BQX983143 CAQ983143:CAT983143 CKM983143:CKP983143 CUI983143:CUL983143 DEE983143:DEH983143 DOA983143:DOD983143 DXW983143:DXZ983143 EHS983143:EHV983143 ERO983143:ERR983143 FBK983143:FBN983143 FLG983143:FLJ983143 FVC983143:FVF983143 GEY983143:GFB983143 GOU983143:GOX983143 GYQ983143:GYT983143 HIM983143:HIP983143 HSI983143:HSL983143 ICE983143:ICH983143 IMA983143:IMD983143 IVW983143:IVZ983143 JFS983143:JFV983143 JPO983143:JPR983143 JZK983143:JZN983143 KJG983143:KJJ983143 KTC983143:KTF983143 LCY983143:LDB983143 LMU983143:LMX983143 LWQ983143:LWT983143 MGM983143:MGP983143 MQI983143:MQL983143 NAE983143:NAH983143 NKA983143:NKD983143 NTW983143:NTZ983143 ODS983143:ODV983143 ONO983143:ONR983143 OXK983143:OXN983143 PHG983143:PHJ983143 PRC983143:PRF983143 QAY983143:QBB983143 QKU983143:QKX983143 QUQ983143:QUT983143 REM983143:REP983143 ROI983143:ROL983143 RYE983143:RYH983143 SIA983143:SID983143 SRW983143:SRZ983143 TBS983143:TBV983143 TLO983143:TLR983143 TVK983143:TVN983143 UFG983143:UFJ983143 UPC983143:UPF983143 UYY983143:UZB983143 VIU983143:VIX983143 VSQ983143:VST983143 WCM983143:WCP983143 WMI983143:WML983143 WWE983143:WWH983143">
      <formula1>"A--原油 Crude Oil,B--成品油 Refined Products,C--特殊应用 Special Application,D--滑油类 Lubricating Oils"</formula1>
    </dataValidation>
    <dataValidation allowBlank="1" showInputMessage="1" showErrorMessage="1" prompt="Please Choose&#10;if Draft Fwd&gt;Aft, choose &quot;m By Head&quot;&#10;otherwise, choose &quot;m By Stern&quot;&#10;如果艏吃水大于艉吃水，选择”米 艏倾“&#10;否则，选择”米 艉倾“" sqref="W113 JS113 TO113 ADK113 ANG113 AXC113 BGY113 BQU113 CAQ113 CKM113 CUI113 DEE113 DOA113 DXW113 EHS113 ERO113 FBK113 FLG113 FVC113 GEY113 GOU113 GYQ113 HIM113 HSI113 ICE113 IMA113 IVW113 JFS113 JPO113 JZK113 KJG113 KTC113 LCY113 LMU113 LWQ113 MGM113 MQI113 NAE113 NKA113 NTW113 ODS113 ONO113 OXK113 PHG113 PRC113 QAY113 QKU113 QUQ113 REM113 ROI113 RYE113 SIA113 SRW113 TBS113 TLO113 TVK113 UFG113 UPC113 UYY113 VIU113 VSQ113 WCM113 WMI113 WWE113 W65649 JS65649 TO65649 ADK65649 ANG65649 AXC65649 BGY65649 BQU65649 CAQ65649 CKM65649 CUI65649 DEE65649 DOA65649 DXW65649 EHS65649 ERO65649 FBK65649 FLG65649 FVC65649 GEY65649 GOU65649 GYQ65649 HIM65649 HSI65649 ICE65649 IMA65649 IVW65649 JFS65649 JPO65649 JZK65649 KJG65649 KTC65649 LCY65649 LMU65649 LWQ65649 MGM65649 MQI65649 NAE65649 NKA65649 NTW65649 ODS65649 ONO65649 OXK65649 PHG65649 PRC65649 QAY65649 QKU65649 QUQ65649 REM65649 ROI65649 RYE65649 SIA65649 SRW65649 TBS65649 TLO65649 TVK65649 UFG65649 UPC65649 UYY65649 VIU65649 VSQ65649 WCM65649 WMI65649 WWE65649 W131185 JS131185 TO131185 ADK131185 ANG131185 AXC131185 BGY131185 BQU131185 CAQ131185 CKM131185 CUI131185 DEE131185 DOA131185 DXW131185 EHS131185 ERO131185 FBK131185 FLG131185 FVC131185 GEY131185 GOU131185 GYQ131185 HIM131185 HSI131185 ICE131185 IMA131185 IVW131185 JFS131185 JPO131185 JZK131185 KJG131185 KTC131185 LCY131185 LMU131185 LWQ131185 MGM131185 MQI131185 NAE131185 NKA131185 NTW131185 ODS131185 ONO131185 OXK131185 PHG131185 PRC131185 QAY131185 QKU131185 QUQ131185 REM131185 ROI131185 RYE131185 SIA131185 SRW131185 TBS131185 TLO131185 TVK131185 UFG131185 UPC131185 UYY131185 VIU131185 VSQ131185 WCM131185 WMI131185 WWE131185 W196721 JS196721 TO196721 ADK196721 ANG196721 AXC196721 BGY196721 BQU196721 CAQ196721 CKM196721 CUI196721 DEE196721 DOA196721 DXW196721 EHS196721 ERO196721 FBK196721 FLG196721 FVC196721 GEY196721 GOU196721 GYQ196721 HIM196721 HSI196721 ICE196721 IMA196721 IVW196721 JFS196721 JPO196721 JZK196721 KJG196721 KTC196721 LCY196721 LMU196721 LWQ196721 MGM196721 MQI196721 NAE196721 NKA196721 NTW196721 ODS196721 ONO196721 OXK196721 PHG196721 PRC196721 QAY196721 QKU196721 QUQ196721 REM196721 ROI196721 RYE196721 SIA196721 SRW196721 TBS196721 TLO196721 TVK196721 UFG196721 UPC196721 UYY196721 VIU196721 VSQ196721 WCM196721 WMI196721 WWE196721 W262257 JS262257 TO262257 ADK262257 ANG262257 AXC262257 BGY262257 BQU262257 CAQ262257 CKM262257 CUI262257 DEE262257 DOA262257 DXW262257 EHS262257 ERO262257 FBK262257 FLG262257 FVC262257 GEY262257 GOU262257 GYQ262257 HIM262257 HSI262257 ICE262257 IMA262257 IVW262257 JFS262257 JPO262257 JZK262257 KJG262257 KTC262257 LCY262257 LMU262257 LWQ262257 MGM262257 MQI262257 NAE262257 NKA262257 NTW262257 ODS262257 ONO262257 OXK262257 PHG262257 PRC262257 QAY262257 QKU262257 QUQ262257 REM262257 ROI262257 RYE262257 SIA262257 SRW262257 TBS262257 TLO262257 TVK262257 UFG262257 UPC262257 UYY262257 VIU262257 VSQ262257 WCM262257 WMI262257 WWE262257 W327793 JS327793 TO327793 ADK327793 ANG327793 AXC327793 BGY327793 BQU327793 CAQ327793 CKM327793 CUI327793 DEE327793 DOA327793 DXW327793 EHS327793 ERO327793 FBK327793 FLG327793 FVC327793 GEY327793 GOU327793 GYQ327793 HIM327793 HSI327793 ICE327793 IMA327793 IVW327793 JFS327793 JPO327793 JZK327793 KJG327793 KTC327793 LCY327793 LMU327793 LWQ327793 MGM327793 MQI327793 NAE327793 NKA327793 NTW327793 ODS327793 ONO327793 OXK327793 PHG327793 PRC327793 QAY327793 QKU327793 QUQ327793 REM327793 ROI327793 RYE327793 SIA327793 SRW327793 TBS327793 TLO327793 TVK327793 UFG327793 UPC327793 UYY327793 VIU327793 VSQ327793 WCM327793 WMI327793 WWE327793 W393329 JS393329 TO393329 ADK393329 ANG393329 AXC393329 BGY393329 BQU393329 CAQ393329 CKM393329 CUI393329 DEE393329 DOA393329 DXW393329 EHS393329 ERO393329 FBK393329 FLG393329 FVC393329 GEY393329 GOU393329 GYQ393329 HIM393329 HSI393329 ICE393329 IMA393329 IVW393329 JFS393329 JPO393329 JZK393329 KJG393329 KTC393329 LCY393329 LMU393329 LWQ393329 MGM393329 MQI393329 NAE393329 NKA393329 NTW393329 ODS393329 ONO393329 OXK393329 PHG393329 PRC393329 QAY393329 QKU393329 QUQ393329 REM393329 ROI393329 RYE393329 SIA393329 SRW393329 TBS393329 TLO393329 TVK393329 UFG393329 UPC393329 UYY393329 VIU393329 VSQ393329 WCM393329 WMI393329 WWE393329 W458865 JS458865 TO458865 ADK458865 ANG458865 AXC458865 BGY458865 BQU458865 CAQ458865 CKM458865 CUI458865 DEE458865 DOA458865 DXW458865 EHS458865 ERO458865 FBK458865 FLG458865 FVC458865 GEY458865 GOU458865 GYQ458865 HIM458865 HSI458865 ICE458865 IMA458865 IVW458865 JFS458865 JPO458865 JZK458865 KJG458865 KTC458865 LCY458865 LMU458865 LWQ458865 MGM458865 MQI458865 NAE458865 NKA458865 NTW458865 ODS458865 ONO458865 OXK458865 PHG458865 PRC458865 QAY458865 QKU458865 QUQ458865 REM458865 ROI458865 RYE458865 SIA458865 SRW458865 TBS458865 TLO458865 TVK458865 UFG458865 UPC458865 UYY458865 VIU458865 VSQ458865 WCM458865 WMI458865 WWE458865 W524401 JS524401 TO524401 ADK524401 ANG524401 AXC524401 BGY524401 BQU524401 CAQ524401 CKM524401 CUI524401 DEE524401 DOA524401 DXW524401 EHS524401 ERO524401 FBK524401 FLG524401 FVC524401 GEY524401 GOU524401 GYQ524401 HIM524401 HSI524401 ICE524401 IMA524401 IVW524401 JFS524401 JPO524401 JZK524401 KJG524401 KTC524401 LCY524401 LMU524401 LWQ524401 MGM524401 MQI524401 NAE524401 NKA524401 NTW524401 ODS524401 ONO524401 OXK524401 PHG524401 PRC524401 QAY524401 QKU524401 QUQ524401 REM524401 ROI524401 RYE524401 SIA524401 SRW524401 TBS524401 TLO524401 TVK524401 UFG524401 UPC524401 UYY524401 VIU524401 VSQ524401 WCM524401 WMI524401 WWE524401 W589937 JS589937 TO589937 ADK589937 ANG589937 AXC589937 BGY589937 BQU589937 CAQ589937 CKM589937 CUI589937 DEE589937 DOA589937 DXW589937 EHS589937 ERO589937 FBK589937 FLG589937 FVC589937 GEY589937 GOU589937 GYQ589937 HIM589937 HSI589937 ICE589937 IMA589937 IVW589937 JFS589937 JPO589937 JZK589937 KJG589937 KTC589937 LCY589937 LMU589937 LWQ589937 MGM589937 MQI589937 NAE589937 NKA589937 NTW589937 ODS589937 ONO589937 OXK589937 PHG589937 PRC589937 QAY589937 QKU589937 QUQ589937 REM589937 ROI589937 RYE589937 SIA589937 SRW589937 TBS589937 TLO589937 TVK589937 UFG589937 UPC589937 UYY589937 VIU589937 VSQ589937 WCM589937 WMI589937 WWE589937 W655473 JS655473 TO655473 ADK655473 ANG655473 AXC655473 BGY655473 BQU655473 CAQ655473 CKM655473 CUI655473 DEE655473 DOA655473 DXW655473 EHS655473 ERO655473 FBK655473 FLG655473 FVC655473 GEY655473 GOU655473 GYQ655473 HIM655473 HSI655473 ICE655473 IMA655473 IVW655473 JFS655473 JPO655473 JZK655473 KJG655473 KTC655473 LCY655473 LMU655473 LWQ655473 MGM655473 MQI655473 NAE655473 NKA655473 NTW655473 ODS655473 ONO655473 OXK655473 PHG655473 PRC655473 QAY655473 QKU655473 QUQ655473 REM655473 ROI655473 RYE655473 SIA655473 SRW655473 TBS655473 TLO655473 TVK655473 UFG655473 UPC655473 UYY655473 VIU655473 VSQ655473 WCM655473 WMI655473 WWE655473 W721009 JS721009 TO721009 ADK721009 ANG721009 AXC721009 BGY721009 BQU721009 CAQ721009 CKM721009 CUI721009 DEE721009 DOA721009 DXW721009 EHS721009 ERO721009 FBK721009 FLG721009 FVC721009 GEY721009 GOU721009 GYQ721009 HIM721009 HSI721009 ICE721009 IMA721009 IVW721009 JFS721009 JPO721009 JZK721009 KJG721009 KTC721009 LCY721009 LMU721009 LWQ721009 MGM721009 MQI721009 NAE721009 NKA721009 NTW721009 ODS721009 ONO721009 OXK721009 PHG721009 PRC721009 QAY721009 QKU721009 QUQ721009 REM721009 ROI721009 RYE721009 SIA721009 SRW721009 TBS721009 TLO721009 TVK721009 UFG721009 UPC721009 UYY721009 VIU721009 VSQ721009 WCM721009 WMI721009 WWE721009 W786545 JS786545 TO786545 ADK786545 ANG786545 AXC786545 BGY786545 BQU786545 CAQ786545 CKM786545 CUI786545 DEE786545 DOA786545 DXW786545 EHS786545 ERO786545 FBK786545 FLG786545 FVC786545 GEY786545 GOU786545 GYQ786545 HIM786545 HSI786545 ICE786545 IMA786545 IVW786545 JFS786545 JPO786545 JZK786545 KJG786545 KTC786545 LCY786545 LMU786545 LWQ786545 MGM786545 MQI786545 NAE786545 NKA786545 NTW786545 ODS786545 ONO786545 OXK786545 PHG786545 PRC786545 QAY786545 QKU786545 QUQ786545 REM786545 ROI786545 RYE786545 SIA786545 SRW786545 TBS786545 TLO786545 TVK786545 UFG786545 UPC786545 UYY786545 VIU786545 VSQ786545 WCM786545 WMI786545 WWE786545 W852081 JS852081 TO852081 ADK852081 ANG852081 AXC852081 BGY852081 BQU852081 CAQ852081 CKM852081 CUI852081 DEE852081 DOA852081 DXW852081 EHS852081 ERO852081 FBK852081 FLG852081 FVC852081 GEY852081 GOU852081 GYQ852081 HIM852081 HSI852081 ICE852081 IMA852081 IVW852081 JFS852081 JPO852081 JZK852081 KJG852081 KTC852081 LCY852081 LMU852081 LWQ852081 MGM852081 MQI852081 NAE852081 NKA852081 NTW852081 ODS852081 ONO852081 OXK852081 PHG852081 PRC852081 QAY852081 QKU852081 QUQ852081 REM852081 ROI852081 RYE852081 SIA852081 SRW852081 TBS852081 TLO852081 TVK852081 UFG852081 UPC852081 UYY852081 VIU852081 VSQ852081 WCM852081 WMI852081 WWE852081 W917617 JS917617 TO917617 ADK917617 ANG917617 AXC917617 BGY917617 BQU917617 CAQ917617 CKM917617 CUI917617 DEE917617 DOA917617 DXW917617 EHS917617 ERO917617 FBK917617 FLG917617 FVC917617 GEY917617 GOU917617 GYQ917617 HIM917617 HSI917617 ICE917617 IMA917617 IVW917617 JFS917617 JPO917617 JZK917617 KJG917617 KTC917617 LCY917617 LMU917617 LWQ917617 MGM917617 MQI917617 NAE917617 NKA917617 NTW917617 ODS917617 ONO917617 OXK917617 PHG917617 PRC917617 QAY917617 QKU917617 QUQ917617 REM917617 ROI917617 RYE917617 SIA917617 SRW917617 TBS917617 TLO917617 TVK917617 UFG917617 UPC917617 UYY917617 VIU917617 VSQ917617 WCM917617 WMI917617 WWE917617 W983153 JS983153 TO983153 ADK983153 ANG983153 AXC983153 BGY983153 BQU983153 CAQ983153 CKM983153 CUI983153 DEE983153 DOA983153 DXW983153 EHS983153 ERO983153 FBK983153 FLG983153 FVC983153 GEY983153 GOU983153 GYQ983153 HIM983153 HSI983153 ICE983153 IMA983153 IVW983153 JFS983153 JPO983153 JZK983153 KJG983153 KTC983153 LCY983153 LMU983153 LWQ983153 MGM983153 MQI983153 NAE983153 NKA983153 NTW983153 ODS983153 ONO983153 OXK983153 PHG983153 PRC983153 QAY983153 QKU983153 QUQ983153 REM983153 ROI983153 RYE983153 SIA983153 SRW983153 TBS983153 TLO983153 TVK983153 UFG983153 UPC983153 UYY983153 VIU983153 VSQ983153 WCM983153 WMI983153 WWE983153"/>
    <dataValidation type="list" allowBlank="1" showInputMessage="1" showErrorMessage="1" sqref="JW115:JY115 TS115:TU115 ADO115:ADQ115 ANK115:ANM115 AXG115:AXI115 BHC115:BHE115 BQY115:BRA115 CAU115:CAW115 CKQ115:CKS115 CUM115:CUO115 DEI115:DEK115 DOE115:DOG115 DYA115:DYC115 EHW115:EHY115 ERS115:ERU115 FBO115:FBQ115 FLK115:FLM115 FVG115:FVI115 GFC115:GFE115 GOY115:GPA115 GYU115:GYW115 HIQ115:HIS115 HSM115:HSO115 ICI115:ICK115 IME115:IMG115 IWA115:IWC115 JFW115:JFY115 JPS115:JPU115 JZO115:JZQ115 KJK115:KJM115 KTG115:KTI115 LDC115:LDE115 LMY115:LNA115 LWU115:LWW115 MGQ115:MGS115 MQM115:MQO115 NAI115:NAK115 NKE115:NKG115 NUA115:NUC115 ODW115:ODY115 ONS115:ONU115 OXO115:OXQ115 PHK115:PHM115 PRG115:PRI115 QBC115:QBE115 QKY115:QLA115 QUU115:QUW115 REQ115:RES115 ROM115:ROO115 RYI115:RYK115 SIE115:SIG115 SSA115:SSC115 TBW115:TBY115 TLS115:TLU115 TVO115:TVQ115 UFK115:UFM115 UPG115:UPI115 UZC115:UZE115 VIY115:VJA115 VSU115:VSW115 WCQ115:WCS115 WMM115:WMO115 WWI115:WWK115 AA65651:AC65651 JW65651:JY65651 TS65651:TU65651 ADO65651:ADQ65651 ANK65651:ANM65651 AXG65651:AXI65651 BHC65651:BHE65651 BQY65651:BRA65651 CAU65651:CAW65651 CKQ65651:CKS65651 CUM65651:CUO65651 DEI65651:DEK65651 DOE65651:DOG65651 DYA65651:DYC65651 EHW65651:EHY65651 ERS65651:ERU65651 FBO65651:FBQ65651 FLK65651:FLM65651 FVG65651:FVI65651 GFC65651:GFE65651 GOY65651:GPA65651 GYU65651:GYW65651 HIQ65651:HIS65651 HSM65651:HSO65651 ICI65651:ICK65651 IME65651:IMG65651 IWA65651:IWC65651 JFW65651:JFY65651 JPS65651:JPU65651 JZO65651:JZQ65651 KJK65651:KJM65651 KTG65651:KTI65651 LDC65651:LDE65651 LMY65651:LNA65651 LWU65651:LWW65651 MGQ65651:MGS65651 MQM65651:MQO65651 NAI65651:NAK65651 NKE65651:NKG65651 NUA65651:NUC65651 ODW65651:ODY65651 ONS65651:ONU65651 OXO65651:OXQ65651 PHK65651:PHM65651 PRG65651:PRI65651 QBC65651:QBE65651 QKY65651:QLA65651 QUU65651:QUW65651 REQ65651:RES65651 ROM65651:ROO65651 RYI65651:RYK65651 SIE65651:SIG65651 SSA65651:SSC65651 TBW65651:TBY65651 TLS65651:TLU65651 TVO65651:TVQ65651 UFK65651:UFM65651 UPG65651:UPI65651 UZC65651:UZE65651 VIY65651:VJA65651 VSU65651:VSW65651 WCQ65651:WCS65651 WMM65651:WMO65651 WWI65651:WWK65651 AA131187:AC131187 JW131187:JY131187 TS131187:TU131187 ADO131187:ADQ131187 ANK131187:ANM131187 AXG131187:AXI131187 BHC131187:BHE131187 BQY131187:BRA131187 CAU131187:CAW131187 CKQ131187:CKS131187 CUM131187:CUO131187 DEI131187:DEK131187 DOE131187:DOG131187 DYA131187:DYC131187 EHW131187:EHY131187 ERS131187:ERU131187 FBO131187:FBQ131187 FLK131187:FLM131187 FVG131187:FVI131187 GFC131187:GFE131187 GOY131187:GPA131187 GYU131187:GYW131187 HIQ131187:HIS131187 HSM131187:HSO131187 ICI131187:ICK131187 IME131187:IMG131187 IWA131187:IWC131187 JFW131187:JFY131187 JPS131187:JPU131187 JZO131187:JZQ131187 KJK131187:KJM131187 KTG131187:KTI131187 LDC131187:LDE131187 LMY131187:LNA131187 LWU131187:LWW131187 MGQ131187:MGS131187 MQM131187:MQO131187 NAI131187:NAK131187 NKE131187:NKG131187 NUA131187:NUC131187 ODW131187:ODY131187 ONS131187:ONU131187 OXO131187:OXQ131187 PHK131187:PHM131187 PRG131187:PRI131187 QBC131187:QBE131187 QKY131187:QLA131187 QUU131187:QUW131187 REQ131187:RES131187 ROM131187:ROO131187 RYI131187:RYK131187 SIE131187:SIG131187 SSA131187:SSC131187 TBW131187:TBY131187 TLS131187:TLU131187 TVO131187:TVQ131187 UFK131187:UFM131187 UPG131187:UPI131187 UZC131187:UZE131187 VIY131187:VJA131187 VSU131187:VSW131187 WCQ131187:WCS131187 WMM131187:WMO131187 WWI131187:WWK131187 AA196723:AC196723 JW196723:JY196723 TS196723:TU196723 ADO196723:ADQ196723 ANK196723:ANM196723 AXG196723:AXI196723 BHC196723:BHE196723 BQY196723:BRA196723 CAU196723:CAW196723 CKQ196723:CKS196723 CUM196723:CUO196723 DEI196723:DEK196723 DOE196723:DOG196723 DYA196723:DYC196723 EHW196723:EHY196723 ERS196723:ERU196723 FBO196723:FBQ196723 FLK196723:FLM196723 FVG196723:FVI196723 GFC196723:GFE196723 GOY196723:GPA196723 GYU196723:GYW196723 HIQ196723:HIS196723 HSM196723:HSO196723 ICI196723:ICK196723 IME196723:IMG196723 IWA196723:IWC196723 JFW196723:JFY196723 JPS196723:JPU196723 JZO196723:JZQ196723 KJK196723:KJM196723 KTG196723:KTI196723 LDC196723:LDE196723 LMY196723:LNA196723 LWU196723:LWW196723 MGQ196723:MGS196723 MQM196723:MQO196723 NAI196723:NAK196723 NKE196723:NKG196723 NUA196723:NUC196723 ODW196723:ODY196723 ONS196723:ONU196723 OXO196723:OXQ196723 PHK196723:PHM196723 PRG196723:PRI196723 QBC196723:QBE196723 QKY196723:QLA196723 QUU196723:QUW196723 REQ196723:RES196723 ROM196723:ROO196723 RYI196723:RYK196723 SIE196723:SIG196723 SSA196723:SSC196723 TBW196723:TBY196723 TLS196723:TLU196723 TVO196723:TVQ196723 UFK196723:UFM196723 UPG196723:UPI196723 UZC196723:UZE196723 VIY196723:VJA196723 VSU196723:VSW196723 WCQ196723:WCS196723 WMM196723:WMO196723 WWI196723:WWK196723 AA262259:AC262259 JW262259:JY262259 TS262259:TU262259 ADO262259:ADQ262259 ANK262259:ANM262259 AXG262259:AXI262259 BHC262259:BHE262259 BQY262259:BRA262259 CAU262259:CAW262259 CKQ262259:CKS262259 CUM262259:CUO262259 DEI262259:DEK262259 DOE262259:DOG262259 DYA262259:DYC262259 EHW262259:EHY262259 ERS262259:ERU262259 FBO262259:FBQ262259 FLK262259:FLM262259 FVG262259:FVI262259 GFC262259:GFE262259 GOY262259:GPA262259 GYU262259:GYW262259 HIQ262259:HIS262259 HSM262259:HSO262259 ICI262259:ICK262259 IME262259:IMG262259 IWA262259:IWC262259 JFW262259:JFY262259 JPS262259:JPU262259 JZO262259:JZQ262259 KJK262259:KJM262259 KTG262259:KTI262259 LDC262259:LDE262259 LMY262259:LNA262259 LWU262259:LWW262259 MGQ262259:MGS262259 MQM262259:MQO262259 NAI262259:NAK262259 NKE262259:NKG262259 NUA262259:NUC262259 ODW262259:ODY262259 ONS262259:ONU262259 OXO262259:OXQ262259 PHK262259:PHM262259 PRG262259:PRI262259 QBC262259:QBE262259 QKY262259:QLA262259 QUU262259:QUW262259 REQ262259:RES262259 ROM262259:ROO262259 RYI262259:RYK262259 SIE262259:SIG262259 SSA262259:SSC262259 TBW262259:TBY262259 TLS262259:TLU262259 TVO262259:TVQ262259 UFK262259:UFM262259 UPG262259:UPI262259 UZC262259:UZE262259 VIY262259:VJA262259 VSU262259:VSW262259 WCQ262259:WCS262259 WMM262259:WMO262259 WWI262259:WWK262259 AA327795:AC327795 JW327795:JY327795 TS327795:TU327795 ADO327795:ADQ327795 ANK327795:ANM327795 AXG327795:AXI327795 BHC327795:BHE327795 BQY327795:BRA327795 CAU327795:CAW327795 CKQ327795:CKS327795 CUM327795:CUO327795 DEI327795:DEK327795 DOE327795:DOG327795 DYA327795:DYC327795 EHW327795:EHY327795 ERS327795:ERU327795 FBO327795:FBQ327795 FLK327795:FLM327795 FVG327795:FVI327795 GFC327795:GFE327795 GOY327795:GPA327795 GYU327795:GYW327795 HIQ327795:HIS327795 HSM327795:HSO327795 ICI327795:ICK327795 IME327795:IMG327795 IWA327795:IWC327795 JFW327795:JFY327795 JPS327795:JPU327795 JZO327795:JZQ327795 KJK327795:KJM327795 KTG327795:KTI327795 LDC327795:LDE327795 LMY327795:LNA327795 LWU327795:LWW327795 MGQ327795:MGS327795 MQM327795:MQO327795 NAI327795:NAK327795 NKE327795:NKG327795 NUA327795:NUC327795 ODW327795:ODY327795 ONS327795:ONU327795 OXO327795:OXQ327795 PHK327795:PHM327795 PRG327795:PRI327795 QBC327795:QBE327795 QKY327795:QLA327795 QUU327795:QUW327795 REQ327795:RES327795 ROM327795:ROO327795 RYI327795:RYK327795 SIE327795:SIG327795 SSA327795:SSC327795 TBW327795:TBY327795 TLS327795:TLU327795 TVO327795:TVQ327795 UFK327795:UFM327795 UPG327795:UPI327795 UZC327795:UZE327795 VIY327795:VJA327795 VSU327795:VSW327795 WCQ327795:WCS327795 WMM327795:WMO327795 WWI327795:WWK327795 AA393331:AC393331 JW393331:JY393331 TS393331:TU393331 ADO393331:ADQ393331 ANK393331:ANM393331 AXG393331:AXI393331 BHC393331:BHE393331 BQY393331:BRA393331 CAU393331:CAW393331 CKQ393331:CKS393331 CUM393331:CUO393331 DEI393331:DEK393331 DOE393331:DOG393331 DYA393331:DYC393331 EHW393331:EHY393331 ERS393331:ERU393331 FBO393331:FBQ393331 FLK393331:FLM393331 FVG393331:FVI393331 GFC393331:GFE393331 GOY393331:GPA393331 GYU393331:GYW393331 HIQ393331:HIS393331 HSM393331:HSO393331 ICI393331:ICK393331 IME393331:IMG393331 IWA393331:IWC393331 JFW393331:JFY393331 JPS393331:JPU393331 JZO393331:JZQ393331 KJK393331:KJM393331 KTG393331:KTI393331 LDC393331:LDE393331 LMY393331:LNA393331 LWU393331:LWW393331 MGQ393331:MGS393331 MQM393331:MQO393331 NAI393331:NAK393331 NKE393331:NKG393331 NUA393331:NUC393331 ODW393331:ODY393331 ONS393331:ONU393331 OXO393331:OXQ393331 PHK393331:PHM393331 PRG393331:PRI393331 QBC393331:QBE393331 QKY393331:QLA393331 QUU393331:QUW393331 REQ393331:RES393331 ROM393331:ROO393331 RYI393331:RYK393331 SIE393331:SIG393331 SSA393331:SSC393331 TBW393331:TBY393331 TLS393331:TLU393331 TVO393331:TVQ393331 UFK393331:UFM393331 UPG393331:UPI393331 UZC393331:UZE393331 VIY393331:VJA393331 VSU393331:VSW393331 WCQ393331:WCS393331 WMM393331:WMO393331 WWI393331:WWK393331 AA458867:AC458867 JW458867:JY458867 TS458867:TU458867 ADO458867:ADQ458867 ANK458867:ANM458867 AXG458867:AXI458867 BHC458867:BHE458867 BQY458867:BRA458867 CAU458867:CAW458867 CKQ458867:CKS458867 CUM458867:CUO458867 DEI458867:DEK458867 DOE458867:DOG458867 DYA458867:DYC458867 EHW458867:EHY458867 ERS458867:ERU458867 FBO458867:FBQ458867 FLK458867:FLM458867 FVG458867:FVI458867 GFC458867:GFE458867 GOY458867:GPA458867 GYU458867:GYW458867 HIQ458867:HIS458867 HSM458867:HSO458867 ICI458867:ICK458867 IME458867:IMG458867 IWA458867:IWC458867 JFW458867:JFY458867 JPS458867:JPU458867 JZO458867:JZQ458867 KJK458867:KJM458867 KTG458867:KTI458867 LDC458867:LDE458867 LMY458867:LNA458867 LWU458867:LWW458867 MGQ458867:MGS458867 MQM458867:MQO458867 NAI458867:NAK458867 NKE458867:NKG458867 NUA458867:NUC458867 ODW458867:ODY458867 ONS458867:ONU458867 OXO458867:OXQ458867 PHK458867:PHM458867 PRG458867:PRI458867 QBC458867:QBE458867 QKY458867:QLA458867 QUU458867:QUW458867 REQ458867:RES458867 ROM458867:ROO458867 RYI458867:RYK458867 SIE458867:SIG458867 SSA458867:SSC458867 TBW458867:TBY458867 TLS458867:TLU458867 TVO458867:TVQ458867 UFK458867:UFM458867 UPG458867:UPI458867 UZC458867:UZE458867 VIY458867:VJA458867 VSU458867:VSW458867 WCQ458867:WCS458867 WMM458867:WMO458867 WWI458867:WWK458867 AA524403:AC524403 JW524403:JY524403 TS524403:TU524403 ADO524403:ADQ524403 ANK524403:ANM524403 AXG524403:AXI524403 BHC524403:BHE524403 BQY524403:BRA524403 CAU524403:CAW524403 CKQ524403:CKS524403 CUM524403:CUO524403 DEI524403:DEK524403 DOE524403:DOG524403 DYA524403:DYC524403 EHW524403:EHY524403 ERS524403:ERU524403 FBO524403:FBQ524403 FLK524403:FLM524403 FVG524403:FVI524403 GFC524403:GFE524403 GOY524403:GPA524403 GYU524403:GYW524403 HIQ524403:HIS524403 HSM524403:HSO524403 ICI524403:ICK524403 IME524403:IMG524403 IWA524403:IWC524403 JFW524403:JFY524403 JPS524403:JPU524403 JZO524403:JZQ524403 KJK524403:KJM524403 KTG524403:KTI524403 LDC524403:LDE524403 LMY524403:LNA524403 LWU524403:LWW524403 MGQ524403:MGS524403 MQM524403:MQO524403 NAI524403:NAK524403 NKE524403:NKG524403 NUA524403:NUC524403 ODW524403:ODY524403 ONS524403:ONU524403 OXO524403:OXQ524403 PHK524403:PHM524403 PRG524403:PRI524403 QBC524403:QBE524403 QKY524403:QLA524403 QUU524403:QUW524403 REQ524403:RES524403 ROM524403:ROO524403 RYI524403:RYK524403 SIE524403:SIG524403 SSA524403:SSC524403 TBW524403:TBY524403 TLS524403:TLU524403 TVO524403:TVQ524403 UFK524403:UFM524403 UPG524403:UPI524403 UZC524403:UZE524403 VIY524403:VJA524403 VSU524403:VSW524403 WCQ524403:WCS524403 WMM524403:WMO524403 WWI524403:WWK524403 AA589939:AC589939 JW589939:JY589939 TS589939:TU589939 ADO589939:ADQ589939 ANK589939:ANM589939 AXG589939:AXI589939 BHC589939:BHE589939 BQY589939:BRA589939 CAU589939:CAW589939 CKQ589939:CKS589939 CUM589939:CUO589939 DEI589939:DEK589939 DOE589939:DOG589939 DYA589939:DYC589939 EHW589939:EHY589939 ERS589939:ERU589939 FBO589939:FBQ589939 FLK589939:FLM589939 FVG589939:FVI589939 GFC589939:GFE589939 GOY589939:GPA589939 GYU589939:GYW589939 HIQ589939:HIS589939 HSM589939:HSO589939 ICI589939:ICK589939 IME589939:IMG589939 IWA589939:IWC589939 JFW589939:JFY589939 JPS589939:JPU589939 JZO589939:JZQ589939 KJK589939:KJM589939 KTG589939:KTI589939 LDC589939:LDE589939 LMY589939:LNA589939 LWU589939:LWW589939 MGQ589939:MGS589939 MQM589939:MQO589939 NAI589939:NAK589939 NKE589939:NKG589939 NUA589939:NUC589939 ODW589939:ODY589939 ONS589939:ONU589939 OXO589939:OXQ589939 PHK589939:PHM589939 PRG589939:PRI589939 QBC589939:QBE589939 QKY589939:QLA589939 QUU589939:QUW589939 REQ589939:RES589939 ROM589939:ROO589939 RYI589939:RYK589939 SIE589939:SIG589939 SSA589939:SSC589939 TBW589939:TBY589939 TLS589939:TLU589939 TVO589939:TVQ589939 UFK589939:UFM589939 UPG589939:UPI589939 UZC589939:UZE589939 VIY589939:VJA589939 VSU589939:VSW589939 WCQ589939:WCS589939 WMM589939:WMO589939 WWI589939:WWK589939 AA655475:AC655475 JW655475:JY655475 TS655475:TU655475 ADO655475:ADQ655475 ANK655475:ANM655475 AXG655475:AXI655475 BHC655475:BHE655475 BQY655475:BRA655475 CAU655475:CAW655475 CKQ655475:CKS655475 CUM655475:CUO655475 DEI655475:DEK655475 DOE655475:DOG655475 DYA655475:DYC655475 EHW655475:EHY655475 ERS655475:ERU655475 FBO655475:FBQ655475 FLK655475:FLM655475 FVG655475:FVI655475 GFC655475:GFE655475 GOY655475:GPA655475 GYU655475:GYW655475 HIQ655475:HIS655475 HSM655475:HSO655475 ICI655475:ICK655475 IME655475:IMG655475 IWA655475:IWC655475 JFW655475:JFY655475 JPS655475:JPU655475 JZO655475:JZQ655475 KJK655475:KJM655475 KTG655475:KTI655475 LDC655475:LDE655475 LMY655475:LNA655475 LWU655475:LWW655475 MGQ655475:MGS655475 MQM655475:MQO655475 NAI655475:NAK655475 NKE655475:NKG655475 NUA655475:NUC655475 ODW655475:ODY655475 ONS655475:ONU655475 OXO655475:OXQ655475 PHK655475:PHM655475 PRG655475:PRI655475 QBC655475:QBE655475 QKY655475:QLA655475 QUU655475:QUW655475 REQ655475:RES655475 ROM655475:ROO655475 RYI655475:RYK655475 SIE655475:SIG655475 SSA655475:SSC655475 TBW655475:TBY655475 TLS655475:TLU655475 TVO655475:TVQ655475 UFK655475:UFM655475 UPG655475:UPI655475 UZC655475:UZE655475 VIY655475:VJA655475 VSU655475:VSW655475 WCQ655475:WCS655475 WMM655475:WMO655475 WWI655475:WWK655475 AA721011:AC721011 JW721011:JY721011 TS721011:TU721011 ADO721011:ADQ721011 ANK721011:ANM721011 AXG721011:AXI721011 BHC721011:BHE721011 BQY721011:BRA721011 CAU721011:CAW721011 CKQ721011:CKS721011 CUM721011:CUO721011 DEI721011:DEK721011 DOE721011:DOG721011 DYA721011:DYC721011 EHW721011:EHY721011 ERS721011:ERU721011 FBO721011:FBQ721011 FLK721011:FLM721011 FVG721011:FVI721011 GFC721011:GFE721011 GOY721011:GPA721011 GYU721011:GYW721011 HIQ721011:HIS721011 HSM721011:HSO721011 ICI721011:ICK721011 IME721011:IMG721011 IWA721011:IWC721011 JFW721011:JFY721011 JPS721011:JPU721011 JZO721011:JZQ721011 KJK721011:KJM721011 KTG721011:KTI721011 LDC721011:LDE721011 LMY721011:LNA721011 LWU721011:LWW721011 MGQ721011:MGS721011 MQM721011:MQO721011 NAI721011:NAK721011 NKE721011:NKG721011 NUA721011:NUC721011 ODW721011:ODY721011 ONS721011:ONU721011 OXO721011:OXQ721011 PHK721011:PHM721011 PRG721011:PRI721011 QBC721011:QBE721011 QKY721011:QLA721011 QUU721011:QUW721011 REQ721011:RES721011 ROM721011:ROO721011 RYI721011:RYK721011 SIE721011:SIG721011 SSA721011:SSC721011 TBW721011:TBY721011 TLS721011:TLU721011 TVO721011:TVQ721011 UFK721011:UFM721011 UPG721011:UPI721011 UZC721011:UZE721011 VIY721011:VJA721011 VSU721011:VSW721011 WCQ721011:WCS721011 WMM721011:WMO721011 WWI721011:WWK721011 AA786547:AC786547 JW786547:JY786547 TS786547:TU786547 ADO786547:ADQ786547 ANK786547:ANM786547 AXG786547:AXI786547 BHC786547:BHE786547 BQY786547:BRA786547 CAU786547:CAW786547 CKQ786547:CKS786547 CUM786547:CUO786547 DEI786547:DEK786547 DOE786547:DOG786547 DYA786547:DYC786547 EHW786547:EHY786547 ERS786547:ERU786547 FBO786547:FBQ786547 FLK786547:FLM786547 FVG786547:FVI786547 GFC786547:GFE786547 GOY786547:GPA786547 GYU786547:GYW786547 HIQ786547:HIS786547 HSM786547:HSO786547 ICI786547:ICK786547 IME786547:IMG786547 IWA786547:IWC786547 JFW786547:JFY786547 JPS786547:JPU786547 JZO786547:JZQ786547 KJK786547:KJM786547 KTG786547:KTI786547 LDC786547:LDE786547 LMY786547:LNA786547 LWU786547:LWW786547 MGQ786547:MGS786547 MQM786547:MQO786547 NAI786547:NAK786547 NKE786547:NKG786547 NUA786547:NUC786547 ODW786547:ODY786547 ONS786547:ONU786547 OXO786547:OXQ786547 PHK786547:PHM786547 PRG786547:PRI786547 QBC786547:QBE786547 QKY786547:QLA786547 QUU786547:QUW786547 REQ786547:RES786547 ROM786547:ROO786547 RYI786547:RYK786547 SIE786547:SIG786547 SSA786547:SSC786547 TBW786547:TBY786547 TLS786547:TLU786547 TVO786547:TVQ786547 UFK786547:UFM786547 UPG786547:UPI786547 UZC786547:UZE786547 VIY786547:VJA786547 VSU786547:VSW786547 WCQ786547:WCS786547 WMM786547:WMO786547 WWI786547:WWK786547 AA852083:AC852083 JW852083:JY852083 TS852083:TU852083 ADO852083:ADQ852083 ANK852083:ANM852083 AXG852083:AXI852083 BHC852083:BHE852083 BQY852083:BRA852083 CAU852083:CAW852083 CKQ852083:CKS852083 CUM852083:CUO852083 DEI852083:DEK852083 DOE852083:DOG852083 DYA852083:DYC852083 EHW852083:EHY852083 ERS852083:ERU852083 FBO852083:FBQ852083 FLK852083:FLM852083 FVG852083:FVI852083 GFC852083:GFE852083 GOY852083:GPA852083 GYU852083:GYW852083 HIQ852083:HIS852083 HSM852083:HSO852083 ICI852083:ICK852083 IME852083:IMG852083 IWA852083:IWC852083 JFW852083:JFY852083 JPS852083:JPU852083 JZO852083:JZQ852083 KJK852083:KJM852083 KTG852083:KTI852083 LDC852083:LDE852083 LMY852083:LNA852083 LWU852083:LWW852083 MGQ852083:MGS852083 MQM852083:MQO852083 NAI852083:NAK852083 NKE852083:NKG852083 NUA852083:NUC852083 ODW852083:ODY852083 ONS852083:ONU852083 OXO852083:OXQ852083 PHK852083:PHM852083 PRG852083:PRI852083 QBC852083:QBE852083 QKY852083:QLA852083 QUU852083:QUW852083 REQ852083:RES852083 ROM852083:ROO852083 RYI852083:RYK852083 SIE852083:SIG852083 SSA852083:SSC852083 TBW852083:TBY852083 TLS852083:TLU852083 TVO852083:TVQ852083 UFK852083:UFM852083 UPG852083:UPI852083 UZC852083:UZE852083 VIY852083:VJA852083 VSU852083:VSW852083 WCQ852083:WCS852083 WMM852083:WMO852083 WWI852083:WWK852083 AA917619:AC917619 JW917619:JY917619 TS917619:TU917619 ADO917619:ADQ917619 ANK917619:ANM917619 AXG917619:AXI917619 BHC917619:BHE917619 BQY917619:BRA917619 CAU917619:CAW917619 CKQ917619:CKS917619 CUM917619:CUO917619 DEI917619:DEK917619 DOE917619:DOG917619 DYA917619:DYC917619 EHW917619:EHY917619 ERS917619:ERU917619 FBO917619:FBQ917619 FLK917619:FLM917619 FVG917619:FVI917619 GFC917619:GFE917619 GOY917619:GPA917619 GYU917619:GYW917619 HIQ917619:HIS917619 HSM917619:HSO917619 ICI917619:ICK917619 IME917619:IMG917619 IWA917619:IWC917619 JFW917619:JFY917619 JPS917619:JPU917619 JZO917619:JZQ917619 KJK917619:KJM917619 KTG917619:KTI917619 LDC917619:LDE917619 LMY917619:LNA917619 LWU917619:LWW917619 MGQ917619:MGS917619 MQM917619:MQO917619 NAI917619:NAK917619 NKE917619:NKG917619 NUA917619:NUC917619 ODW917619:ODY917619 ONS917619:ONU917619 OXO917619:OXQ917619 PHK917619:PHM917619 PRG917619:PRI917619 QBC917619:QBE917619 QKY917619:QLA917619 QUU917619:QUW917619 REQ917619:RES917619 ROM917619:ROO917619 RYI917619:RYK917619 SIE917619:SIG917619 SSA917619:SSC917619 TBW917619:TBY917619 TLS917619:TLU917619 TVO917619:TVQ917619 UFK917619:UFM917619 UPG917619:UPI917619 UZC917619:UZE917619 VIY917619:VJA917619 VSU917619:VSW917619 WCQ917619:WCS917619 WMM917619:WMO917619 WWI917619:WWK917619 AA983155:AC983155 JW983155:JY983155 TS983155:TU983155 ADO983155:ADQ983155 ANK983155:ANM983155 AXG983155:AXI983155 BHC983155:BHE983155 BQY983155:BRA983155 CAU983155:CAW983155 CKQ983155:CKS983155 CUM983155:CUO983155 DEI983155:DEK983155 DOE983155:DOG983155 DYA983155:DYC983155 EHW983155:EHY983155 ERS983155:ERU983155 FBO983155:FBQ983155 FLK983155:FLM983155 FVG983155:FVI983155 GFC983155:GFE983155 GOY983155:GPA983155 GYU983155:GYW983155 HIQ983155:HIS983155 HSM983155:HSO983155 ICI983155:ICK983155 IME983155:IMG983155 IWA983155:IWC983155 JFW983155:JFY983155 JPS983155:JPU983155 JZO983155:JZQ983155 KJK983155:KJM983155 KTG983155:KTI983155 LDC983155:LDE983155 LMY983155:LNA983155 LWU983155:LWW983155 MGQ983155:MGS983155 MQM983155:MQO983155 NAI983155:NAK983155 NKE983155:NKG983155 NUA983155:NUC983155 ODW983155:ODY983155 ONS983155:ONU983155 OXO983155:OXQ983155 PHK983155:PHM983155 PRG983155:PRI983155 QBC983155:QBE983155 QKY983155:QLA983155 QUU983155:QUW983155 REQ983155:RES983155 ROM983155:ROO983155 RYI983155:RYK983155 SIE983155:SIG983155 SSA983155:SSC983155 TBW983155:TBY983155 TLS983155:TLU983155 TVO983155:TVQ983155 UFK983155:UFM983155 UPG983155:UPI983155 UZC983155:UZE983155 VIY983155:VJA983155 VSU983155:VSW983155 WCQ983155:WCS983155 WMM983155:WMO983155 WWI983155:WWK983155">
      <formula1>$F$94:$F$97</formula1>
    </dataValidation>
    <dataValidation type="list" allowBlank="1" showInputMessage="1" showErrorMessage="1" sqref="JY120 TU120 ADQ120 ANM120 AXI120 BHE120 BRA120 CAW120 CKS120 CUO120 DEK120 DOG120 DYC120 EHY120 ERU120 FBQ120 FLM120 FVI120 GFE120 GPA120 GYW120 HIS120 HSO120 ICK120 IMG120 IWC120 JFY120 JPU120 JZQ120 KJM120 KTI120 LDE120 LNA120 LWW120 MGS120 MQO120 NAK120 NKG120 NUC120 ODY120 ONU120 OXQ120 PHM120 PRI120 QBE120 QLA120 QUW120 RES120 ROO120 RYK120 SIG120 SSC120 TBY120 TLU120 TVQ120 UFM120 UPI120 UZE120 VJA120 VSW120 WCS120 WMO120 WWK120 AC65656 JY65656 TU65656 ADQ65656 ANM65656 AXI65656 BHE65656 BRA65656 CAW65656 CKS65656 CUO65656 DEK65656 DOG65656 DYC65656 EHY65656 ERU65656 FBQ65656 FLM65656 FVI65656 GFE65656 GPA65656 GYW65656 HIS65656 HSO65656 ICK65656 IMG65656 IWC65656 JFY65656 JPU65656 JZQ65656 KJM65656 KTI65656 LDE65656 LNA65656 LWW65656 MGS65656 MQO65656 NAK65656 NKG65656 NUC65656 ODY65656 ONU65656 OXQ65656 PHM65656 PRI65656 QBE65656 QLA65656 QUW65656 RES65656 ROO65656 RYK65656 SIG65656 SSC65656 TBY65656 TLU65656 TVQ65656 UFM65656 UPI65656 UZE65656 VJA65656 VSW65656 WCS65656 WMO65656 WWK65656 AC131192 JY131192 TU131192 ADQ131192 ANM131192 AXI131192 BHE131192 BRA131192 CAW131192 CKS131192 CUO131192 DEK131192 DOG131192 DYC131192 EHY131192 ERU131192 FBQ131192 FLM131192 FVI131192 GFE131192 GPA131192 GYW131192 HIS131192 HSO131192 ICK131192 IMG131192 IWC131192 JFY131192 JPU131192 JZQ131192 KJM131192 KTI131192 LDE131192 LNA131192 LWW131192 MGS131192 MQO131192 NAK131192 NKG131192 NUC131192 ODY131192 ONU131192 OXQ131192 PHM131192 PRI131192 QBE131192 QLA131192 QUW131192 RES131192 ROO131192 RYK131192 SIG131192 SSC131192 TBY131192 TLU131192 TVQ131192 UFM131192 UPI131192 UZE131192 VJA131192 VSW131192 WCS131192 WMO131192 WWK131192 AC196728 JY196728 TU196728 ADQ196728 ANM196728 AXI196728 BHE196728 BRA196728 CAW196728 CKS196728 CUO196728 DEK196728 DOG196728 DYC196728 EHY196728 ERU196728 FBQ196728 FLM196728 FVI196728 GFE196728 GPA196728 GYW196728 HIS196728 HSO196728 ICK196728 IMG196728 IWC196728 JFY196728 JPU196728 JZQ196728 KJM196728 KTI196728 LDE196728 LNA196728 LWW196728 MGS196728 MQO196728 NAK196728 NKG196728 NUC196728 ODY196728 ONU196728 OXQ196728 PHM196728 PRI196728 QBE196728 QLA196728 QUW196728 RES196728 ROO196728 RYK196728 SIG196728 SSC196728 TBY196728 TLU196728 TVQ196728 UFM196728 UPI196728 UZE196728 VJA196728 VSW196728 WCS196728 WMO196728 WWK196728 AC262264 JY262264 TU262264 ADQ262264 ANM262264 AXI262264 BHE262264 BRA262264 CAW262264 CKS262264 CUO262264 DEK262264 DOG262264 DYC262264 EHY262264 ERU262264 FBQ262264 FLM262264 FVI262264 GFE262264 GPA262264 GYW262264 HIS262264 HSO262264 ICK262264 IMG262264 IWC262264 JFY262264 JPU262264 JZQ262264 KJM262264 KTI262264 LDE262264 LNA262264 LWW262264 MGS262264 MQO262264 NAK262264 NKG262264 NUC262264 ODY262264 ONU262264 OXQ262264 PHM262264 PRI262264 QBE262264 QLA262264 QUW262264 RES262264 ROO262264 RYK262264 SIG262264 SSC262264 TBY262264 TLU262264 TVQ262264 UFM262264 UPI262264 UZE262264 VJA262264 VSW262264 WCS262264 WMO262264 WWK262264 AC327800 JY327800 TU327800 ADQ327800 ANM327800 AXI327800 BHE327800 BRA327800 CAW327800 CKS327800 CUO327800 DEK327800 DOG327800 DYC327800 EHY327800 ERU327800 FBQ327800 FLM327800 FVI327800 GFE327800 GPA327800 GYW327800 HIS327800 HSO327800 ICK327800 IMG327800 IWC327800 JFY327800 JPU327800 JZQ327800 KJM327800 KTI327800 LDE327800 LNA327800 LWW327800 MGS327800 MQO327800 NAK327800 NKG327800 NUC327800 ODY327800 ONU327800 OXQ327800 PHM327800 PRI327800 QBE327800 QLA327800 QUW327800 RES327800 ROO327800 RYK327800 SIG327800 SSC327800 TBY327800 TLU327800 TVQ327800 UFM327800 UPI327800 UZE327800 VJA327800 VSW327800 WCS327800 WMO327800 WWK327800 AC393336 JY393336 TU393336 ADQ393336 ANM393336 AXI393336 BHE393336 BRA393336 CAW393336 CKS393336 CUO393336 DEK393336 DOG393336 DYC393336 EHY393336 ERU393336 FBQ393336 FLM393336 FVI393336 GFE393336 GPA393336 GYW393336 HIS393336 HSO393336 ICK393336 IMG393336 IWC393336 JFY393336 JPU393336 JZQ393336 KJM393336 KTI393336 LDE393336 LNA393336 LWW393336 MGS393336 MQO393336 NAK393336 NKG393336 NUC393336 ODY393336 ONU393336 OXQ393336 PHM393336 PRI393336 QBE393336 QLA393336 QUW393336 RES393336 ROO393336 RYK393336 SIG393336 SSC393336 TBY393336 TLU393336 TVQ393336 UFM393336 UPI393336 UZE393336 VJA393336 VSW393336 WCS393336 WMO393336 WWK393336 AC458872 JY458872 TU458872 ADQ458872 ANM458872 AXI458872 BHE458872 BRA458872 CAW458872 CKS458872 CUO458872 DEK458872 DOG458872 DYC458872 EHY458872 ERU458872 FBQ458872 FLM458872 FVI458872 GFE458872 GPA458872 GYW458872 HIS458872 HSO458872 ICK458872 IMG458872 IWC458872 JFY458872 JPU458872 JZQ458872 KJM458872 KTI458872 LDE458872 LNA458872 LWW458872 MGS458872 MQO458872 NAK458872 NKG458872 NUC458872 ODY458872 ONU458872 OXQ458872 PHM458872 PRI458872 QBE458872 QLA458872 QUW458872 RES458872 ROO458872 RYK458872 SIG458872 SSC458872 TBY458872 TLU458872 TVQ458872 UFM458872 UPI458872 UZE458872 VJA458872 VSW458872 WCS458872 WMO458872 WWK458872 AC524408 JY524408 TU524408 ADQ524408 ANM524408 AXI524408 BHE524408 BRA524408 CAW524408 CKS524408 CUO524408 DEK524408 DOG524408 DYC524408 EHY524408 ERU524408 FBQ524408 FLM524408 FVI524408 GFE524408 GPA524408 GYW524408 HIS524408 HSO524408 ICK524408 IMG524408 IWC524408 JFY524408 JPU524408 JZQ524408 KJM524408 KTI524408 LDE524408 LNA524408 LWW524408 MGS524408 MQO524408 NAK524408 NKG524408 NUC524408 ODY524408 ONU524408 OXQ524408 PHM524408 PRI524408 QBE524408 QLA524408 QUW524408 RES524408 ROO524408 RYK524408 SIG524408 SSC524408 TBY524408 TLU524408 TVQ524408 UFM524408 UPI524408 UZE524408 VJA524408 VSW524408 WCS524408 WMO524408 WWK524408 AC589944 JY589944 TU589944 ADQ589944 ANM589944 AXI589944 BHE589944 BRA589944 CAW589944 CKS589944 CUO589944 DEK589944 DOG589944 DYC589944 EHY589944 ERU589944 FBQ589944 FLM589944 FVI589944 GFE589944 GPA589944 GYW589944 HIS589944 HSO589944 ICK589944 IMG589944 IWC589944 JFY589944 JPU589944 JZQ589944 KJM589944 KTI589944 LDE589944 LNA589944 LWW589944 MGS589944 MQO589944 NAK589944 NKG589944 NUC589944 ODY589944 ONU589944 OXQ589944 PHM589944 PRI589944 QBE589944 QLA589944 QUW589944 RES589944 ROO589944 RYK589944 SIG589944 SSC589944 TBY589944 TLU589944 TVQ589944 UFM589944 UPI589944 UZE589944 VJA589944 VSW589944 WCS589944 WMO589944 WWK589944 AC655480 JY655480 TU655480 ADQ655480 ANM655480 AXI655480 BHE655480 BRA655480 CAW655480 CKS655480 CUO655480 DEK655480 DOG655480 DYC655480 EHY655480 ERU655480 FBQ655480 FLM655480 FVI655480 GFE655480 GPA655480 GYW655480 HIS655480 HSO655480 ICK655480 IMG655480 IWC655480 JFY655480 JPU655480 JZQ655480 KJM655480 KTI655480 LDE655480 LNA655480 LWW655480 MGS655480 MQO655480 NAK655480 NKG655480 NUC655480 ODY655480 ONU655480 OXQ655480 PHM655480 PRI655480 QBE655480 QLA655480 QUW655480 RES655480 ROO655480 RYK655480 SIG655480 SSC655480 TBY655480 TLU655480 TVQ655480 UFM655480 UPI655480 UZE655480 VJA655480 VSW655480 WCS655480 WMO655480 WWK655480 AC721016 JY721016 TU721016 ADQ721016 ANM721016 AXI721016 BHE721016 BRA721016 CAW721016 CKS721016 CUO721016 DEK721016 DOG721016 DYC721016 EHY721016 ERU721016 FBQ721016 FLM721016 FVI721016 GFE721016 GPA721016 GYW721016 HIS721016 HSO721016 ICK721016 IMG721016 IWC721016 JFY721016 JPU721016 JZQ721016 KJM721016 KTI721016 LDE721016 LNA721016 LWW721016 MGS721016 MQO721016 NAK721016 NKG721016 NUC721016 ODY721016 ONU721016 OXQ721016 PHM721016 PRI721016 QBE721016 QLA721016 QUW721016 RES721016 ROO721016 RYK721016 SIG721016 SSC721016 TBY721016 TLU721016 TVQ721016 UFM721016 UPI721016 UZE721016 VJA721016 VSW721016 WCS721016 WMO721016 WWK721016 AC786552 JY786552 TU786552 ADQ786552 ANM786552 AXI786552 BHE786552 BRA786552 CAW786552 CKS786552 CUO786552 DEK786552 DOG786552 DYC786552 EHY786552 ERU786552 FBQ786552 FLM786552 FVI786552 GFE786552 GPA786552 GYW786552 HIS786552 HSO786552 ICK786552 IMG786552 IWC786552 JFY786552 JPU786552 JZQ786552 KJM786552 KTI786552 LDE786552 LNA786552 LWW786552 MGS786552 MQO786552 NAK786552 NKG786552 NUC786552 ODY786552 ONU786552 OXQ786552 PHM786552 PRI786552 QBE786552 QLA786552 QUW786552 RES786552 ROO786552 RYK786552 SIG786552 SSC786552 TBY786552 TLU786552 TVQ786552 UFM786552 UPI786552 UZE786552 VJA786552 VSW786552 WCS786552 WMO786552 WWK786552 AC852088 JY852088 TU852088 ADQ852088 ANM852088 AXI852088 BHE852088 BRA852088 CAW852088 CKS852088 CUO852088 DEK852088 DOG852088 DYC852088 EHY852088 ERU852088 FBQ852088 FLM852088 FVI852088 GFE852088 GPA852088 GYW852088 HIS852088 HSO852088 ICK852088 IMG852088 IWC852088 JFY852088 JPU852088 JZQ852088 KJM852088 KTI852088 LDE852088 LNA852088 LWW852088 MGS852088 MQO852088 NAK852088 NKG852088 NUC852088 ODY852088 ONU852088 OXQ852088 PHM852088 PRI852088 QBE852088 QLA852088 QUW852088 RES852088 ROO852088 RYK852088 SIG852088 SSC852088 TBY852088 TLU852088 TVQ852088 UFM852088 UPI852088 UZE852088 VJA852088 VSW852088 WCS852088 WMO852088 WWK852088 AC917624 JY917624 TU917624 ADQ917624 ANM917624 AXI917624 BHE917624 BRA917624 CAW917624 CKS917624 CUO917624 DEK917624 DOG917624 DYC917624 EHY917624 ERU917624 FBQ917624 FLM917624 FVI917624 GFE917624 GPA917624 GYW917624 HIS917624 HSO917624 ICK917624 IMG917624 IWC917624 JFY917624 JPU917624 JZQ917624 KJM917624 KTI917624 LDE917624 LNA917624 LWW917624 MGS917624 MQO917624 NAK917624 NKG917624 NUC917624 ODY917624 ONU917624 OXQ917624 PHM917624 PRI917624 QBE917624 QLA917624 QUW917624 RES917624 ROO917624 RYK917624 SIG917624 SSC917624 TBY917624 TLU917624 TVQ917624 UFM917624 UPI917624 UZE917624 VJA917624 VSW917624 WCS917624 WMO917624 WWK917624 AC983160 JY983160 TU983160 ADQ983160 ANM983160 AXI983160 BHE983160 BRA983160 CAW983160 CKS983160 CUO983160 DEK983160 DOG983160 DYC983160 EHY983160 ERU983160 FBQ983160 FLM983160 FVI983160 GFE983160 GPA983160 GYW983160 HIS983160 HSO983160 ICK983160 IMG983160 IWC983160 JFY983160 JPU983160 JZQ983160 KJM983160 KTI983160 LDE983160 LNA983160 LWW983160 MGS983160 MQO983160 NAK983160 NKG983160 NUC983160 ODY983160 ONU983160 OXQ983160 PHM983160 PRI983160 QBE983160 QLA983160 QUW983160 RES983160 ROO983160 RYK983160 SIG983160 SSC983160 TBY983160 TLU983160 TVQ983160 UFM983160 UPI983160 UZE983160 VJA983160 VSW983160 WCS983160 WMO983160 WWK983160">
      <formula1>$Z$2:$Z$20</formula1>
    </dataValidation>
    <dataValidation type="list" allowBlank="1" showInputMessage="1" showErrorMessage="1" sqref="JP121 TL121 ADH121 AND121 AWZ121 BGV121 BQR121 CAN121 CKJ121 CUF121 DEB121 DNX121 DXT121 EHP121 ERL121 FBH121 FLD121 FUZ121 GEV121 GOR121 GYN121 HIJ121 HSF121 ICB121 ILX121 IVT121 JFP121 JPL121 JZH121 KJD121 KSZ121 LCV121 LMR121 LWN121 MGJ121 MQF121 NAB121 NJX121 NTT121 ODP121 ONL121 OXH121 PHD121 PQZ121 QAV121 QKR121 QUN121 REJ121 ROF121 RYB121 SHX121 SRT121 TBP121 TLL121 TVH121 UFD121 UOZ121 UYV121 VIR121 VSN121 WCJ121 WMF121 WWB121 T65657 JP65657 TL65657 ADH65657 AND65657 AWZ65657 BGV65657 BQR65657 CAN65657 CKJ65657 CUF65657 DEB65657 DNX65657 DXT65657 EHP65657 ERL65657 FBH65657 FLD65657 FUZ65657 GEV65657 GOR65657 GYN65657 HIJ65657 HSF65657 ICB65657 ILX65657 IVT65657 JFP65657 JPL65657 JZH65657 KJD65657 KSZ65657 LCV65657 LMR65657 LWN65657 MGJ65657 MQF65657 NAB65657 NJX65657 NTT65657 ODP65657 ONL65657 OXH65657 PHD65657 PQZ65657 QAV65657 QKR65657 QUN65657 REJ65657 ROF65657 RYB65657 SHX65657 SRT65657 TBP65657 TLL65657 TVH65657 UFD65657 UOZ65657 UYV65657 VIR65657 VSN65657 WCJ65657 WMF65657 WWB65657 T131193 JP131193 TL131193 ADH131193 AND131193 AWZ131193 BGV131193 BQR131193 CAN131193 CKJ131193 CUF131193 DEB131193 DNX131193 DXT131193 EHP131193 ERL131193 FBH131193 FLD131193 FUZ131193 GEV131193 GOR131193 GYN131193 HIJ131193 HSF131193 ICB131193 ILX131193 IVT131193 JFP131193 JPL131193 JZH131193 KJD131193 KSZ131193 LCV131193 LMR131193 LWN131193 MGJ131193 MQF131193 NAB131193 NJX131193 NTT131193 ODP131193 ONL131193 OXH131193 PHD131193 PQZ131193 QAV131193 QKR131193 QUN131193 REJ131193 ROF131193 RYB131193 SHX131193 SRT131193 TBP131193 TLL131193 TVH131193 UFD131193 UOZ131193 UYV131193 VIR131193 VSN131193 WCJ131193 WMF131193 WWB131193 T196729 JP196729 TL196729 ADH196729 AND196729 AWZ196729 BGV196729 BQR196729 CAN196729 CKJ196729 CUF196729 DEB196729 DNX196729 DXT196729 EHP196729 ERL196729 FBH196729 FLD196729 FUZ196729 GEV196729 GOR196729 GYN196729 HIJ196729 HSF196729 ICB196729 ILX196729 IVT196729 JFP196729 JPL196729 JZH196729 KJD196729 KSZ196729 LCV196729 LMR196729 LWN196729 MGJ196729 MQF196729 NAB196729 NJX196729 NTT196729 ODP196729 ONL196729 OXH196729 PHD196729 PQZ196729 QAV196729 QKR196729 QUN196729 REJ196729 ROF196729 RYB196729 SHX196729 SRT196729 TBP196729 TLL196729 TVH196729 UFD196729 UOZ196729 UYV196729 VIR196729 VSN196729 WCJ196729 WMF196729 WWB196729 T262265 JP262265 TL262265 ADH262265 AND262265 AWZ262265 BGV262265 BQR262265 CAN262265 CKJ262265 CUF262265 DEB262265 DNX262265 DXT262265 EHP262265 ERL262265 FBH262265 FLD262265 FUZ262265 GEV262265 GOR262265 GYN262265 HIJ262265 HSF262265 ICB262265 ILX262265 IVT262265 JFP262265 JPL262265 JZH262265 KJD262265 KSZ262265 LCV262265 LMR262265 LWN262265 MGJ262265 MQF262265 NAB262265 NJX262265 NTT262265 ODP262265 ONL262265 OXH262265 PHD262265 PQZ262265 QAV262265 QKR262265 QUN262265 REJ262265 ROF262265 RYB262265 SHX262265 SRT262265 TBP262265 TLL262265 TVH262265 UFD262265 UOZ262265 UYV262265 VIR262265 VSN262265 WCJ262265 WMF262265 WWB262265 T327801 JP327801 TL327801 ADH327801 AND327801 AWZ327801 BGV327801 BQR327801 CAN327801 CKJ327801 CUF327801 DEB327801 DNX327801 DXT327801 EHP327801 ERL327801 FBH327801 FLD327801 FUZ327801 GEV327801 GOR327801 GYN327801 HIJ327801 HSF327801 ICB327801 ILX327801 IVT327801 JFP327801 JPL327801 JZH327801 KJD327801 KSZ327801 LCV327801 LMR327801 LWN327801 MGJ327801 MQF327801 NAB327801 NJX327801 NTT327801 ODP327801 ONL327801 OXH327801 PHD327801 PQZ327801 QAV327801 QKR327801 QUN327801 REJ327801 ROF327801 RYB327801 SHX327801 SRT327801 TBP327801 TLL327801 TVH327801 UFD327801 UOZ327801 UYV327801 VIR327801 VSN327801 WCJ327801 WMF327801 WWB327801 T393337 JP393337 TL393337 ADH393337 AND393337 AWZ393337 BGV393337 BQR393337 CAN393337 CKJ393337 CUF393337 DEB393337 DNX393337 DXT393337 EHP393337 ERL393337 FBH393337 FLD393337 FUZ393337 GEV393337 GOR393337 GYN393337 HIJ393337 HSF393337 ICB393337 ILX393337 IVT393337 JFP393337 JPL393337 JZH393337 KJD393337 KSZ393337 LCV393337 LMR393337 LWN393337 MGJ393337 MQF393337 NAB393337 NJX393337 NTT393337 ODP393337 ONL393337 OXH393337 PHD393337 PQZ393337 QAV393337 QKR393337 QUN393337 REJ393337 ROF393337 RYB393337 SHX393337 SRT393337 TBP393337 TLL393337 TVH393337 UFD393337 UOZ393337 UYV393337 VIR393337 VSN393337 WCJ393337 WMF393337 WWB393337 T458873 JP458873 TL458873 ADH458873 AND458873 AWZ458873 BGV458873 BQR458873 CAN458873 CKJ458873 CUF458873 DEB458873 DNX458873 DXT458873 EHP458873 ERL458873 FBH458873 FLD458873 FUZ458873 GEV458873 GOR458873 GYN458873 HIJ458873 HSF458873 ICB458873 ILX458873 IVT458873 JFP458873 JPL458873 JZH458873 KJD458873 KSZ458873 LCV458873 LMR458873 LWN458873 MGJ458873 MQF458873 NAB458873 NJX458873 NTT458873 ODP458873 ONL458873 OXH458873 PHD458873 PQZ458873 QAV458873 QKR458873 QUN458873 REJ458873 ROF458873 RYB458873 SHX458873 SRT458873 TBP458873 TLL458873 TVH458873 UFD458873 UOZ458873 UYV458873 VIR458873 VSN458873 WCJ458873 WMF458873 WWB458873 T524409 JP524409 TL524409 ADH524409 AND524409 AWZ524409 BGV524409 BQR524409 CAN524409 CKJ524409 CUF524409 DEB524409 DNX524409 DXT524409 EHP524409 ERL524409 FBH524409 FLD524409 FUZ524409 GEV524409 GOR524409 GYN524409 HIJ524409 HSF524409 ICB524409 ILX524409 IVT524409 JFP524409 JPL524409 JZH524409 KJD524409 KSZ524409 LCV524409 LMR524409 LWN524409 MGJ524409 MQF524409 NAB524409 NJX524409 NTT524409 ODP524409 ONL524409 OXH524409 PHD524409 PQZ524409 QAV524409 QKR524409 QUN524409 REJ524409 ROF524409 RYB524409 SHX524409 SRT524409 TBP524409 TLL524409 TVH524409 UFD524409 UOZ524409 UYV524409 VIR524409 VSN524409 WCJ524409 WMF524409 WWB524409 T589945 JP589945 TL589945 ADH589945 AND589945 AWZ589945 BGV589945 BQR589945 CAN589945 CKJ589945 CUF589945 DEB589945 DNX589945 DXT589945 EHP589945 ERL589945 FBH589945 FLD589945 FUZ589945 GEV589945 GOR589945 GYN589945 HIJ589945 HSF589945 ICB589945 ILX589945 IVT589945 JFP589945 JPL589945 JZH589945 KJD589945 KSZ589945 LCV589945 LMR589945 LWN589945 MGJ589945 MQF589945 NAB589945 NJX589945 NTT589945 ODP589945 ONL589945 OXH589945 PHD589945 PQZ589945 QAV589945 QKR589945 QUN589945 REJ589945 ROF589945 RYB589945 SHX589945 SRT589945 TBP589945 TLL589945 TVH589945 UFD589945 UOZ589945 UYV589945 VIR589945 VSN589945 WCJ589945 WMF589945 WWB589945 T655481 JP655481 TL655481 ADH655481 AND655481 AWZ655481 BGV655481 BQR655481 CAN655481 CKJ655481 CUF655481 DEB655481 DNX655481 DXT655481 EHP655481 ERL655481 FBH655481 FLD655481 FUZ655481 GEV655481 GOR655481 GYN655481 HIJ655481 HSF655481 ICB655481 ILX655481 IVT655481 JFP655481 JPL655481 JZH655481 KJD655481 KSZ655481 LCV655481 LMR655481 LWN655481 MGJ655481 MQF655481 NAB655481 NJX655481 NTT655481 ODP655481 ONL655481 OXH655481 PHD655481 PQZ655481 QAV655481 QKR655481 QUN655481 REJ655481 ROF655481 RYB655481 SHX655481 SRT655481 TBP655481 TLL655481 TVH655481 UFD655481 UOZ655481 UYV655481 VIR655481 VSN655481 WCJ655481 WMF655481 WWB655481 T721017 JP721017 TL721017 ADH721017 AND721017 AWZ721017 BGV721017 BQR721017 CAN721017 CKJ721017 CUF721017 DEB721017 DNX721017 DXT721017 EHP721017 ERL721017 FBH721017 FLD721017 FUZ721017 GEV721017 GOR721017 GYN721017 HIJ721017 HSF721017 ICB721017 ILX721017 IVT721017 JFP721017 JPL721017 JZH721017 KJD721017 KSZ721017 LCV721017 LMR721017 LWN721017 MGJ721017 MQF721017 NAB721017 NJX721017 NTT721017 ODP721017 ONL721017 OXH721017 PHD721017 PQZ721017 QAV721017 QKR721017 QUN721017 REJ721017 ROF721017 RYB721017 SHX721017 SRT721017 TBP721017 TLL721017 TVH721017 UFD721017 UOZ721017 UYV721017 VIR721017 VSN721017 WCJ721017 WMF721017 WWB721017 T786553 JP786553 TL786553 ADH786553 AND786553 AWZ786553 BGV786553 BQR786553 CAN786553 CKJ786553 CUF786553 DEB786553 DNX786553 DXT786553 EHP786553 ERL786553 FBH786553 FLD786553 FUZ786553 GEV786553 GOR786553 GYN786553 HIJ786553 HSF786553 ICB786553 ILX786553 IVT786553 JFP786553 JPL786553 JZH786553 KJD786553 KSZ786553 LCV786553 LMR786553 LWN786553 MGJ786553 MQF786553 NAB786553 NJX786553 NTT786553 ODP786553 ONL786553 OXH786553 PHD786553 PQZ786553 QAV786553 QKR786553 QUN786553 REJ786553 ROF786553 RYB786553 SHX786553 SRT786553 TBP786553 TLL786553 TVH786553 UFD786553 UOZ786553 UYV786553 VIR786553 VSN786553 WCJ786553 WMF786553 WWB786553 T852089 JP852089 TL852089 ADH852089 AND852089 AWZ852089 BGV852089 BQR852089 CAN852089 CKJ852089 CUF852089 DEB852089 DNX852089 DXT852089 EHP852089 ERL852089 FBH852089 FLD852089 FUZ852089 GEV852089 GOR852089 GYN852089 HIJ852089 HSF852089 ICB852089 ILX852089 IVT852089 JFP852089 JPL852089 JZH852089 KJD852089 KSZ852089 LCV852089 LMR852089 LWN852089 MGJ852089 MQF852089 NAB852089 NJX852089 NTT852089 ODP852089 ONL852089 OXH852089 PHD852089 PQZ852089 QAV852089 QKR852089 QUN852089 REJ852089 ROF852089 RYB852089 SHX852089 SRT852089 TBP852089 TLL852089 TVH852089 UFD852089 UOZ852089 UYV852089 VIR852089 VSN852089 WCJ852089 WMF852089 WWB852089 T917625 JP917625 TL917625 ADH917625 AND917625 AWZ917625 BGV917625 BQR917625 CAN917625 CKJ917625 CUF917625 DEB917625 DNX917625 DXT917625 EHP917625 ERL917625 FBH917625 FLD917625 FUZ917625 GEV917625 GOR917625 GYN917625 HIJ917625 HSF917625 ICB917625 ILX917625 IVT917625 JFP917625 JPL917625 JZH917625 KJD917625 KSZ917625 LCV917625 LMR917625 LWN917625 MGJ917625 MQF917625 NAB917625 NJX917625 NTT917625 ODP917625 ONL917625 OXH917625 PHD917625 PQZ917625 QAV917625 QKR917625 QUN917625 REJ917625 ROF917625 RYB917625 SHX917625 SRT917625 TBP917625 TLL917625 TVH917625 UFD917625 UOZ917625 UYV917625 VIR917625 VSN917625 WCJ917625 WMF917625 WWB917625 T983161 JP983161 TL983161 ADH983161 AND983161 AWZ983161 BGV983161 BQR983161 CAN983161 CKJ983161 CUF983161 DEB983161 DNX983161 DXT983161 EHP983161 ERL983161 FBH983161 FLD983161 FUZ983161 GEV983161 GOR983161 GYN983161 HIJ983161 HSF983161 ICB983161 ILX983161 IVT983161 JFP983161 JPL983161 JZH983161 KJD983161 KSZ983161 LCV983161 LMR983161 LWN983161 MGJ983161 MQF983161 NAB983161 NJX983161 NTT983161 ODP983161 ONL983161 OXH983161 PHD983161 PQZ983161 QAV983161 QKR983161 QUN983161 REJ983161 ROF983161 RYB983161 SHX983161 SRT983161 TBP983161 TLL983161 TVH983161 UFD983161 UOZ983161 UYV983161 VIR983161 VSN983161 WCJ983161 WMF983161 WWB983161">
      <formula1>OFFSET($S$38:$S$39,,,2)</formula1>
    </dataValidation>
    <dataValidation type="list" allowBlank="1" showInputMessage="1" showErrorMessage="1" sqref="P122:P139 P65658:P65675 P131194:P131211 P196730:P196747 P262266:P262283 P327802:P327819 P393338:P393355 P458874:P458891 P524410:P524427 P589946:P589963 P655482:P655499 P721018:P721035 P786554:P786571 P852090:P852107 P917626:P917643 P983162:P983179 JL122:JL139 JL65658:JL65675 JL131194:JL131211 JL196730:JL196747 JL262266:JL262283 JL327802:JL327819 JL393338:JL393355 JL458874:JL458891 JL524410:JL524427 JL589946:JL589963 JL655482:JL655499 JL721018:JL721035 JL786554:JL786571 JL852090:JL852107 JL917626:JL917643 JL983162:JL983179 TH122:TH139 TH65658:TH65675 TH131194:TH131211 TH196730:TH196747 TH262266:TH262283 TH327802:TH327819 TH393338:TH393355 TH458874:TH458891 TH524410:TH524427 TH589946:TH589963 TH655482:TH655499 TH721018:TH721035 TH786554:TH786571 TH852090:TH852107 TH917626:TH917643 TH983162:TH983179 ADD122:ADD139 ADD65658:ADD65675 ADD131194:ADD131211 ADD196730:ADD196747 ADD262266:ADD262283 ADD327802:ADD327819 ADD393338:ADD393355 ADD458874:ADD458891 ADD524410:ADD524427 ADD589946:ADD589963 ADD655482:ADD655499 ADD721018:ADD721035 ADD786554:ADD786571 ADD852090:ADD852107 ADD917626:ADD917643 ADD983162:ADD983179 AMZ122:AMZ139 AMZ65658:AMZ65675 AMZ131194:AMZ131211 AMZ196730:AMZ196747 AMZ262266:AMZ262283 AMZ327802:AMZ327819 AMZ393338:AMZ393355 AMZ458874:AMZ458891 AMZ524410:AMZ524427 AMZ589946:AMZ589963 AMZ655482:AMZ655499 AMZ721018:AMZ721035 AMZ786554:AMZ786571 AMZ852090:AMZ852107 AMZ917626:AMZ917643 AMZ983162:AMZ983179 AWV122:AWV139 AWV65658:AWV65675 AWV131194:AWV131211 AWV196730:AWV196747 AWV262266:AWV262283 AWV327802:AWV327819 AWV393338:AWV393355 AWV458874:AWV458891 AWV524410:AWV524427 AWV589946:AWV589963 AWV655482:AWV655499 AWV721018:AWV721035 AWV786554:AWV786571 AWV852090:AWV852107 AWV917626:AWV917643 AWV983162:AWV983179 BGR122:BGR139 BGR65658:BGR65675 BGR131194:BGR131211 BGR196730:BGR196747 BGR262266:BGR262283 BGR327802:BGR327819 BGR393338:BGR393355 BGR458874:BGR458891 BGR524410:BGR524427 BGR589946:BGR589963 BGR655482:BGR655499 BGR721018:BGR721035 BGR786554:BGR786571 BGR852090:BGR852107 BGR917626:BGR917643 BGR983162:BGR983179 BQN122:BQN139 BQN65658:BQN65675 BQN131194:BQN131211 BQN196730:BQN196747 BQN262266:BQN262283 BQN327802:BQN327819 BQN393338:BQN393355 BQN458874:BQN458891 BQN524410:BQN524427 BQN589946:BQN589963 BQN655482:BQN655499 BQN721018:BQN721035 BQN786554:BQN786571 BQN852090:BQN852107 BQN917626:BQN917643 BQN983162:BQN983179 CAJ122:CAJ139 CAJ65658:CAJ65675 CAJ131194:CAJ131211 CAJ196730:CAJ196747 CAJ262266:CAJ262283 CAJ327802:CAJ327819 CAJ393338:CAJ393355 CAJ458874:CAJ458891 CAJ524410:CAJ524427 CAJ589946:CAJ589963 CAJ655482:CAJ655499 CAJ721018:CAJ721035 CAJ786554:CAJ786571 CAJ852090:CAJ852107 CAJ917626:CAJ917643 CAJ983162:CAJ983179 CKF122:CKF139 CKF65658:CKF65675 CKF131194:CKF131211 CKF196730:CKF196747 CKF262266:CKF262283 CKF327802:CKF327819 CKF393338:CKF393355 CKF458874:CKF458891 CKF524410:CKF524427 CKF589946:CKF589963 CKF655482:CKF655499 CKF721018:CKF721035 CKF786554:CKF786571 CKF852090:CKF852107 CKF917626:CKF917643 CKF983162:CKF983179 CUB122:CUB139 CUB65658:CUB65675 CUB131194:CUB131211 CUB196730:CUB196747 CUB262266:CUB262283 CUB327802:CUB327819 CUB393338:CUB393355 CUB458874:CUB458891 CUB524410:CUB524427 CUB589946:CUB589963 CUB655482:CUB655499 CUB721018:CUB721035 CUB786554:CUB786571 CUB852090:CUB852107 CUB917626:CUB917643 CUB983162:CUB983179 DDX122:DDX139 DDX65658:DDX65675 DDX131194:DDX131211 DDX196730:DDX196747 DDX262266:DDX262283 DDX327802:DDX327819 DDX393338:DDX393355 DDX458874:DDX458891 DDX524410:DDX524427 DDX589946:DDX589963 DDX655482:DDX655499 DDX721018:DDX721035 DDX786554:DDX786571 DDX852090:DDX852107 DDX917626:DDX917643 DDX983162:DDX983179 DNT122:DNT139 DNT65658:DNT65675 DNT131194:DNT131211 DNT196730:DNT196747 DNT262266:DNT262283 DNT327802:DNT327819 DNT393338:DNT393355 DNT458874:DNT458891 DNT524410:DNT524427 DNT589946:DNT589963 DNT655482:DNT655499 DNT721018:DNT721035 DNT786554:DNT786571 DNT852090:DNT852107 DNT917626:DNT917643 DNT983162:DNT983179 DXP122:DXP139 DXP65658:DXP65675 DXP131194:DXP131211 DXP196730:DXP196747 DXP262266:DXP262283 DXP327802:DXP327819 DXP393338:DXP393355 DXP458874:DXP458891 DXP524410:DXP524427 DXP589946:DXP589963 DXP655482:DXP655499 DXP721018:DXP721035 DXP786554:DXP786571 DXP852090:DXP852107 DXP917626:DXP917643 DXP983162:DXP983179 EHL122:EHL139 EHL65658:EHL65675 EHL131194:EHL131211 EHL196730:EHL196747 EHL262266:EHL262283 EHL327802:EHL327819 EHL393338:EHL393355 EHL458874:EHL458891 EHL524410:EHL524427 EHL589946:EHL589963 EHL655482:EHL655499 EHL721018:EHL721035 EHL786554:EHL786571 EHL852090:EHL852107 EHL917626:EHL917643 EHL983162:EHL983179 ERH122:ERH139 ERH65658:ERH65675 ERH131194:ERH131211 ERH196730:ERH196747 ERH262266:ERH262283 ERH327802:ERH327819 ERH393338:ERH393355 ERH458874:ERH458891 ERH524410:ERH524427 ERH589946:ERH589963 ERH655482:ERH655499 ERH721018:ERH721035 ERH786554:ERH786571 ERH852090:ERH852107 ERH917626:ERH917643 ERH983162:ERH983179 FBD122:FBD139 FBD65658:FBD65675 FBD131194:FBD131211 FBD196730:FBD196747 FBD262266:FBD262283 FBD327802:FBD327819 FBD393338:FBD393355 FBD458874:FBD458891 FBD524410:FBD524427 FBD589946:FBD589963 FBD655482:FBD655499 FBD721018:FBD721035 FBD786554:FBD786571 FBD852090:FBD852107 FBD917626:FBD917643 FBD983162:FBD983179 FKZ122:FKZ139 FKZ65658:FKZ65675 FKZ131194:FKZ131211 FKZ196730:FKZ196747 FKZ262266:FKZ262283 FKZ327802:FKZ327819 FKZ393338:FKZ393355 FKZ458874:FKZ458891 FKZ524410:FKZ524427 FKZ589946:FKZ589963 FKZ655482:FKZ655499 FKZ721018:FKZ721035 FKZ786554:FKZ786571 FKZ852090:FKZ852107 FKZ917626:FKZ917643 FKZ983162:FKZ983179 FUV122:FUV139 FUV65658:FUV65675 FUV131194:FUV131211 FUV196730:FUV196747 FUV262266:FUV262283 FUV327802:FUV327819 FUV393338:FUV393355 FUV458874:FUV458891 FUV524410:FUV524427 FUV589946:FUV589963 FUV655482:FUV655499 FUV721018:FUV721035 FUV786554:FUV786571 FUV852090:FUV852107 FUV917626:FUV917643 FUV983162:FUV983179 GER122:GER139 GER65658:GER65675 GER131194:GER131211 GER196730:GER196747 GER262266:GER262283 GER327802:GER327819 GER393338:GER393355 GER458874:GER458891 GER524410:GER524427 GER589946:GER589963 GER655482:GER655499 GER721018:GER721035 GER786554:GER786571 GER852090:GER852107 GER917626:GER917643 GER983162:GER983179 GON122:GON139 GON65658:GON65675 GON131194:GON131211 GON196730:GON196747 GON262266:GON262283 GON327802:GON327819 GON393338:GON393355 GON458874:GON458891 GON524410:GON524427 GON589946:GON589963 GON655482:GON655499 GON721018:GON721035 GON786554:GON786571 GON852090:GON852107 GON917626:GON917643 GON983162:GON983179 GYJ122:GYJ139 GYJ65658:GYJ65675 GYJ131194:GYJ131211 GYJ196730:GYJ196747 GYJ262266:GYJ262283 GYJ327802:GYJ327819 GYJ393338:GYJ393355 GYJ458874:GYJ458891 GYJ524410:GYJ524427 GYJ589946:GYJ589963 GYJ655482:GYJ655499 GYJ721018:GYJ721035 GYJ786554:GYJ786571 GYJ852090:GYJ852107 GYJ917626:GYJ917643 GYJ983162:GYJ983179 HIF122:HIF139 HIF65658:HIF65675 HIF131194:HIF131211 HIF196730:HIF196747 HIF262266:HIF262283 HIF327802:HIF327819 HIF393338:HIF393355 HIF458874:HIF458891 HIF524410:HIF524427 HIF589946:HIF589963 HIF655482:HIF655499 HIF721018:HIF721035 HIF786554:HIF786571 HIF852090:HIF852107 HIF917626:HIF917643 HIF983162:HIF983179 HSB122:HSB139 HSB65658:HSB65675 HSB131194:HSB131211 HSB196730:HSB196747 HSB262266:HSB262283 HSB327802:HSB327819 HSB393338:HSB393355 HSB458874:HSB458891 HSB524410:HSB524427 HSB589946:HSB589963 HSB655482:HSB655499 HSB721018:HSB721035 HSB786554:HSB786571 HSB852090:HSB852107 HSB917626:HSB917643 HSB983162:HSB983179 IBX122:IBX139 IBX65658:IBX65675 IBX131194:IBX131211 IBX196730:IBX196747 IBX262266:IBX262283 IBX327802:IBX327819 IBX393338:IBX393355 IBX458874:IBX458891 IBX524410:IBX524427 IBX589946:IBX589963 IBX655482:IBX655499 IBX721018:IBX721035 IBX786554:IBX786571 IBX852090:IBX852107 IBX917626:IBX917643 IBX983162:IBX983179 ILT122:ILT139 ILT65658:ILT65675 ILT131194:ILT131211 ILT196730:ILT196747 ILT262266:ILT262283 ILT327802:ILT327819 ILT393338:ILT393355 ILT458874:ILT458891 ILT524410:ILT524427 ILT589946:ILT589963 ILT655482:ILT655499 ILT721018:ILT721035 ILT786554:ILT786571 ILT852090:ILT852107 ILT917626:ILT917643 ILT983162:ILT983179 IVP122:IVP139 IVP65658:IVP65675 IVP131194:IVP131211 IVP196730:IVP196747 IVP262266:IVP262283 IVP327802:IVP327819 IVP393338:IVP393355 IVP458874:IVP458891 IVP524410:IVP524427 IVP589946:IVP589963 IVP655482:IVP655499 IVP721018:IVP721035 IVP786554:IVP786571 IVP852090:IVP852107 IVP917626:IVP917643 IVP983162:IVP983179 JFL122:JFL139 JFL65658:JFL65675 JFL131194:JFL131211 JFL196730:JFL196747 JFL262266:JFL262283 JFL327802:JFL327819 JFL393338:JFL393355 JFL458874:JFL458891 JFL524410:JFL524427 JFL589946:JFL589963 JFL655482:JFL655499 JFL721018:JFL721035 JFL786554:JFL786571 JFL852090:JFL852107 JFL917626:JFL917643 JFL983162:JFL983179 JPH122:JPH139 JPH65658:JPH65675 JPH131194:JPH131211 JPH196730:JPH196747 JPH262266:JPH262283 JPH327802:JPH327819 JPH393338:JPH393355 JPH458874:JPH458891 JPH524410:JPH524427 JPH589946:JPH589963 JPH655482:JPH655499 JPH721018:JPH721035 JPH786554:JPH786571 JPH852090:JPH852107 JPH917626:JPH917643 JPH983162:JPH983179 JZD122:JZD139 JZD65658:JZD65675 JZD131194:JZD131211 JZD196730:JZD196747 JZD262266:JZD262283 JZD327802:JZD327819 JZD393338:JZD393355 JZD458874:JZD458891 JZD524410:JZD524427 JZD589946:JZD589963 JZD655482:JZD655499 JZD721018:JZD721035 JZD786554:JZD786571 JZD852090:JZD852107 JZD917626:JZD917643 JZD983162:JZD983179 KIZ122:KIZ139 KIZ65658:KIZ65675 KIZ131194:KIZ131211 KIZ196730:KIZ196747 KIZ262266:KIZ262283 KIZ327802:KIZ327819 KIZ393338:KIZ393355 KIZ458874:KIZ458891 KIZ524410:KIZ524427 KIZ589946:KIZ589963 KIZ655482:KIZ655499 KIZ721018:KIZ721035 KIZ786554:KIZ786571 KIZ852090:KIZ852107 KIZ917626:KIZ917643 KIZ983162:KIZ983179 KSV122:KSV139 KSV65658:KSV65675 KSV131194:KSV131211 KSV196730:KSV196747 KSV262266:KSV262283 KSV327802:KSV327819 KSV393338:KSV393355 KSV458874:KSV458891 KSV524410:KSV524427 KSV589946:KSV589963 KSV655482:KSV655499 KSV721018:KSV721035 KSV786554:KSV786571 KSV852090:KSV852107 KSV917626:KSV917643 KSV983162:KSV983179 LCR122:LCR139 LCR65658:LCR65675 LCR131194:LCR131211 LCR196730:LCR196747 LCR262266:LCR262283 LCR327802:LCR327819 LCR393338:LCR393355 LCR458874:LCR458891 LCR524410:LCR524427 LCR589946:LCR589963 LCR655482:LCR655499 LCR721018:LCR721035 LCR786554:LCR786571 LCR852090:LCR852107 LCR917626:LCR917643 LCR983162:LCR983179 LMN122:LMN139 LMN65658:LMN65675 LMN131194:LMN131211 LMN196730:LMN196747 LMN262266:LMN262283 LMN327802:LMN327819 LMN393338:LMN393355 LMN458874:LMN458891 LMN524410:LMN524427 LMN589946:LMN589963 LMN655482:LMN655499 LMN721018:LMN721035 LMN786554:LMN786571 LMN852090:LMN852107 LMN917626:LMN917643 LMN983162:LMN983179 LWJ122:LWJ139 LWJ65658:LWJ65675 LWJ131194:LWJ131211 LWJ196730:LWJ196747 LWJ262266:LWJ262283 LWJ327802:LWJ327819 LWJ393338:LWJ393355 LWJ458874:LWJ458891 LWJ524410:LWJ524427 LWJ589946:LWJ589963 LWJ655482:LWJ655499 LWJ721018:LWJ721035 LWJ786554:LWJ786571 LWJ852090:LWJ852107 LWJ917626:LWJ917643 LWJ983162:LWJ983179 MGF122:MGF139 MGF65658:MGF65675 MGF131194:MGF131211 MGF196730:MGF196747 MGF262266:MGF262283 MGF327802:MGF327819 MGF393338:MGF393355 MGF458874:MGF458891 MGF524410:MGF524427 MGF589946:MGF589963 MGF655482:MGF655499 MGF721018:MGF721035 MGF786554:MGF786571 MGF852090:MGF852107 MGF917626:MGF917643 MGF983162:MGF983179 MQB122:MQB139 MQB65658:MQB65675 MQB131194:MQB131211 MQB196730:MQB196747 MQB262266:MQB262283 MQB327802:MQB327819 MQB393338:MQB393355 MQB458874:MQB458891 MQB524410:MQB524427 MQB589946:MQB589963 MQB655482:MQB655499 MQB721018:MQB721035 MQB786554:MQB786571 MQB852090:MQB852107 MQB917626:MQB917643 MQB983162:MQB983179 MZX122:MZX139 MZX65658:MZX65675 MZX131194:MZX131211 MZX196730:MZX196747 MZX262266:MZX262283 MZX327802:MZX327819 MZX393338:MZX393355 MZX458874:MZX458891 MZX524410:MZX524427 MZX589946:MZX589963 MZX655482:MZX655499 MZX721018:MZX721035 MZX786554:MZX786571 MZX852090:MZX852107 MZX917626:MZX917643 MZX983162:MZX983179 NJT122:NJT139 NJT65658:NJT65675 NJT131194:NJT131211 NJT196730:NJT196747 NJT262266:NJT262283 NJT327802:NJT327819 NJT393338:NJT393355 NJT458874:NJT458891 NJT524410:NJT524427 NJT589946:NJT589963 NJT655482:NJT655499 NJT721018:NJT721035 NJT786554:NJT786571 NJT852090:NJT852107 NJT917626:NJT917643 NJT983162:NJT983179 NTP122:NTP139 NTP65658:NTP65675 NTP131194:NTP131211 NTP196730:NTP196747 NTP262266:NTP262283 NTP327802:NTP327819 NTP393338:NTP393355 NTP458874:NTP458891 NTP524410:NTP524427 NTP589946:NTP589963 NTP655482:NTP655499 NTP721018:NTP721035 NTP786554:NTP786571 NTP852090:NTP852107 NTP917626:NTP917643 NTP983162:NTP983179 ODL122:ODL139 ODL65658:ODL65675 ODL131194:ODL131211 ODL196730:ODL196747 ODL262266:ODL262283 ODL327802:ODL327819 ODL393338:ODL393355 ODL458874:ODL458891 ODL524410:ODL524427 ODL589946:ODL589963 ODL655482:ODL655499 ODL721018:ODL721035 ODL786554:ODL786571 ODL852090:ODL852107 ODL917626:ODL917643 ODL983162:ODL983179 ONH122:ONH139 ONH65658:ONH65675 ONH131194:ONH131211 ONH196730:ONH196747 ONH262266:ONH262283 ONH327802:ONH327819 ONH393338:ONH393355 ONH458874:ONH458891 ONH524410:ONH524427 ONH589946:ONH589963 ONH655482:ONH655499 ONH721018:ONH721035 ONH786554:ONH786571 ONH852090:ONH852107 ONH917626:ONH917643 ONH983162:ONH983179 OXD122:OXD139 OXD65658:OXD65675 OXD131194:OXD131211 OXD196730:OXD196747 OXD262266:OXD262283 OXD327802:OXD327819 OXD393338:OXD393355 OXD458874:OXD458891 OXD524410:OXD524427 OXD589946:OXD589963 OXD655482:OXD655499 OXD721018:OXD721035 OXD786554:OXD786571 OXD852090:OXD852107 OXD917626:OXD917643 OXD983162:OXD983179 PGZ122:PGZ139 PGZ65658:PGZ65675 PGZ131194:PGZ131211 PGZ196730:PGZ196747 PGZ262266:PGZ262283 PGZ327802:PGZ327819 PGZ393338:PGZ393355 PGZ458874:PGZ458891 PGZ524410:PGZ524427 PGZ589946:PGZ589963 PGZ655482:PGZ655499 PGZ721018:PGZ721035 PGZ786554:PGZ786571 PGZ852090:PGZ852107 PGZ917626:PGZ917643 PGZ983162:PGZ983179 PQV122:PQV139 PQV65658:PQV65675 PQV131194:PQV131211 PQV196730:PQV196747 PQV262266:PQV262283 PQV327802:PQV327819 PQV393338:PQV393355 PQV458874:PQV458891 PQV524410:PQV524427 PQV589946:PQV589963 PQV655482:PQV655499 PQV721018:PQV721035 PQV786554:PQV786571 PQV852090:PQV852107 PQV917626:PQV917643 PQV983162:PQV983179 QAR122:QAR139 QAR65658:QAR65675 QAR131194:QAR131211 QAR196730:QAR196747 QAR262266:QAR262283 QAR327802:QAR327819 QAR393338:QAR393355 QAR458874:QAR458891 QAR524410:QAR524427 QAR589946:QAR589963 QAR655482:QAR655499 QAR721018:QAR721035 QAR786554:QAR786571 QAR852090:QAR852107 QAR917626:QAR917643 QAR983162:QAR983179 QKN122:QKN139 QKN65658:QKN65675 QKN131194:QKN131211 QKN196730:QKN196747 QKN262266:QKN262283 QKN327802:QKN327819 QKN393338:QKN393355 QKN458874:QKN458891 QKN524410:QKN524427 QKN589946:QKN589963 QKN655482:QKN655499 QKN721018:QKN721035 QKN786554:QKN786571 QKN852090:QKN852107 QKN917626:QKN917643 QKN983162:QKN983179 QUJ122:QUJ139 QUJ65658:QUJ65675 QUJ131194:QUJ131211 QUJ196730:QUJ196747 QUJ262266:QUJ262283 QUJ327802:QUJ327819 QUJ393338:QUJ393355 QUJ458874:QUJ458891 QUJ524410:QUJ524427 QUJ589946:QUJ589963 QUJ655482:QUJ655499 QUJ721018:QUJ721035 QUJ786554:QUJ786571 QUJ852090:QUJ852107 QUJ917626:QUJ917643 QUJ983162:QUJ983179 REF122:REF139 REF65658:REF65675 REF131194:REF131211 REF196730:REF196747 REF262266:REF262283 REF327802:REF327819 REF393338:REF393355 REF458874:REF458891 REF524410:REF524427 REF589946:REF589963 REF655482:REF655499 REF721018:REF721035 REF786554:REF786571 REF852090:REF852107 REF917626:REF917643 REF983162:REF983179 ROB122:ROB139 ROB65658:ROB65675 ROB131194:ROB131211 ROB196730:ROB196747 ROB262266:ROB262283 ROB327802:ROB327819 ROB393338:ROB393355 ROB458874:ROB458891 ROB524410:ROB524427 ROB589946:ROB589963 ROB655482:ROB655499 ROB721018:ROB721035 ROB786554:ROB786571 ROB852090:ROB852107 ROB917626:ROB917643 ROB983162:ROB983179 RXX122:RXX139 RXX65658:RXX65675 RXX131194:RXX131211 RXX196730:RXX196747 RXX262266:RXX262283 RXX327802:RXX327819 RXX393338:RXX393355 RXX458874:RXX458891 RXX524410:RXX524427 RXX589946:RXX589963 RXX655482:RXX655499 RXX721018:RXX721035 RXX786554:RXX786571 RXX852090:RXX852107 RXX917626:RXX917643 RXX983162:RXX983179 SHT122:SHT139 SHT65658:SHT65675 SHT131194:SHT131211 SHT196730:SHT196747 SHT262266:SHT262283 SHT327802:SHT327819 SHT393338:SHT393355 SHT458874:SHT458891 SHT524410:SHT524427 SHT589946:SHT589963 SHT655482:SHT655499 SHT721018:SHT721035 SHT786554:SHT786571 SHT852090:SHT852107 SHT917626:SHT917643 SHT983162:SHT983179 SRP122:SRP139 SRP65658:SRP65675 SRP131194:SRP131211 SRP196730:SRP196747 SRP262266:SRP262283 SRP327802:SRP327819 SRP393338:SRP393355 SRP458874:SRP458891 SRP524410:SRP524427 SRP589946:SRP589963 SRP655482:SRP655499 SRP721018:SRP721035 SRP786554:SRP786571 SRP852090:SRP852107 SRP917626:SRP917643 SRP983162:SRP983179 TBL122:TBL139 TBL65658:TBL65675 TBL131194:TBL131211 TBL196730:TBL196747 TBL262266:TBL262283 TBL327802:TBL327819 TBL393338:TBL393355 TBL458874:TBL458891 TBL524410:TBL524427 TBL589946:TBL589963 TBL655482:TBL655499 TBL721018:TBL721035 TBL786554:TBL786571 TBL852090:TBL852107 TBL917626:TBL917643 TBL983162:TBL983179 TLH122:TLH139 TLH65658:TLH65675 TLH131194:TLH131211 TLH196730:TLH196747 TLH262266:TLH262283 TLH327802:TLH327819 TLH393338:TLH393355 TLH458874:TLH458891 TLH524410:TLH524427 TLH589946:TLH589963 TLH655482:TLH655499 TLH721018:TLH721035 TLH786554:TLH786571 TLH852090:TLH852107 TLH917626:TLH917643 TLH983162:TLH983179 TVD122:TVD139 TVD65658:TVD65675 TVD131194:TVD131211 TVD196730:TVD196747 TVD262266:TVD262283 TVD327802:TVD327819 TVD393338:TVD393355 TVD458874:TVD458891 TVD524410:TVD524427 TVD589946:TVD589963 TVD655482:TVD655499 TVD721018:TVD721035 TVD786554:TVD786571 TVD852090:TVD852107 TVD917626:TVD917643 TVD983162:TVD983179 UEZ122:UEZ139 UEZ65658:UEZ65675 UEZ131194:UEZ131211 UEZ196730:UEZ196747 UEZ262266:UEZ262283 UEZ327802:UEZ327819 UEZ393338:UEZ393355 UEZ458874:UEZ458891 UEZ524410:UEZ524427 UEZ589946:UEZ589963 UEZ655482:UEZ655499 UEZ721018:UEZ721035 UEZ786554:UEZ786571 UEZ852090:UEZ852107 UEZ917626:UEZ917643 UEZ983162:UEZ983179 UOV122:UOV139 UOV65658:UOV65675 UOV131194:UOV131211 UOV196730:UOV196747 UOV262266:UOV262283 UOV327802:UOV327819 UOV393338:UOV393355 UOV458874:UOV458891 UOV524410:UOV524427 UOV589946:UOV589963 UOV655482:UOV655499 UOV721018:UOV721035 UOV786554:UOV786571 UOV852090:UOV852107 UOV917626:UOV917643 UOV983162:UOV983179 UYR122:UYR139 UYR65658:UYR65675 UYR131194:UYR131211 UYR196730:UYR196747 UYR262266:UYR262283 UYR327802:UYR327819 UYR393338:UYR393355 UYR458874:UYR458891 UYR524410:UYR524427 UYR589946:UYR589963 UYR655482:UYR655499 UYR721018:UYR721035 UYR786554:UYR786571 UYR852090:UYR852107 UYR917626:UYR917643 UYR983162:UYR983179 VIN122:VIN139 VIN65658:VIN65675 VIN131194:VIN131211 VIN196730:VIN196747 VIN262266:VIN262283 VIN327802:VIN327819 VIN393338:VIN393355 VIN458874:VIN458891 VIN524410:VIN524427 VIN589946:VIN589963 VIN655482:VIN655499 VIN721018:VIN721035 VIN786554:VIN786571 VIN852090:VIN852107 VIN917626:VIN917643 VIN983162:VIN983179 VSJ122:VSJ139 VSJ65658:VSJ65675 VSJ131194:VSJ131211 VSJ196730:VSJ196747 VSJ262266:VSJ262283 VSJ327802:VSJ327819 VSJ393338:VSJ393355 VSJ458874:VSJ458891 VSJ524410:VSJ524427 VSJ589946:VSJ589963 VSJ655482:VSJ655499 VSJ721018:VSJ721035 VSJ786554:VSJ786571 VSJ852090:VSJ852107 VSJ917626:VSJ917643 VSJ983162:VSJ983179 WCF122:WCF139 WCF65658:WCF65675 WCF131194:WCF131211 WCF196730:WCF196747 WCF262266:WCF262283 WCF327802:WCF327819 WCF393338:WCF393355 WCF458874:WCF458891 WCF524410:WCF524427 WCF589946:WCF589963 WCF655482:WCF655499 WCF721018:WCF721035 WCF786554:WCF786571 WCF852090:WCF852107 WCF917626:WCF917643 WCF983162:WCF983179 WMB122:WMB139 WMB65658:WMB65675 WMB131194:WMB131211 WMB196730:WMB196747 WMB262266:WMB262283 WMB327802:WMB327819 WMB393338:WMB393355 WMB458874:WMB458891 WMB524410:WMB524427 WMB589946:WMB589963 WMB655482:WMB655499 WMB721018:WMB721035 WMB786554:WMB786571 WMB852090:WMB852107 WMB917626:WMB917643 WMB983162:WMB983179 WVX122:WVX139 WVX65658:WVX65675 WVX131194:WVX131211 WVX196730:WVX196747 WVX262266:WVX262283 WVX327802:WVX327819 WVX393338:WVX393355 WVX458874:WVX458891 WVX524410:WVX524427 WVX589946:WVX589963 WVX655482:WVX655499 WVX721018:WVX721035 WVX786554:WVX786571 WVX852090:WVX852107 WVX917626:WVX917643 WVX983162:WVX983179">
      <formula1>"F,C,A,M"</formula1>
    </dataValidation>
    <dataValidation type="list" allowBlank="1" showInputMessage="1" showErrorMessage="1" sqref="Q122:Q139 Q65658:Q65675 Q131194:Q131211 Q196730:Q196747 Q262266:Q262283 Q327802:Q327819 Q393338:Q393355 Q458874:Q458891 Q524410:Q524427 Q589946:Q589963 Q655482:Q655499 Q721018:Q721035 Q786554:Q786571 Q852090:Q852107 Q917626:Q917643 Q983162:Q983179 W122:W139 W65658:W65675 W131194:W131211 W196730:W196747 W262266:W262283 W327802:W327819 W393338:W393355 W458874:W458891 W524410:W524427 W589946:W589963 W655482:W655499 W721018:W721035 W786554:W786571 W852090:W852107 W917626:W917643 W983162:W983179 JM122:JM139 JM65658:JM65675 JM131194:JM131211 JM196730:JM196747 JM262266:JM262283 JM327802:JM327819 JM393338:JM393355 JM458874:JM458891 JM524410:JM524427 JM589946:JM589963 JM655482:JM655499 JM721018:JM721035 JM786554:JM786571 JM852090:JM852107 JM917626:JM917643 JM983162:JM983179 JS122:JS139 JS65658:JS65675 JS131194:JS131211 JS196730:JS196747 JS262266:JS262283 JS327802:JS327819 JS393338:JS393355 JS458874:JS458891 JS524410:JS524427 JS589946:JS589963 JS655482:JS655499 JS721018:JS721035 JS786554:JS786571 JS852090:JS852107 JS917626:JS917643 JS983162:JS983179 TI122:TI139 TI65658:TI65675 TI131194:TI131211 TI196730:TI196747 TI262266:TI262283 TI327802:TI327819 TI393338:TI393355 TI458874:TI458891 TI524410:TI524427 TI589946:TI589963 TI655482:TI655499 TI721018:TI721035 TI786554:TI786571 TI852090:TI852107 TI917626:TI917643 TI983162:TI983179 TO122:TO139 TO65658:TO65675 TO131194:TO131211 TO196730:TO196747 TO262266:TO262283 TO327802:TO327819 TO393338:TO393355 TO458874:TO458891 TO524410:TO524427 TO589946:TO589963 TO655482:TO655499 TO721018:TO721035 TO786554:TO786571 TO852090:TO852107 TO917626:TO917643 TO983162:TO983179 ADE122:ADE139 ADE65658:ADE65675 ADE131194:ADE131211 ADE196730:ADE196747 ADE262266:ADE262283 ADE327802:ADE327819 ADE393338:ADE393355 ADE458874:ADE458891 ADE524410:ADE524427 ADE589946:ADE589963 ADE655482:ADE655499 ADE721018:ADE721035 ADE786554:ADE786571 ADE852090:ADE852107 ADE917626:ADE917643 ADE983162:ADE983179 ADK122:ADK139 ADK65658:ADK65675 ADK131194:ADK131211 ADK196730:ADK196747 ADK262266:ADK262283 ADK327802:ADK327819 ADK393338:ADK393355 ADK458874:ADK458891 ADK524410:ADK524427 ADK589946:ADK589963 ADK655482:ADK655499 ADK721018:ADK721035 ADK786554:ADK786571 ADK852090:ADK852107 ADK917626:ADK917643 ADK983162:ADK983179 ANA122:ANA139 ANA65658:ANA65675 ANA131194:ANA131211 ANA196730:ANA196747 ANA262266:ANA262283 ANA327802:ANA327819 ANA393338:ANA393355 ANA458874:ANA458891 ANA524410:ANA524427 ANA589946:ANA589963 ANA655482:ANA655499 ANA721018:ANA721035 ANA786554:ANA786571 ANA852090:ANA852107 ANA917626:ANA917643 ANA983162:ANA983179 ANG122:ANG139 ANG65658:ANG65675 ANG131194:ANG131211 ANG196730:ANG196747 ANG262266:ANG262283 ANG327802:ANG327819 ANG393338:ANG393355 ANG458874:ANG458891 ANG524410:ANG524427 ANG589946:ANG589963 ANG655482:ANG655499 ANG721018:ANG721035 ANG786554:ANG786571 ANG852090:ANG852107 ANG917626:ANG917643 ANG983162:ANG983179 AWW122:AWW139 AWW65658:AWW65675 AWW131194:AWW131211 AWW196730:AWW196747 AWW262266:AWW262283 AWW327802:AWW327819 AWW393338:AWW393355 AWW458874:AWW458891 AWW524410:AWW524427 AWW589946:AWW589963 AWW655482:AWW655499 AWW721018:AWW721035 AWW786554:AWW786571 AWW852090:AWW852107 AWW917626:AWW917643 AWW983162:AWW983179 AXC122:AXC139 AXC65658:AXC65675 AXC131194:AXC131211 AXC196730:AXC196747 AXC262266:AXC262283 AXC327802:AXC327819 AXC393338:AXC393355 AXC458874:AXC458891 AXC524410:AXC524427 AXC589946:AXC589963 AXC655482:AXC655499 AXC721018:AXC721035 AXC786554:AXC786571 AXC852090:AXC852107 AXC917626:AXC917643 AXC983162:AXC983179 BGS122:BGS139 BGS65658:BGS65675 BGS131194:BGS131211 BGS196730:BGS196747 BGS262266:BGS262283 BGS327802:BGS327819 BGS393338:BGS393355 BGS458874:BGS458891 BGS524410:BGS524427 BGS589946:BGS589963 BGS655482:BGS655499 BGS721018:BGS721035 BGS786554:BGS786571 BGS852090:BGS852107 BGS917626:BGS917643 BGS983162:BGS983179 BGY122:BGY139 BGY65658:BGY65675 BGY131194:BGY131211 BGY196730:BGY196747 BGY262266:BGY262283 BGY327802:BGY327819 BGY393338:BGY393355 BGY458874:BGY458891 BGY524410:BGY524427 BGY589946:BGY589963 BGY655482:BGY655499 BGY721018:BGY721035 BGY786554:BGY786571 BGY852090:BGY852107 BGY917626:BGY917643 BGY983162:BGY983179 BQO122:BQO139 BQO65658:BQO65675 BQO131194:BQO131211 BQO196730:BQO196747 BQO262266:BQO262283 BQO327802:BQO327819 BQO393338:BQO393355 BQO458874:BQO458891 BQO524410:BQO524427 BQO589946:BQO589963 BQO655482:BQO655499 BQO721018:BQO721035 BQO786554:BQO786571 BQO852090:BQO852107 BQO917626:BQO917643 BQO983162:BQO983179 BQU122:BQU139 BQU65658:BQU65675 BQU131194:BQU131211 BQU196730:BQU196747 BQU262266:BQU262283 BQU327802:BQU327819 BQU393338:BQU393355 BQU458874:BQU458891 BQU524410:BQU524427 BQU589946:BQU589963 BQU655482:BQU655499 BQU721018:BQU721035 BQU786554:BQU786571 BQU852090:BQU852107 BQU917626:BQU917643 BQU983162:BQU983179 CAK122:CAK139 CAK65658:CAK65675 CAK131194:CAK131211 CAK196730:CAK196747 CAK262266:CAK262283 CAK327802:CAK327819 CAK393338:CAK393355 CAK458874:CAK458891 CAK524410:CAK524427 CAK589946:CAK589963 CAK655482:CAK655499 CAK721018:CAK721035 CAK786554:CAK786571 CAK852090:CAK852107 CAK917626:CAK917643 CAK983162:CAK983179 CAQ122:CAQ139 CAQ65658:CAQ65675 CAQ131194:CAQ131211 CAQ196730:CAQ196747 CAQ262266:CAQ262283 CAQ327802:CAQ327819 CAQ393338:CAQ393355 CAQ458874:CAQ458891 CAQ524410:CAQ524427 CAQ589946:CAQ589963 CAQ655482:CAQ655499 CAQ721018:CAQ721035 CAQ786554:CAQ786571 CAQ852090:CAQ852107 CAQ917626:CAQ917643 CAQ983162:CAQ983179 CKG122:CKG139 CKG65658:CKG65675 CKG131194:CKG131211 CKG196730:CKG196747 CKG262266:CKG262283 CKG327802:CKG327819 CKG393338:CKG393355 CKG458874:CKG458891 CKG524410:CKG524427 CKG589946:CKG589963 CKG655482:CKG655499 CKG721018:CKG721035 CKG786554:CKG786571 CKG852090:CKG852107 CKG917626:CKG917643 CKG983162:CKG983179 CKM122:CKM139 CKM65658:CKM65675 CKM131194:CKM131211 CKM196730:CKM196747 CKM262266:CKM262283 CKM327802:CKM327819 CKM393338:CKM393355 CKM458874:CKM458891 CKM524410:CKM524427 CKM589946:CKM589963 CKM655482:CKM655499 CKM721018:CKM721035 CKM786554:CKM786571 CKM852090:CKM852107 CKM917626:CKM917643 CKM983162:CKM983179 CUC122:CUC139 CUC65658:CUC65675 CUC131194:CUC131211 CUC196730:CUC196747 CUC262266:CUC262283 CUC327802:CUC327819 CUC393338:CUC393355 CUC458874:CUC458891 CUC524410:CUC524427 CUC589946:CUC589963 CUC655482:CUC655499 CUC721018:CUC721035 CUC786554:CUC786571 CUC852090:CUC852107 CUC917626:CUC917643 CUC983162:CUC983179 CUI122:CUI139 CUI65658:CUI65675 CUI131194:CUI131211 CUI196730:CUI196747 CUI262266:CUI262283 CUI327802:CUI327819 CUI393338:CUI393355 CUI458874:CUI458891 CUI524410:CUI524427 CUI589946:CUI589963 CUI655482:CUI655499 CUI721018:CUI721035 CUI786554:CUI786571 CUI852090:CUI852107 CUI917626:CUI917643 CUI983162:CUI983179 DDY122:DDY139 DDY65658:DDY65675 DDY131194:DDY131211 DDY196730:DDY196747 DDY262266:DDY262283 DDY327802:DDY327819 DDY393338:DDY393355 DDY458874:DDY458891 DDY524410:DDY524427 DDY589946:DDY589963 DDY655482:DDY655499 DDY721018:DDY721035 DDY786554:DDY786571 DDY852090:DDY852107 DDY917626:DDY917643 DDY983162:DDY983179 DEE122:DEE139 DEE65658:DEE65675 DEE131194:DEE131211 DEE196730:DEE196747 DEE262266:DEE262283 DEE327802:DEE327819 DEE393338:DEE393355 DEE458874:DEE458891 DEE524410:DEE524427 DEE589946:DEE589963 DEE655482:DEE655499 DEE721018:DEE721035 DEE786554:DEE786571 DEE852090:DEE852107 DEE917626:DEE917643 DEE983162:DEE983179 DNU122:DNU139 DNU65658:DNU65675 DNU131194:DNU131211 DNU196730:DNU196747 DNU262266:DNU262283 DNU327802:DNU327819 DNU393338:DNU393355 DNU458874:DNU458891 DNU524410:DNU524427 DNU589946:DNU589963 DNU655482:DNU655499 DNU721018:DNU721035 DNU786554:DNU786571 DNU852090:DNU852107 DNU917626:DNU917643 DNU983162:DNU983179 DOA122:DOA139 DOA65658:DOA65675 DOA131194:DOA131211 DOA196730:DOA196747 DOA262266:DOA262283 DOA327802:DOA327819 DOA393338:DOA393355 DOA458874:DOA458891 DOA524410:DOA524427 DOA589946:DOA589963 DOA655482:DOA655499 DOA721018:DOA721035 DOA786554:DOA786571 DOA852090:DOA852107 DOA917626:DOA917643 DOA983162:DOA983179 DXQ122:DXQ139 DXQ65658:DXQ65675 DXQ131194:DXQ131211 DXQ196730:DXQ196747 DXQ262266:DXQ262283 DXQ327802:DXQ327819 DXQ393338:DXQ393355 DXQ458874:DXQ458891 DXQ524410:DXQ524427 DXQ589946:DXQ589963 DXQ655482:DXQ655499 DXQ721018:DXQ721035 DXQ786554:DXQ786571 DXQ852090:DXQ852107 DXQ917626:DXQ917643 DXQ983162:DXQ983179 DXW122:DXW139 DXW65658:DXW65675 DXW131194:DXW131211 DXW196730:DXW196747 DXW262266:DXW262283 DXW327802:DXW327819 DXW393338:DXW393355 DXW458874:DXW458891 DXW524410:DXW524427 DXW589946:DXW589963 DXW655482:DXW655499 DXW721018:DXW721035 DXW786554:DXW786571 DXW852090:DXW852107 DXW917626:DXW917643 DXW983162:DXW983179 EHM122:EHM139 EHM65658:EHM65675 EHM131194:EHM131211 EHM196730:EHM196747 EHM262266:EHM262283 EHM327802:EHM327819 EHM393338:EHM393355 EHM458874:EHM458891 EHM524410:EHM524427 EHM589946:EHM589963 EHM655482:EHM655499 EHM721018:EHM721035 EHM786554:EHM786571 EHM852090:EHM852107 EHM917626:EHM917643 EHM983162:EHM983179 EHS122:EHS139 EHS65658:EHS65675 EHS131194:EHS131211 EHS196730:EHS196747 EHS262266:EHS262283 EHS327802:EHS327819 EHS393338:EHS393355 EHS458874:EHS458891 EHS524410:EHS524427 EHS589946:EHS589963 EHS655482:EHS655499 EHS721018:EHS721035 EHS786554:EHS786571 EHS852090:EHS852107 EHS917626:EHS917643 EHS983162:EHS983179 ERI122:ERI139 ERI65658:ERI65675 ERI131194:ERI131211 ERI196730:ERI196747 ERI262266:ERI262283 ERI327802:ERI327819 ERI393338:ERI393355 ERI458874:ERI458891 ERI524410:ERI524427 ERI589946:ERI589963 ERI655482:ERI655499 ERI721018:ERI721035 ERI786554:ERI786571 ERI852090:ERI852107 ERI917626:ERI917643 ERI983162:ERI983179 ERO122:ERO139 ERO65658:ERO65675 ERO131194:ERO131211 ERO196730:ERO196747 ERO262266:ERO262283 ERO327802:ERO327819 ERO393338:ERO393355 ERO458874:ERO458891 ERO524410:ERO524427 ERO589946:ERO589963 ERO655482:ERO655499 ERO721018:ERO721035 ERO786554:ERO786571 ERO852090:ERO852107 ERO917626:ERO917643 ERO983162:ERO983179 FBE122:FBE139 FBE65658:FBE65675 FBE131194:FBE131211 FBE196730:FBE196747 FBE262266:FBE262283 FBE327802:FBE327819 FBE393338:FBE393355 FBE458874:FBE458891 FBE524410:FBE524427 FBE589946:FBE589963 FBE655482:FBE655499 FBE721018:FBE721035 FBE786554:FBE786571 FBE852090:FBE852107 FBE917626:FBE917643 FBE983162:FBE983179 FBK122:FBK139 FBK65658:FBK65675 FBK131194:FBK131211 FBK196730:FBK196747 FBK262266:FBK262283 FBK327802:FBK327819 FBK393338:FBK393355 FBK458874:FBK458891 FBK524410:FBK524427 FBK589946:FBK589963 FBK655482:FBK655499 FBK721018:FBK721035 FBK786554:FBK786571 FBK852090:FBK852107 FBK917626:FBK917643 FBK983162:FBK983179 FLA122:FLA139 FLA65658:FLA65675 FLA131194:FLA131211 FLA196730:FLA196747 FLA262266:FLA262283 FLA327802:FLA327819 FLA393338:FLA393355 FLA458874:FLA458891 FLA524410:FLA524427 FLA589946:FLA589963 FLA655482:FLA655499 FLA721018:FLA721035 FLA786554:FLA786571 FLA852090:FLA852107 FLA917626:FLA917643 FLA983162:FLA983179 FLG122:FLG139 FLG65658:FLG65675 FLG131194:FLG131211 FLG196730:FLG196747 FLG262266:FLG262283 FLG327802:FLG327819 FLG393338:FLG393355 FLG458874:FLG458891 FLG524410:FLG524427 FLG589946:FLG589963 FLG655482:FLG655499 FLG721018:FLG721035 FLG786554:FLG786571 FLG852090:FLG852107 FLG917626:FLG917643 FLG983162:FLG983179 FUW122:FUW139 FUW65658:FUW65675 FUW131194:FUW131211 FUW196730:FUW196747 FUW262266:FUW262283 FUW327802:FUW327819 FUW393338:FUW393355 FUW458874:FUW458891 FUW524410:FUW524427 FUW589946:FUW589963 FUW655482:FUW655499 FUW721018:FUW721035 FUW786554:FUW786571 FUW852090:FUW852107 FUW917626:FUW917643 FUW983162:FUW983179 FVC122:FVC139 FVC65658:FVC65675 FVC131194:FVC131211 FVC196730:FVC196747 FVC262266:FVC262283 FVC327802:FVC327819 FVC393338:FVC393355 FVC458874:FVC458891 FVC524410:FVC524427 FVC589946:FVC589963 FVC655482:FVC655499 FVC721018:FVC721035 FVC786554:FVC786571 FVC852090:FVC852107 FVC917626:FVC917643 FVC983162:FVC983179 GES122:GES139 GES65658:GES65675 GES131194:GES131211 GES196730:GES196747 GES262266:GES262283 GES327802:GES327819 GES393338:GES393355 GES458874:GES458891 GES524410:GES524427 GES589946:GES589963 GES655482:GES655499 GES721018:GES721035 GES786554:GES786571 GES852090:GES852107 GES917626:GES917643 GES983162:GES983179 GEY122:GEY139 GEY65658:GEY65675 GEY131194:GEY131211 GEY196730:GEY196747 GEY262266:GEY262283 GEY327802:GEY327819 GEY393338:GEY393355 GEY458874:GEY458891 GEY524410:GEY524427 GEY589946:GEY589963 GEY655482:GEY655499 GEY721018:GEY721035 GEY786554:GEY786571 GEY852090:GEY852107 GEY917626:GEY917643 GEY983162:GEY983179 GOO122:GOO139 GOO65658:GOO65675 GOO131194:GOO131211 GOO196730:GOO196747 GOO262266:GOO262283 GOO327802:GOO327819 GOO393338:GOO393355 GOO458874:GOO458891 GOO524410:GOO524427 GOO589946:GOO589963 GOO655482:GOO655499 GOO721018:GOO721035 GOO786554:GOO786571 GOO852090:GOO852107 GOO917626:GOO917643 GOO983162:GOO983179 GOU122:GOU139 GOU65658:GOU65675 GOU131194:GOU131211 GOU196730:GOU196747 GOU262266:GOU262283 GOU327802:GOU327819 GOU393338:GOU393355 GOU458874:GOU458891 GOU524410:GOU524427 GOU589946:GOU589963 GOU655482:GOU655499 GOU721018:GOU721035 GOU786554:GOU786571 GOU852090:GOU852107 GOU917626:GOU917643 GOU983162:GOU983179 GYK122:GYK139 GYK65658:GYK65675 GYK131194:GYK131211 GYK196730:GYK196747 GYK262266:GYK262283 GYK327802:GYK327819 GYK393338:GYK393355 GYK458874:GYK458891 GYK524410:GYK524427 GYK589946:GYK589963 GYK655482:GYK655499 GYK721018:GYK721035 GYK786554:GYK786571 GYK852090:GYK852107 GYK917626:GYK917643 GYK983162:GYK983179 GYQ122:GYQ139 GYQ65658:GYQ65675 GYQ131194:GYQ131211 GYQ196730:GYQ196747 GYQ262266:GYQ262283 GYQ327802:GYQ327819 GYQ393338:GYQ393355 GYQ458874:GYQ458891 GYQ524410:GYQ524427 GYQ589946:GYQ589963 GYQ655482:GYQ655499 GYQ721018:GYQ721035 GYQ786554:GYQ786571 GYQ852090:GYQ852107 GYQ917626:GYQ917643 GYQ983162:GYQ983179 HIG122:HIG139 HIG65658:HIG65675 HIG131194:HIG131211 HIG196730:HIG196747 HIG262266:HIG262283 HIG327802:HIG327819 HIG393338:HIG393355 HIG458874:HIG458891 HIG524410:HIG524427 HIG589946:HIG589963 HIG655482:HIG655499 HIG721018:HIG721035 HIG786554:HIG786571 HIG852090:HIG852107 HIG917626:HIG917643 HIG983162:HIG983179 HIM122:HIM139 HIM65658:HIM65675 HIM131194:HIM131211 HIM196730:HIM196747 HIM262266:HIM262283 HIM327802:HIM327819 HIM393338:HIM393355 HIM458874:HIM458891 HIM524410:HIM524427 HIM589946:HIM589963 HIM655482:HIM655499 HIM721018:HIM721035 HIM786554:HIM786571 HIM852090:HIM852107 HIM917626:HIM917643 HIM983162:HIM983179 HSC122:HSC139 HSC65658:HSC65675 HSC131194:HSC131211 HSC196730:HSC196747 HSC262266:HSC262283 HSC327802:HSC327819 HSC393338:HSC393355 HSC458874:HSC458891 HSC524410:HSC524427 HSC589946:HSC589963 HSC655482:HSC655499 HSC721018:HSC721035 HSC786554:HSC786571 HSC852090:HSC852107 HSC917626:HSC917643 HSC983162:HSC983179 HSI122:HSI139 HSI65658:HSI65675 HSI131194:HSI131211 HSI196730:HSI196747 HSI262266:HSI262283 HSI327802:HSI327819 HSI393338:HSI393355 HSI458874:HSI458891 HSI524410:HSI524427 HSI589946:HSI589963 HSI655482:HSI655499 HSI721018:HSI721035 HSI786554:HSI786571 HSI852090:HSI852107 HSI917626:HSI917643 HSI983162:HSI983179 IBY122:IBY139 IBY65658:IBY65675 IBY131194:IBY131211 IBY196730:IBY196747 IBY262266:IBY262283 IBY327802:IBY327819 IBY393338:IBY393355 IBY458874:IBY458891 IBY524410:IBY524427 IBY589946:IBY589963 IBY655482:IBY655499 IBY721018:IBY721035 IBY786554:IBY786571 IBY852090:IBY852107 IBY917626:IBY917643 IBY983162:IBY983179 ICE122:ICE139 ICE65658:ICE65675 ICE131194:ICE131211 ICE196730:ICE196747 ICE262266:ICE262283 ICE327802:ICE327819 ICE393338:ICE393355 ICE458874:ICE458891 ICE524410:ICE524427 ICE589946:ICE589963 ICE655482:ICE655499 ICE721018:ICE721035 ICE786554:ICE786571 ICE852090:ICE852107 ICE917626:ICE917643 ICE983162:ICE983179 ILU122:ILU139 ILU65658:ILU65675 ILU131194:ILU131211 ILU196730:ILU196747 ILU262266:ILU262283 ILU327802:ILU327819 ILU393338:ILU393355 ILU458874:ILU458891 ILU524410:ILU524427 ILU589946:ILU589963 ILU655482:ILU655499 ILU721018:ILU721035 ILU786554:ILU786571 ILU852090:ILU852107 ILU917626:ILU917643 ILU983162:ILU983179 IMA122:IMA139 IMA65658:IMA65675 IMA131194:IMA131211 IMA196730:IMA196747 IMA262266:IMA262283 IMA327802:IMA327819 IMA393338:IMA393355 IMA458874:IMA458891 IMA524410:IMA524427 IMA589946:IMA589963 IMA655482:IMA655499 IMA721018:IMA721035 IMA786554:IMA786571 IMA852090:IMA852107 IMA917626:IMA917643 IMA983162:IMA983179 IVQ122:IVQ139 IVQ65658:IVQ65675 IVQ131194:IVQ131211 IVQ196730:IVQ196747 IVQ262266:IVQ262283 IVQ327802:IVQ327819 IVQ393338:IVQ393355 IVQ458874:IVQ458891 IVQ524410:IVQ524427 IVQ589946:IVQ589963 IVQ655482:IVQ655499 IVQ721018:IVQ721035 IVQ786554:IVQ786571 IVQ852090:IVQ852107 IVQ917626:IVQ917643 IVQ983162:IVQ983179 IVW122:IVW139 IVW65658:IVW65675 IVW131194:IVW131211 IVW196730:IVW196747 IVW262266:IVW262283 IVW327802:IVW327819 IVW393338:IVW393355 IVW458874:IVW458891 IVW524410:IVW524427 IVW589946:IVW589963 IVW655482:IVW655499 IVW721018:IVW721035 IVW786554:IVW786571 IVW852090:IVW852107 IVW917626:IVW917643 IVW983162:IVW983179 JFM122:JFM139 JFM65658:JFM65675 JFM131194:JFM131211 JFM196730:JFM196747 JFM262266:JFM262283 JFM327802:JFM327819 JFM393338:JFM393355 JFM458874:JFM458891 JFM524410:JFM524427 JFM589946:JFM589963 JFM655482:JFM655499 JFM721018:JFM721035 JFM786554:JFM786571 JFM852090:JFM852107 JFM917626:JFM917643 JFM983162:JFM983179 JFS122:JFS139 JFS65658:JFS65675 JFS131194:JFS131211 JFS196730:JFS196747 JFS262266:JFS262283 JFS327802:JFS327819 JFS393338:JFS393355 JFS458874:JFS458891 JFS524410:JFS524427 JFS589946:JFS589963 JFS655482:JFS655499 JFS721018:JFS721035 JFS786554:JFS786571 JFS852090:JFS852107 JFS917626:JFS917643 JFS983162:JFS983179 JPI122:JPI139 JPI65658:JPI65675 JPI131194:JPI131211 JPI196730:JPI196747 JPI262266:JPI262283 JPI327802:JPI327819 JPI393338:JPI393355 JPI458874:JPI458891 JPI524410:JPI524427 JPI589946:JPI589963 JPI655482:JPI655499 JPI721018:JPI721035 JPI786554:JPI786571 JPI852090:JPI852107 JPI917626:JPI917643 JPI983162:JPI983179 JPO122:JPO139 JPO65658:JPO65675 JPO131194:JPO131211 JPO196730:JPO196747 JPO262266:JPO262283 JPO327802:JPO327819 JPO393338:JPO393355 JPO458874:JPO458891 JPO524410:JPO524427 JPO589946:JPO589963 JPO655482:JPO655499 JPO721018:JPO721035 JPO786554:JPO786571 JPO852090:JPO852107 JPO917626:JPO917643 JPO983162:JPO983179 JZE122:JZE139 JZE65658:JZE65675 JZE131194:JZE131211 JZE196730:JZE196747 JZE262266:JZE262283 JZE327802:JZE327819 JZE393338:JZE393355 JZE458874:JZE458891 JZE524410:JZE524427 JZE589946:JZE589963 JZE655482:JZE655499 JZE721018:JZE721035 JZE786554:JZE786571 JZE852090:JZE852107 JZE917626:JZE917643 JZE983162:JZE983179 JZK122:JZK139 JZK65658:JZK65675 JZK131194:JZK131211 JZK196730:JZK196747 JZK262266:JZK262283 JZK327802:JZK327819 JZK393338:JZK393355 JZK458874:JZK458891 JZK524410:JZK524427 JZK589946:JZK589963 JZK655482:JZK655499 JZK721018:JZK721035 JZK786554:JZK786571 JZK852090:JZK852107 JZK917626:JZK917643 JZK983162:JZK983179 KJA122:KJA139 KJA65658:KJA65675 KJA131194:KJA131211 KJA196730:KJA196747 KJA262266:KJA262283 KJA327802:KJA327819 KJA393338:KJA393355 KJA458874:KJA458891 KJA524410:KJA524427 KJA589946:KJA589963 KJA655482:KJA655499 KJA721018:KJA721035 KJA786554:KJA786571 KJA852090:KJA852107 KJA917626:KJA917643 KJA983162:KJA983179 KJG122:KJG139 KJG65658:KJG65675 KJG131194:KJG131211 KJG196730:KJG196747 KJG262266:KJG262283 KJG327802:KJG327819 KJG393338:KJG393355 KJG458874:KJG458891 KJG524410:KJG524427 KJG589946:KJG589963 KJG655482:KJG655499 KJG721018:KJG721035 KJG786554:KJG786571 KJG852090:KJG852107 KJG917626:KJG917643 KJG983162:KJG983179 KSW122:KSW139 KSW65658:KSW65675 KSW131194:KSW131211 KSW196730:KSW196747 KSW262266:KSW262283 KSW327802:KSW327819 KSW393338:KSW393355 KSW458874:KSW458891 KSW524410:KSW524427 KSW589946:KSW589963 KSW655482:KSW655499 KSW721018:KSW721035 KSW786554:KSW786571 KSW852090:KSW852107 KSW917626:KSW917643 KSW983162:KSW983179 KTC122:KTC139 KTC65658:KTC65675 KTC131194:KTC131211 KTC196730:KTC196747 KTC262266:KTC262283 KTC327802:KTC327819 KTC393338:KTC393355 KTC458874:KTC458891 KTC524410:KTC524427 KTC589946:KTC589963 KTC655482:KTC655499 KTC721018:KTC721035 KTC786554:KTC786571 KTC852090:KTC852107 KTC917626:KTC917643 KTC983162:KTC983179 LCS122:LCS139 LCS65658:LCS65675 LCS131194:LCS131211 LCS196730:LCS196747 LCS262266:LCS262283 LCS327802:LCS327819 LCS393338:LCS393355 LCS458874:LCS458891 LCS524410:LCS524427 LCS589946:LCS589963 LCS655482:LCS655499 LCS721018:LCS721035 LCS786554:LCS786571 LCS852090:LCS852107 LCS917626:LCS917643 LCS983162:LCS983179 LCY122:LCY139 LCY65658:LCY65675 LCY131194:LCY131211 LCY196730:LCY196747 LCY262266:LCY262283 LCY327802:LCY327819 LCY393338:LCY393355 LCY458874:LCY458891 LCY524410:LCY524427 LCY589946:LCY589963 LCY655482:LCY655499 LCY721018:LCY721035 LCY786554:LCY786571 LCY852090:LCY852107 LCY917626:LCY917643 LCY983162:LCY983179 LMO122:LMO139 LMO65658:LMO65675 LMO131194:LMO131211 LMO196730:LMO196747 LMO262266:LMO262283 LMO327802:LMO327819 LMO393338:LMO393355 LMO458874:LMO458891 LMO524410:LMO524427 LMO589946:LMO589963 LMO655482:LMO655499 LMO721018:LMO721035 LMO786554:LMO786571 LMO852090:LMO852107 LMO917626:LMO917643 LMO983162:LMO983179 LMU122:LMU139 LMU65658:LMU65675 LMU131194:LMU131211 LMU196730:LMU196747 LMU262266:LMU262283 LMU327802:LMU327819 LMU393338:LMU393355 LMU458874:LMU458891 LMU524410:LMU524427 LMU589946:LMU589963 LMU655482:LMU655499 LMU721018:LMU721035 LMU786554:LMU786571 LMU852090:LMU852107 LMU917626:LMU917643 LMU983162:LMU983179 LWK122:LWK139 LWK65658:LWK65675 LWK131194:LWK131211 LWK196730:LWK196747 LWK262266:LWK262283 LWK327802:LWK327819 LWK393338:LWK393355 LWK458874:LWK458891 LWK524410:LWK524427 LWK589946:LWK589963 LWK655482:LWK655499 LWK721018:LWK721035 LWK786554:LWK786571 LWK852090:LWK852107 LWK917626:LWK917643 LWK983162:LWK983179 LWQ122:LWQ139 LWQ65658:LWQ65675 LWQ131194:LWQ131211 LWQ196730:LWQ196747 LWQ262266:LWQ262283 LWQ327802:LWQ327819 LWQ393338:LWQ393355 LWQ458874:LWQ458891 LWQ524410:LWQ524427 LWQ589946:LWQ589963 LWQ655482:LWQ655499 LWQ721018:LWQ721035 LWQ786554:LWQ786571 LWQ852090:LWQ852107 LWQ917626:LWQ917643 LWQ983162:LWQ983179 MGG122:MGG139 MGG65658:MGG65675 MGG131194:MGG131211 MGG196730:MGG196747 MGG262266:MGG262283 MGG327802:MGG327819 MGG393338:MGG393355 MGG458874:MGG458891 MGG524410:MGG524427 MGG589946:MGG589963 MGG655482:MGG655499 MGG721018:MGG721035 MGG786554:MGG786571 MGG852090:MGG852107 MGG917626:MGG917643 MGG983162:MGG983179 MGM122:MGM139 MGM65658:MGM65675 MGM131194:MGM131211 MGM196730:MGM196747 MGM262266:MGM262283 MGM327802:MGM327819 MGM393338:MGM393355 MGM458874:MGM458891 MGM524410:MGM524427 MGM589946:MGM589963 MGM655482:MGM655499 MGM721018:MGM721035 MGM786554:MGM786571 MGM852090:MGM852107 MGM917626:MGM917643 MGM983162:MGM983179 MQC122:MQC139 MQC65658:MQC65675 MQC131194:MQC131211 MQC196730:MQC196747 MQC262266:MQC262283 MQC327802:MQC327819 MQC393338:MQC393355 MQC458874:MQC458891 MQC524410:MQC524427 MQC589946:MQC589963 MQC655482:MQC655499 MQC721018:MQC721035 MQC786554:MQC786571 MQC852090:MQC852107 MQC917626:MQC917643 MQC983162:MQC983179 MQI122:MQI139 MQI65658:MQI65675 MQI131194:MQI131211 MQI196730:MQI196747 MQI262266:MQI262283 MQI327802:MQI327819 MQI393338:MQI393355 MQI458874:MQI458891 MQI524410:MQI524427 MQI589946:MQI589963 MQI655482:MQI655499 MQI721018:MQI721035 MQI786554:MQI786571 MQI852090:MQI852107 MQI917626:MQI917643 MQI983162:MQI983179 MZY122:MZY139 MZY65658:MZY65675 MZY131194:MZY131211 MZY196730:MZY196747 MZY262266:MZY262283 MZY327802:MZY327819 MZY393338:MZY393355 MZY458874:MZY458891 MZY524410:MZY524427 MZY589946:MZY589963 MZY655482:MZY655499 MZY721018:MZY721035 MZY786554:MZY786571 MZY852090:MZY852107 MZY917626:MZY917643 MZY983162:MZY983179 NAE122:NAE139 NAE65658:NAE65675 NAE131194:NAE131211 NAE196730:NAE196747 NAE262266:NAE262283 NAE327802:NAE327819 NAE393338:NAE393355 NAE458874:NAE458891 NAE524410:NAE524427 NAE589946:NAE589963 NAE655482:NAE655499 NAE721018:NAE721035 NAE786554:NAE786571 NAE852090:NAE852107 NAE917626:NAE917643 NAE983162:NAE983179 NJU122:NJU139 NJU65658:NJU65675 NJU131194:NJU131211 NJU196730:NJU196747 NJU262266:NJU262283 NJU327802:NJU327819 NJU393338:NJU393355 NJU458874:NJU458891 NJU524410:NJU524427 NJU589946:NJU589963 NJU655482:NJU655499 NJU721018:NJU721035 NJU786554:NJU786571 NJU852090:NJU852107 NJU917626:NJU917643 NJU983162:NJU983179 NKA122:NKA139 NKA65658:NKA65675 NKA131194:NKA131211 NKA196730:NKA196747 NKA262266:NKA262283 NKA327802:NKA327819 NKA393338:NKA393355 NKA458874:NKA458891 NKA524410:NKA524427 NKA589946:NKA589963 NKA655482:NKA655499 NKA721018:NKA721035 NKA786554:NKA786571 NKA852090:NKA852107 NKA917626:NKA917643 NKA983162:NKA983179 NTQ122:NTQ139 NTQ65658:NTQ65675 NTQ131194:NTQ131211 NTQ196730:NTQ196747 NTQ262266:NTQ262283 NTQ327802:NTQ327819 NTQ393338:NTQ393355 NTQ458874:NTQ458891 NTQ524410:NTQ524427 NTQ589946:NTQ589963 NTQ655482:NTQ655499 NTQ721018:NTQ721035 NTQ786554:NTQ786571 NTQ852090:NTQ852107 NTQ917626:NTQ917643 NTQ983162:NTQ983179 NTW122:NTW139 NTW65658:NTW65675 NTW131194:NTW131211 NTW196730:NTW196747 NTW262266:NTW262283 NTW327802:NTW327819 NTW393338:NTW393355 NTW458874:NTW458891 NTW524410:NTW524427 NTW589946:NTW589963 NTW655482:NTW655499 NTW721018:NTW721035 NTW786554:NTW786571 NTW852090:NTW852107 NTW917626:NTW917643 NTW983162:NTW983179 ODM122:ODM139 ODM65658:ODM65675 ODM131194:ODM131211 ODM196730:ODM196747 ODM262266:ODM262283 ODM327802:ODM327819 ODM393338:ODM393355 ODM458874:ODM458891 ODM524410:ODM524427 ODM589946:ODM589963 ODM655482:ODM655499 ODM721018:ODM721035 ODM786554:ODM786571 ODM852090:ODM852107 ODM917626:ODM917643 ODM983162:ODM983179 ODS122:ODS139 ODS65658:ODS65675 ODS131194:ODS131211 ODS196730:ODS196747 ODS262266:ODS262283 ODS327802:ODS327819 ODS393338:ODS393355 ODS458874:ODS458891 ODS524410:ODS524427 ODS589946:ODS589963 ODS655482:ODS655499 ODS721018:ODS721035 ODS786554:ODS786571 ODS852090:ODS852107 ODS917626:ODS917643 ODS983162:ODS983179 ONI122:ONI139 ONI65658:ONI65675 ONI131194:ONI131211 ONI196730:ONI196747 ONI262266:ONI262283 ONI327802:ONI327819 ONI393338:ONI393355 ONI458874:ONI458891 ONI524410:ONI524427 ONI589946:ONI589963 ONI655482:ONI655499 ONI721018:ONI721035 ONI786554:ONI786571 ONI852090:ONI852107 ONI917626:ONI917643 ONI983162:ONI983179 ONO122:ONO139 ONO65658:ONO65675 ONO131194:ONO131211 ONO196730:ONO196747 ONO262266:ONO262283 ONO327802:ONO327819 ONO393338:ONO393355 ONO458874:ONO458891 ONO524410:ONO524427 ONO589946:ONO589963 ONO655482:ONO655499 ONO721018:ONO721035 ONO786554:ONO786571 ONO852090:ONO852107 ONO917626:ONO917643 ONO983162:ONO983179 OXE122:OXE139 OXE65658:OXE65675 OXE131194:OXE131211 OXE196730:OXE196747 OXE262266:OXE262283 OXE327802:OXE327819 OXE393338:OXE393355 OXE458874:OXE458891 OXE524410:OXE524427 OXE589946:OXE589963 OXE655482:OXE655499 OXE721018:OXE721035 OXE786554:OXE786571 OXE852090:OXE852107 OXE917626:OXE917643 OXE983162:OXE983179 OXK122:OXK139 OXK65658:OXK65675 OXK131194:OXK131211 OXK196730:OXK196747 OXK262266:OXK262283 OXK327802:OXK327819 OXK393338:OXK393355 OXK458874:OXK458891 OXK524410:OXK524427 OXK589946:OXK589963 OXK655482:OXK655499 OXK721018:OXK721035 OXK786554:OXK786571 OXK852090:OXK852107 OXK917626:OXK917643 OXK983162:OXK983179 PHA122:PHA139 PHA65658:PHA65675 PHA131194:PHA131211 PHA196730:PHA196747 PHA262266:PHA262283 PHA327802:PHA327819 PHA393338:PHA393355 PHA458874:PHA458891 PHA524410:PHA524427 PHA589946:PHA589963 PHA655482:PHA655499 PHA721018:PHA721035 PHA786554:PHA786571 PHA852090:PHA852107 PHA917626:PHA917643 PHA983162:PHA983179 PHG122:PHG139 PHG65658:PHG65675 PHG131194:PHG131211 PHG196730:PHG196747 PHG262266:PHG262283 PHG327802:PHG327819 PHG393338:PHG393355 PHG458874:PHG458891 PHG524410:PHG524427 PHG589946:PHG589963 PHG655482:PHG655499 PHG721018:PHG721035 PHG786554:PHG786571 PHG852090:PHG852107 PHG917626:PHG917643 PHG983162:PHG983179 PQW122:PQW139 PQW65658:PQW65675 PQW131194:PQW131211 PQW196730:PQW196747 PQW262266:PQW262283 PQW327802:PQW327819 PQW393338:PQW393355 PQW458874:PQW458891 PQW524410:PQW524427 PQW589946:PQW589963 PQW655482:PQW655499 PQW721018:PQW721035 PQW786554:PQW786571 PQW852090:PQW852107 PQW917626:PQW917643 PQW983162:PQW983179 PRC122:PRC139 PRC65658:PRC65675 PRC131194:PRC131211 PRC196730:PRC196747 PRC262266:PRC262283 PRC327802:PRC327819 PRC393338:PRC393355 PRC458874:PRC458891 PRC524410:PRC524427 PRC589946:PRC589963 PRC655482:PRC655499 PRC721018:PRC721035 PRC786554:PRC786571 PRC852090:PRC852107 PRC917626:PRC917643 PRC983162:PRC983179 QAS122:QAS139 QAS65658:QAS65675 QAS131194:QAS131211 QAS196730:QAS196747 QAS262266:QAS262283 QAS327802:QAS327819 QAS393338:QAS393355 QAS458874:QAS458891 QAS524410:QAS524427 QAS589946:QAS589963 QAS655482:QAS655499 QAS721018:QAS721035 QAS786554:QAS786571 QAS852090:QAS852107 QAS917626:QAS917643 QAS983162:QAS983179 QAY122:QAY139 QAY65658:QAY65675 QAY131194:QAY131211 QAY196730:QAY196747 QAY262266:QAY262283 QAY327802:QAY327819 QAY393338:QAY393355 QAY458874:QAY458891 QAY524410:QAY524427 QAY589946:QAY589963 QAY655482:QAY655499 QAY721018:QAY721035 QAY786554:QAY786571 QAY852090:QAY852107 QAY917626:QAY917643 QAY983162:QAY983179 QKO122:QKO139 QKO65658:QKO65675 QKO131194:QKO131211 QKO196730:QKO196747 QKO262266:QKO262283 QKO327802:QKO327819 QKO393338:QKO393355 QKO458874:QKO458891 QKO524410:QKO524427 QKO589946:QKO589963 QKO655482:QKO655499 QKO721018:QKO721035 QKO786554:QKO786571 QKO852090:QKO852107 QKO917626:QKO917643 QKO983162:QKO983179 QKU122:QKU139 QKU65658:QKU65675 QKU131194:QKU131211 QKU196730:QKU196747 QKU262266:QKU262283 QKU327802:QKU327819 QKU393338:QKU393355 QKU458874:QKU458891 QKU524410:QKU524427 QKU589946:QKU589963 QKU655482:QKU655499 QKU721018:QKU721035 QKU786554:QKU786571 QKU852090:QKU852107 QKU917626:QKU917643 QKU983162:QKU983179 QUK122:QUK139 QUK65658:QUK65675 QUK131194:QUK131211 QUK196730:QUK196747 QUK262266:QUK262283 QUK327802:QUK327819 QUK393338:QUK393355 QUK458874:QUK458891 QUK524410:QUK524427 QUK589946:QUK589963 QUK655482:QUK655499 QUK721018:QUK721035 QUK786554:QUK786571 QUK852090:QUK852107 QUK917626:QUK917643 QUK983162:QUK983179 QUQ122:QUQ139 QUQ65658:QUQ65675 QUQ131194:QUQ131211 QUQ196730:QUQ196747 QUQ262266:QUQ262283 QUQ327802:QUQ327819 QUQ393338:QUQ393355 QUQ458874:QUQ458891 QUQ524410:QUQ524427 QUQ589946:QUQ589963 QUQ655482:QUQ655499 QUQ721018:QUQ721035 QUQ786554:QUQ786571 QUQ852090:QUQ852107 QUQ917626:QUQ917643 QUQ983162:QUQ983179 REG122:REG139 REG65658:REG65675 REG131194:REG131211 REG196730:REG196747 REG262266:REG262283 REG327802:REG327819 REG393338:REG393355 REG458874:REG458891 REG524410:REG524427 REG589946:REG589963 REG655482:REG655499 REG721018:REG721035 REG786554:REG786571 REG852090:REG852107 REG917626:REG917643 REG983162:REG983179 REM122:REM139 REM65658:REM65675 REM131194:REM131211 REM196730:REM196747 REM262266:REM262283 REM327802:REM327819 REM393338:REM393355 REM458874:REM458891 REM524410:REM524427 REM589946:REM589963 REM655482:REM655499 REM721018:REM721035 REM786554:REM786571 REM852090:REM852107 REM917626:REM917643 REM983162:REM983179 ROC122:ROC139 ROC65658:ROC65675 ROC131194:ROC131211 ROC196730:ROC196747 ROC262266:ROC262283 ROC327802:ROC327819 ROC393338:ROC393355 ROC458874:ROC458891 ROC524410:ROC524427 ROC589946:ROC589963 ROC655482:ROC655499 ROC721018:ROC721035 ROC786554:ROC786571 ROC852090:ROC852107 ROC917626:ROC917643 ROC983162:ROC983179 ROI122:ROI139 ROI65658:ROI65675 ROI131194:ROI131211 ROI196730:ROI196747 ROI262266:ROI262283 ROI327802:ROI327819 ROI393338:ROI393355 ROI458874:ROI458891 ROI524410:ROI524427 ROI589946:ROI589963 ROI655482:ROI655499 ROI721018:ROI721035 ROI786554:ROI786571 ROI852090:ROI852107 ROI917626:ROI917643 ROI983162:ROI983179 RXY122:RXY139 RXY65658:RXY65675 RXY131194:RXY131211 RXY196730:RXY196747 RXY262266:RXY262283 RXY327802:RXY327819 RXY393338:RXY393355 RXY458874:RXY458891 RXY524410:RXY524427 RXY589946:RXY589963 RXY655482:RXY655499 RXY721018:RXY721035 RXY786554:RXY786571 RXY852090:RXY852107 RXY917626:RXY917643 RXY983162:RXY983179 RYE122:RYE139 RYE65658:RYE65675 RYE131194:RYE131211 RYE196730:RYE196747 RYE262266:RYE262283 RYE327802:RYE327819 RYE393338:RYE393355 RYE458874:RYE458891 RYE524410:RYE524427 RYE589946:RYE589963 RYE655482:RYE655499 RYE721018:RYE721035 RYE786554:RYE786571 RYE852090:RYE852107 RYE917626:RYE917643 RYE983162:RYE983179 SHU122:SHU139 SHU65658:SHU65675 SHU131194:SHU131211 SHU196730:SHU196747 SHU262266:SHU262283 SHU327802:SHU327819 SHU393338:SHU393355 SHU458874:SHU458891 SHU524410:SHU524427 SHU589946:SHU589963 SHU655482:SHU655499 SHU721018:SHU721035 SHU786554:SHU786571 SHU852090:SHU852107 SHU917626:SHU917643 SHU983162:SHU983179 SIA122:SIA139 SIA65658:SIA65675 SIA131194:SIA131211 SIA196730:SIA196747 SIA262266:SIA262283 SIA327802:SIA327819 SIA393338:SIA393355 SIA458874:SIA458891 SIA524410:SIA524427 SIA589946:SIA589963 SIA655482:SIA655499 SIA721018:SIA721035 SIA786554:SIA786571 SIA852090:SIA852107 SIA917626:SIA917643 SIA983162:SIA983179 SRQ122:SRQ139 SRQ65658:SRQ65675 SRQ131194:SRQ131211 SRQ196730:SRQ196747 SRQ262266:SRQ262283 SRQ327802:SRQ327819 SRQ393338:SRQ393355 SRQ458874:SRQ458891 SRQ524410:SRQ524427 SRQ589946:SRQ589963 SRQ655482:SRQ655499 SRQ721018:SRQ721035 SRQ786554:SRQ786571 SRQ852090:SRQ852107 SRQ917626:SRQ917643 SRQ983162:SRQ983179 SRW122:SRW139 SRW65658:SRW65675 SRW131194:SRW131211 SRW196730:SRW196747 SRW262266:SRW262283 SRW327802:SRW327819 SRW393338:SRW393355 SRW458874:SRW458891 SRW524410:SRW524427 SRW589946:SRW589963 SRW655482:SRW655499 SRW721018:SRW721035 SRW786554:SRW786571 SRW852090:SRW852107 SRW917626:SRW917643 SRW983162:SRW983179 TBM122:TBM139 TBM65658:TBM65675 TBM131194:TBM131211 TBM196730:TBM196747 TBM262266:TBM262283 TBM327802:TBM327819 TBM393338:TBM393355 TBM458874:TBM458891 TBM524410:TBM524427 TBM589946:TBM589963 TBM655482:TBM655499 TBM721018:TBM721035 TBM786554:TBM786571 TBM852090:TBM852107 TBM917626:TBM917643 TBM983162:TBM983179 TBS122:TBS139 TBS65658:TBS65675 TBS131194:TBS131211 TBS196730:TBS196747 TBS262266:TBS262283 TBS327802:TBS327819 TBS393338:TBS393355 TBS458874:TBS458891 TBS524410:TBS524427 TBS589946:TBS589963 TBS655482:TBS655499 TBS721018:TBS721035 TBS786554:TBS786571 TBS852090:TBS852107 TBS917626:TBS917643 TBS983162:TBS983179 TLI122:TLI139 TLI65658:TLI65675 TLI131194:TLI131211 TLI196730:TLI196747 TLI262266:TLI262283 TLI327802:TLI327819 TLI393338:TLI393355 TLI458874:TLI458891 TLI524410:TLI524427 TLI589946:TLI589963 TLI655482:TLI655499 TLI721018:TLI721035 TLI786554:TLI786571 TLI852090:TLI852107 TLI917626:TLI917643 TLI983162:TLI983179 TLO122:TLO139 TLO65658:TLO65675 TLO131194:TLO131211 TLO196730:TLO196747 TLO262266:TLO262283 TLO327802:TLO327819 TLO393338:TLO393355 TLO458874:TLO458891 TLO524410:TLO524427 TLO589946:TLO589963 TLO655482:TLO655499 TLO721018:TLO721035 TLO786554:TLO786571 TLO852090:TLO852107 TLO917626:TLO917643 TLO983162:TLO983179 TVE122:TVE139 TVE65658:TVE65675 TVE131194:TVE131211 TVE196730:TVE196747 TVE262266:TVE262283 TVE327802:TVE327819 TVE393338:TVE393355 TVE458874:TVE458891 TVE524410:TVE524427 TVE589946:TVE589963 TVE655482:TVE655499 TVE721018:TVE721035 TVE786554:TVE786571 TVE852090:TVE852107 TVE917626:TVE917643 TVE983162:TVE983179 TVK122:TVK139 TVK65658:TVK65675 TVK131194:TVK131211 TVK196730:TVK196747 TVK262266:TVK262283 TVK327802:TVK327819 TVK393338:TVK393355 TVK458874:TVK458891 TVK524410:TVK524427 TVK589946:TVK589963 TVK655482:TVK655499 TVK721018:TVK721035 TVK786554:TVK786571 TVK852090:TVK852107 TVK917626:TVK917643 TVK983162:TVK983179 UFA122:UFA139 UFA65658:UFA65675 UFA131194:UFA131211 UFA196730:UFA196747 UFA262266:UFA262283 UFA327802:UFA327819 UFA393338:UFA393355 UFA458874:UFA458891 UFA524410:UFA524427 UFA589946:UFA589963 UFA655482:UFA655499 UFA721018:UFA721035 UFA786554:UFA786571 UFA852090:UFA852107 UFA917626:UFA917643 UFA983162:UFA983179 UFG122:UFG139 UFG65658:UFG65675 UFG131194:UFG131211 UFG196730:UFG196747 UFG262266:UFG262283 UFG327802:UFG327819 UFG393338:UFG393355 UFG458874:UFG458891 UFG524410:UFG524427 UFG589946:UFG589963 UFG655482:UFG655499 UFG721018:UFG721035 UFG786554:UFG786571 UFG852090:UFG852107 UFG917626:UFG917643 UFG983162:UFG983179 UOW122:UOW139 UOW65658:UOW65675 UOW131194:UOW131211 UOW196730:UOW196747 UOW262266:UOW262283 UOW327802:UOW327819 UOW393338:UOW393355 UOW458874:UOW458891 UOW524410:UOW524427 UOW589946:UOW589963 UOW655482:UOW655499 UOW721018:UOW721035 UOW786554:UOW786571 UOW852090:UOW852107 UOW917626:UOW917643 UOW983162:UOW983179 UPC122:UPC139 UPC65658:UPC65675 UPC131194:UPC131211 UPC196730:UPC196747 UPC262266:UPC262283 UPC327802:UPC327819 UPC393338:UPC393355 UPC458874:UPC458891 UPC524410:UPC524427 UPC589946:UPC589963 UPC655482:UPC655499 UPC721018:UPC721035 UPC786554:UPC786571 UPC852090:UPC852107 UPC917626:UPC917643 UPC983162:UPC983179 UYS122:UYS139 UYS65658:UYS65675 UYS131194:UYS131211 UYS196730:UYS196747 UYS262266:UYS262283 UYS327802:UYS327819 UYS393338:UYS393355 UYS458874:UYS458891 UYS524410:UYS524427 UYS589946:UYS589963 UYS655482:UYS655499 UYS721018:UYS721035 UYS786554:UYS786571 UYS852090:UYS852107 UYS917626:UYS917643 UYS983162:UYS983179 UYY122:UYY139 UYY65658:UYY65675 UYY131194:UYY131211 UYY196730:UYY196747 UYY262266:UYY262283 UYY327802:UYY327819 UYY393338:UYY393355 UYY458874:UYY458891 UYY524410:UYY524427 UYY589946:UYY589963 UYY655482:UYY655499 UYY721018:UYY721035 UYY786554:UYY786571 UYY852090:UYY852107 UYY917626:UYY917643 UYY983162:UYY983179 VIO122:VIO139 VIO65658:VIO65675 VIO131194:VIO131211 VIO196730:VIO196747 VIO262266:VIO262283 VIO327802:VIO327819 VIO393338:VIO393355 VIO458874:VIO458891 VIO524410:VIO524427 VIO589946:VIO589963 VIO655482:VIO655499 VIO721018:VIO721035 VIO786554:VIO786571 VIO852090:VIO852107 VIO917626:VIO917643 VIO983162:VIO983179 VIU122:VIU139 VIU65658:VIU65675 VIU131194:VIU131211 VIU196730:VIU196747 VIU262266:VIU262283 VIU327802:VIU327819 VIU393338:VIU393355 VIU458874:VIU458891 VIU524410:VIU524427 VIU589946:VIU589963 VIU655482:VIU655499 VIU721018:VIU721035 VIU786554:VIU786571 VIU852090:VIU852107 VIU917626:VIU917643 VIU983162:VIU983179 VSK122:VSK139 VSK65658:VSK65675 VSK131194:VSK131211 VSK196730:VSK196747 VSK262266:VSK262283 VSK327802:VSK327819 VSK393338:VSK393355 VSK458874:VSK458891 VSK524410:VSK524427 VSK589946:VSK589963 VSK655482:VSK655499 VSK721018:VSK721035 VSK786554:VSK786571 VSK852090:VSK852107 VSK917626:VSK917643 VSK983162:VSK983179 VSQ122:VSQ139 VSQ65658:VSQ65675 VSQ131194:VSQ131211 VSQ196730:VSQ196747 VSQ262266:VSQ262283 VSQ327802:VSQ327819 VSQ393338:VSQ393355 VSQ458874:VSQ458891 VSQ524410:VSQ524427 VSQ589946:VSQ589963 VSQ655482:VSQ655499 VSQ721018:VSQ721035 VSQ786554:VSQ786571 VSQ852090:VSQ852107 VSQ917626:VSQ917643 VSQ983162:VSQ983179 WCG122:WCG139 WCG65658:WCG65675 WCG131194:WCG131211 WCG196730:WCG196747 WCG262266:WCG262283 WCG327802:WCG327819 WCG393338:WCG393355 WCG458874:WCG458891 WCG524410:WCG524427 WCG589946:WCG589963 WCG655482:WCG655499 WCG721018:WCG721035 WCG786554:WCG786571 WCG852090:WCG852107 WCG917626:WCG917643 WCG983162:WCG983179 WCM122:WCM139 WCM65658:WCM65675 WCM131194:WCM131211 WCM196730:WCM196747 WCM262266:WCM262283 WCM327802:WCM327819 WCM393338:WCM393355 WCM458874:WCM458891 WCM524410:WCM524427 WCM589946:WCM589963 WCM655482:WCM655499 WCM721018:WCM721035 WCM786554:WCM786571 WCM852090:WCM852107 WCM917626:WCM917643 WCM983162:WCM983179 WMC122:WMC139 WMC65658:WMC65675 WMC131194:WMC131211 WMC196730:WMC196747 WMC262266:WMC262283 WMC327802:WMC327819 WMC393338:WMC393355 WMC458874:WMC458891 WMC524410:WMC524427 WMC589946:WMC589963 WMC655482:WMC655499 WMC721018:WMC721035 WMC786554:WMC786571 WMC852090:WMC852107 WMC917626:WMC917643 WMC983162:WMC983179 WMI122:WMI139 WMI65658:WMI65675 WMI131194:WMI131211 WMI196730:WMI196747 WMI262266:WMI262283 WMI327802:WMI327819 WMI393338:WMI393355 WMI458874:WMI458891 WMI524410:WMI524427 WMI589946:WMI589963 WMI655482:WMI655499 WMI721018:WMI721035 WMI786554:WMI786571 WMI852090:WMI852107 WMI917626:WMI917643 WMI983162:WMI983179 WVY122:WVY139 WVY65658:WVY65675 WVY131194:WVY131211 WVY196730:WVY196747 WVY262266:WVY262283 WVY327802:WVY327819 WVY393338:WVY393355 WVY458874:WVY458891 WVY524410:WVY524427 WVY589946:WVY589963 WVY655482:WVY655499 WVY721018:WVY721035 WVY786554:WVY786571 WVY852090:WVY852107 WVY917626:WVY917643 WVY983162:WVY983179 WWE122:WWE139 WWE65658:WWE65675 WWE131194:WWE131211 WWE196730:WWE196747 WWE262266:WWE262283 WWE327802:WWE327819 WWE393338:WWE393355 WWE458874:WWE458891 WWE524410:WWE524427 WWE589946:WWE589963 WWE655482:WWE655499 WWE721018:WWE721035 WWE786554:WWE786571 WWE852090:WWE852107 WWE917626:WWE917643 WWE983162:WWE983179">
      <formula1>"I,U"</formula1>
    </dataValidation>
    <dataValidation type="list" allowBlank="1" showInputMessage="1" showErrorMessage="1" sqref="Y142:Z144 JU142:JV144 TQ142:TR144 ADM142:ADN144 ANI142:ANJ144 AXE142:AXF144 BHA142:BHB144 BQW142:BQX144 CAS142:CAT144 CKO142:CKP144 CUK142:CUL144 DEG142:DEH144 DOC142:DOD144 DXY142:DXZ144 EHU142:EHV144 ERQ142:ERR144 FBM142:FBN144 FLI142:FLJ144 FVE142:FVF144 GFA142:GFB144 GOW142:GOX144 GYS142:GYT144 HIO142:HIP144 HSK142:HSL144 ICG142:ICH144 IMC142:IMD144 IVY142:IVZ144 JFU142:JFV144 JPQ142:JPR144 JZM142:JZN144 KJI142:KJJ144 KTE142:KTF144 LDA142:LDB144 LMW142:LMX144 LWS142:LWT144 MGO142:MGP144 MQK142:MQL144 NAG142:NAH144 NKC142:NKD144 NTY142:NTZ144 ODU142:ODV144 ONQ142:ONR144 OXM142:OXN144 PHI142:PHJ144 PRE142:PRF144 QBA142:QBB144 QKW142:QKX144 QUS142:QUT144 REO142:REP144 ROK142:ROL144 RYG142:RYH144 SIC142:SID144 SRY142:SRZ144 TBU142:TBV144 TLQ142:TLR144 TVM142:TVN144 UFI142:UFJ144 UPE142:UPF144 UZA142:UZB144 VIW142:VIX144 VSS142:VST144 WCO142:WCP144 WMK142:WML144 WWG142:WWH144 Y196750:Z196752 JU196750:JV196752 TQ196750:TR196752 ADM196750:ADN196752 ANI196750:ANJ196752 AXE196750:AXF196752 BHA196750:BHB196752 BQW196750:BQX196752 CAS196750:CAT196752 CKO196750:CKP196752 CUK196750:CUL196752 DEG196750:DEH196752 DOC196750:DOD196752 DXY196750:DXZ196752 EHU196750:EHV196752 ERQ196750:ERR196752 FBM196750:FBN196752 FLI196750:FLJ196752 FVE196750:FVF196752 GFA196750:GFB196752 GOW196750:GOX196752 GYS196750:GYT196752 HIO196750:HIP196752 HSK196750:HSL196752 ICG196750:ICH196752 IMC196750:IMD196752 IVY196750:IVZ196752 JFU196750:JFV196752 JPQ196750:JPR196752 JZM196750:JZN196752 KJI196750:KJJ196752 KTE196750:KTF196752 LDA196750:LDB196752 LMW196750:LMX196752 LWS196750:LWT196752 MGO196750:MGP196752 MQK196750:MQL196752 NAG196750:NAH196752 NKC196750:NKD196752 NTY196750:NTZ196752 ODU196750:ODV196752 ONQ196750:ONR196752 OXM196750:OXN196752 PHI196750:PHJ196752 PRE196750:PRF196752 QBA196750:QBB196752 QKW196750:QKX196752 QUS196750:QUT196752 REO196750:REP196752 ROK196750:ROL196752 RYG196750:RYH196752 SIC196750:SID196752 SRY196750:SRZ196752 TBU196750:TBV196752 TLQ196750:TLR196752 TVM196750:TVN196752 UFI196750:UFJ196752 UPE196750:UPF196752 UZA196750:UZB196752 VIW196750:VIX196752 VSS196750:VST196752 WCO196750:WCP196752 WMK196750:WML196752 WWG196750:WWH196752 Y393358:Z393360 JU393358:JV393360 TQ393358:TR393360 ADM393358:ADN393360 ANI393358:ANJ393360 AXE393358:AXF393360 BHA393358:BHB393360 BQW393358:BQX393360 CAS393358:CAT393360 CKO393358:CKP393360 CUK393358:CUL393360 DEG393358:DEH393360 DOC393358:DOD393360 DXY393358:DXZ393360 EHU393358:EHV393360 ERQ393358:ERR393360 FBM393358:FBN393360 FLI393358:FLJ393360 FVE393358:FVF393360 GFA393358:GFB393360 GOW393358:GOX393360 GYS393358:GYT393360 HIO393358:HIP393360 HSK393358:HSL393360 ICG393358:ICH393360 IMC393358:IMD393360 IVY393358:IVZ393360 JFU393358:JFV393360 JPQ393358:JPR393360 JZM393358:JZN393360 KJI393358:KJJ393360 KTE393358:KTF393360 LDA393358:LDB393360 LMW393358:LMX393360 LWS393358:LWT393360 MGO393358:MGP393360 MQK393358:MQL393360 NAG393358:NAH393360 NKC393358:NKD393360 NTY393358:NTZ393360 ODU393358:ODV393360 ONQ393358:ONR393360 OXM393358:OXN393360 PHI393358:PHJ393360 PRE393358:PRF393360 QBA393358:QBB393360 QKW393358:QKX393360 QUS393358:QUT393360 REO393358:REP393360 ROK393358:ROL393360 RYG393358:RYH393360 SIC393358:SID393360 SRY393358:SRZ393360 TBU393358:TBV393360 TLQ393358:TLR393360 TVM393358:TVN393360 UFI393358:UFJ393360 UPE393358:UPF393360 UZA393358:UZB393360 VIW393358:VIX393360 VSS393358:VST393360 WCO393358:WCP393360 WMK393358:WML393360 WWG393358:WWH393360 Y589966:Z589968 JU589966:JV589968 TQ589966:TR589968 ADM589966:ADN589968 ANI589966:ANJ589968 AXE589966:AXF589968 BHA589966:BHB589968 BQW589966:BQX589968 CAS589966:CAT589968 CKO589966:CKP589968 CUK589966:CUL589968 DEG589966:DEH589968 DOC589966:DOD589968 DXY589966:DXZ589968 EHU589966:EHV589968 ERQ589966:ERR589968 FBM589966:FBN589968 FLI589966:FLJ589968 FVE589966:FVF589968 GFA589966:GFB589968 GOW589966:GOX589968 GYS589966:GYT589968 HIO589966:HIP589968 HSK589966:HSL589968 ICG589966:ICH589968 IMC589966:IMD589968 IVY589966:IVZ589968 JFU589966:JFV589968 JPQ589966:JPR589968 JZM589966:JZN589968 KJI589966:KJJ589968 KTE589966:KTF589968 LDA589966:LDB589968 LMW589966:LMX589968 LWS589966:LWT589968 MGO589966:MGP589968 MQK589966:MQL589968 NAG589966:NAH589968 NKC589966:NKD589968 NTY589966:NTZ589968 ODU589966:ODV589968 ONQ589966:ONR589968 OXM589966:OXN589968 PHI589966:PHJ589968 PRE589966:PRF589968 QBA589966:QBB589968 QKW589966:QKX589968 QUS589966:QUT589968 REO589966:REP589968 ROK589966:ROL589968 RYG589966:RYH589968 SIC589966:SID589968 SRY589966:SRZ589968 TBU589966:TBV589968 TLQ589966:TLR589968 TVM589966:TVN589968 UFI589966:UFJ589968 UPE589966:UPF589968 UZA589966:UZB589968 VIW589966:VIX589968 VSS589966:VST589968 WCO589966:WCP589968 WMK589966:WML589968 WWG589966:WWH589968 Y786574:Z786576 JU786574:JV786576 TQ786574:TR786576 ADM786574:ADN786576 ANI786574:ANJ786576 AXE786574:AXF786576 BHA786574:BHB786576 BQW786574:BQX786576 CAS786574:CAT786576 CKO786574:CKP786576 CUK786574:CUL786576 DEG786574:DEH786576 DOC786574:DOD786576 DXY786574:DXZ786576 EHU786574:EHV786576 ERQ786574:ERR786576 FBM786574:FBN786576 FLI786574:FLJ786576 FVE786574:FVF786576 GFA786574:GFB786576 GOW786574:GOX786576 GYS786574:GYT786576 HIO786574:HIP786576 HSK786574:HSL786576 ICG786574:ICH786576 IMC786574:IMD786576 IVY786574:IVZ786576 JFU786574:JFV786576 JPQ786574:JPR786576 JZM786574:JZN786576 KJI786574:KJJ786576 KTE786574:KTF786576 LDA786574:LDB786576 LMW786574:LMX786576 LWS786574:LWT786576 MGO786574:MGP786576 MQK786574:MQL786576 NAG786574:NAH786576 NKC786574:NKD786576 NTY786574:NTZ786576 ODU786574:ODV786576 ONQ786574:ONR786576 OXM786574:OXN786576 PHI786574:PHJ786576 PRE786574:PRF786576 QBA786574:QBB786576 QKW786574:QKX786576 QUS786574:QUT786576 REO786574:REP786576 ROK786574:ROL786576 RYG786574:RYH786576 SIC786574:SID786576 SRY786574:SRZ786576 TBU786574:TBV786576 TLQ786574:TLR786576 TVM786574:TVN786576 UFI786574:UFJ786576 UPE786574:UPF786576 UZA786574:UZB786576 VIW786574:VIX786576 VSS786574:VST786576 WCO786574:WCP786576 WMK786574:WML786576 WWG786574:WWH786576 Y983182:Z983184 JU983182:JV983184 TQ983182:TR983184 ADM983182:ADN983184 ANI983182:ANJ983184 AXE983182:AXF983184 BHA983182:BHB983184 BQW983182:BQX983184 CAS983182:CAT983184 CKO983182:CKP983184 CUK983182:CUL983184 DEG983182:DEH983184 DOC983182:DOD983184 DXY983182:DXZ983184 EHU983182:EHV983184 ERQ983182:ERR983184 FBM983182:FBN983184 FLI983182:FLJ983184 FVE983182:FVF983184 GFA983182:GFB983184 GOW983182:GOX983184 GYS983182:GYT983184 HIO983182:HIP983184 HSK983182:HSL983184 ICG983182:ICH983184 IMC983182:IMD983184 IVY983182:IVZ983184 JFU983182:JFV983184 JPQ983182:JPR983184 JZM983182:JZN983184 KJI983182:KJJ983184 KTE983182:KTF983184 LDA983182:LDB983184 LMW983182:LMX983184 LWS983182:LWT983184 MGO983182:MGP983184 MQK983182:MQL983184 NAG983182:NAH983184 NKC983182:NKD983184 NTY983182:NTZ983184 ODU983182:ODV983184 ONQ983182:ONR983184 OXM983182:OXN983184 PHI983182:PHJ983184 PRE983182:PRF983184 QBA983182:QBB983184 QKW983182:QKX983184 QUS983182:QUT983184 REO983182:REP983184 ROK983182:ROL983184 RYG983182:RYH983184 SIC983182:SID983184 SRY983182:SRZ983184 TBU983182:TBV983184 TLQ983182:TLR983184 TVM983182:TVN983184 UFI983182:UFJ983184 UPE983182:UPF983184 UZA983182:UZB983184 VIW983182:VIX983184 VSS983182:VST983184 WCO983182:WCP983184 WMK983182:WML983184 WWG983182:WWH983184 Y131214:Z131216 JU131214:JV131216 TQ131214:TR131216 ADM131214:ADN131216 ANI131214:ANJ131216 AXE131214:AXF131216 BHA131214:BHB131216 BQW131214:BQX131216 CAS131214:CAT131216 CKO131214:CKP131216 CUK131214:CUL131216 DEG131214:DEH131216 DOC131214:DOD131216 DXY131214:DXZ131216 EHU131214:EHV131216 ERQ131214:ERR131216 FBM131214:FBN131216 FLI131214:FLJ131216 FVE131214:FVF131216 GFA131214:GFB131216 GOW131214:GOX131216 GYS131214:GYT131216 HIO131214:HIP131216 HSK131214:HSL131216 ICG131214:ICH131216 IMC131214:IMD131216 IVY131214:IVZ131216 JFU131214:JFV131216 JPQ131214:JPR131216 JZM131214:JZN131216 KJI131214:KJJ131216 KTE131214:KTF131216 LDA131214:LDB131216 LMW131214:LMX131216 LWS131214:LWT131216 MGO131214:MGP131216 MQK131214:MQL131216 NAG131214:NAH131216 NKC131214:NKD131216 NTY131214:NTZ131216 ODU131214:ODV131216 ONQ131214:ONR131216 OXM131214:OXN131216 PHI131214:PHJ131216 PRE131214:PRF131216 QBA131214:QBB131216 QKW131214:QKX131216 QUS131214:QUT131216 REO131214:REP131216 ROK131214:ROL131216 RYG131214:RYH131216 SIC131214:SID131216 SRY131214:SRZ131216 TBU131214:TBV131216 TLQ131214:TLR131216 TVM131214:TVN131216 UFI131214:UFJ131216 UPE131214:UPF131216 UZA131214:UZB131216 VIW131214:VIX131216 VSS131214:VST131216 WCO131214:WCP131216 WMK131214:WML131216 WWG131214:WWH131216 Y327822:Z327824 JU327822:JV327824 TQ327822:TR327824 ADM327822:ADN327824 ANI327822:ANJ327824 AXE327822:AXF327824 BHA327822:BHB327824 BQW327822:BQX327824 CAS327822:CAT327824 CKO327822:CKP327824 CUK327822:CUL327824 DEG327822:DEH327824 DOC327822:DOD327824 DXY327822:DXZ327824 EHU327822:EHV327824 ERQ327822:ERR327824 FBM327822:FBN327824 FLI327822:FLJ327824 FVE327822:FVF327824 GFA327822:GFB327824 GOW327822:GOX327824 GYS327822:GYT327824 HIO327822:HIP327824 HSK327822:HSL327824 ICG327822:ICH327824 IMC327822:IMD327824 IVY327822:IVZ327824 JFU327822:JFV327824 JPQ327822:JPR327824 JZM327822:JZN327824 KJI327822:KJJ327824 KTE327822:KTF327824 LDA327822:LDB327824 LMW327822:LMX327824 LWS327822:LWT327824 MGO327822:MGP327824 MQK327822:MQL327824 NAG327822:NAH327824 NKC327822:NKD327824 NTY327822:NTZ327824 ODU327822:ODV327824 ONQ327822:ONR327824 OXM327822:OXN327824 PHI327822:PHJ327824 PRE327822:PRF327824 QBA327822:QBB327824 QKW327822:QKX327824 QUS327822:QUT327824 REO327822:REP327824 ROK327822:ROL327824 RYG327822:RYH327824 SIC327822:SID327824 SRY327822:SRZ327824 TBU327822:TBV327824 TLQ327822:TLR327824 TVM327822:TVN327824 UFI327822:UFJ327824 UPE327822:UPF327824 UZA327822:UZB327824 VIW327822:VIX327824 VSS327822:VST327824 WCO327822:WCP327824 WMK327822:WML327824 WWG327822:WWH327824 Y524430:Z524432 JU524430:JV524432 TQ524430:TR524432 ADM524430:ADN524432 ANI524430:ANJ524432 AXE524430:AXF524432 BHA524430:BHB524432 BQW524430:BQX524432 CAS524430:CAT524432 CKO524430:CKP524432 CUK524430:CUL524432 DEG524430:DEH524432 DOC524430:DOD524432 DXY524430:DXZ524432 EHU524430:EHV524432 ERQ524430:ERR524432 FBM524430:FBN524432 FLI524430:FLJ524432 FVE524430:FVF524432 GFA524430:GFB524432 GOW524430:GOX524432 GYS524430:GYT524432 HIO524430:HIP524432 HSK524430:HSL524432 ICG524430:ICH524432 IMC524430:IMD524432 IVY524430:IVZ524432 JFU524430:JFV524432 JPQ524430:JPR524432 JZM524430:JZN524432 KJI524430:KJJ524432 KTE524430:KTF524432 LDA524430:LDB524432 LMW524430:LMX524432 LWS524430:LWT524432 MGO524430:MGP524432 MQK524430:MQL524432 NAG524430:NAH524432 NKC524430:NKD524432 NTY524430:NTZ524432 ODU524430:ODV524432 ONQ524430:ONR524432 OXM524430:OXN524432 PHI524430:PHJ524432 PRE524430:PRF524432 QBA524430:QBB524432 QKW524430:QKX524432 QUS524430:QUT524432 REO524430:REP524432 ROK524430:ROL524432 RYG524430:RYH524432 SIC524430:SID524432 SRY524430:SRZ524432 TBU524430:TBV524432 TLQ524430:TLR524432 TVM524430:TVN524432 UFI524430:UFJ524432 UPE524430:UPF524432 UZA524430:UZB524432 VIW524430:VIX524432 VSS524430:VST524432 WCO524430:WCP524432 WMK524430:WML524432 WWG524430:WWH524432 Y721038:Z721040 JU721038:JV721040 TQ721038:TR721040 ADM721038:ADN721040 ANI721038:ANJ721040 AXE721038:AXF721040 BHA721038:BHB721040 BQW721038:BQX721040 CAS721038:CAT721040 CKO721038:CKP721040 CUK721038:CUL721040 DEG721038:DEH721040 DOC721038:DOD721040 DXY721038:DXZ721040 EHU721038:EHV721040 ERQ721038:ERR721040 FBM721038:FBN721040 FLI721038:FLJ721040 FVE721038:FVF721040 GFA721038:GFB721040 GOW721038:GOX721040 GYS721038:GYT721040 HIO721038:HIP721040 HSK721038:HSL721040 ICG721038:ICH721040 IMC721038:IMD721040 IVY721038:IVZ721040 JFU721038:JFV721040 JPQ721038:JPR721040 JZM721038:JZN721040 KJI721038:KJJ721040 KTE721038:KTF721040 LDA721038:LDB721040 LMW721038:LMX721040 LWS721038:LWT721040 MGO721038:MGP721040 MQK721038:MQL721040 NAG721038:NAH721040 NKC721038:NKD721040 NTY721038:NTZ721040 ODU721038:ODV721040 ONQ721038:ONR721040 OXM721038:OXN721040 PHI721038:PHJ721040 PRE721038:PRF721040 QBA721038:QBB721040 QKW721038:QKX721040 QUS721038:QUT721040 REO721038:REP721040 ROK721038:ROL721040 RYG721038:RYH721040 SIC721038:SID721040 SRY721038:SRZ721040 TBU721038:TBV721040 TLQ721038:TLR721040 TVM721038:TVN721040 UFI721038:UFJ721040 UPE721038:UPF721040 UZA721038:UZB721040 VIW721038:VIX721040 VSS721038:VST721040 WCO721038:WCP721040 WMK721038:WML721040 WWG721038:WWH721040 Y917646:Z917648 JU917646:JV917648 TQ917646:TR917648 ADM917646:ADN917648 ANI917646:ANJ917648 AXE917646:AXF917648 BHA917646:BHB917648 BQW917646:BQX917648 CAS917646:CAT917648 CKO917646:CKP917648 CUK917646:CUL917648 DEG917646:DEH917648 DOC917646:DOD917648 DXY917646:DXZ917648 EHU917646:EHV917648 ERQ917646:ERR917648 FBM917646:FBN917648 FLI917646:FLJ917648 FVE917646:FVF917648 GFA917646:GFB917648 GOW917646:GOX917648 GYS917646:GYT917648 HIO917646:HIP917648 HSK917646:HSL917648 ICG917646:ICH917648 IMC917646:IMD917648 IVY917646:IVZ917648 JFU917646:JFV917648 JPQ917646:JPR917648 JZM917646:JZN917648 KJI917646:KJJ917648 KTE917646:KTF917648 LDA917646:LDB917648 LMW917646:LMX917648 LWS917646:LWT917648 MGO917646:MGP917648 MQK917646:MQL917648 NAG917646:NAH917648 NKC917646:NKD917648 NTY917646:NTZ917648 ODU917646:ODV917648 ONQ917646:ONR917648 OXM917646:OXN917648 PHI917646:PHJ917648 PRE917646:PRF917648 QBA917646:QBB917648 QKW917646:QKX917648 QUS917646:QUT917648 REO917646:REP917648 ROK917646:ROL917648 RYG917646:RYH917648 SIC917646:SID917648 SRY917646:SRZ917648 TBU917646:TBV917648 TLQ917646:TLR917648 TVM917646:TVN917648 UFI917646:UFJ917648 UPE917646:UPF917648 UZA917646:UZB917648 VIW917646:VIX917648 VSS917646:VST917648 WCO917646:WCP917648 WMK917646:WML917648 WWG917646:WWH917648 Y65678:Z65680 JU65678:JV65680 TQ65678:TR65680 ADM65678:ADN65680 ANI65678:ANJ65680 AXE65678:AXF65680 BHA65678:BHB65680 BQW65678:BQX65680 CAS65678:CAT65680 CKO65678:CKP65680 CUK65678:CUL65680 DEG65678:DEH65680 DOC65678:DOD65680 DXY65678:DXZ65680 EHU65678:EHV65680 ERQ65678:ERR65680 FBM65678:FBN65680 FLI65678:FLJ65680 FVE65678:FVF65680 GFA65678:GFB65680 GOW65678:GOX65680 GYS65678:GYT65680 HIO65678:HIP65680 HSK65678:HSL65680 ICG65678:ICH65680 IMC65678:IMD65680 IVY65678:IVZ65680 JFU65678:JFV65680 JPQ65678:JPR65680 JZM65678:JZN65680 KJI65678:KJJ65680 KTE65678:KTF65680 LDA65678:LDB65680 LMW65678:LMX65680 LWS65678:LWT65680 MGO65678:MGP65680 MQK65678:MQL65680 NAG65678:NAH65680 NKC65678:NKD65680 NTY65678:NTZ65680 ODU65678:ODV65680 ONQ65678:ONR65680 OXM65678:OXN65680 PHI65678:PHJ65680 PRE65678:PRF65680 QBA65678:QBB65680 QKW65678:QKX65680 QUS65678:QUT65680 REO65678:REP65680 ROK65678:ROL65680 RYG65678:RYH65680 SIC65678:SID65680 SRY65678:SRZ65680 TBU65678:TBV65680 TLQ65678:TLR65680 TVM65678:TVN65680 UFI65678:UFJ65680 UPE65678:UPF65680 UZA65678:UZB65680 VIW65678:VIX65680 VSS65678:VST65680 WCO65678:WCP65680 WMK65678:WML65680 WWG65678:WWH65680 Y262286:Z262288 JU262286:JV262288 TQ262286:TR262288 ADM262286:ADN262288 ANI262286:ANJ262288 AXE262286:AXF262288 BHA262286:BHB262288 BQW262286:BQX262288 CAS262286:CAT262288 CKO262286:CKP262288 CUK262286:CUL262288 DEG262286:DEH262288 DOC262286:DOD262288 DXY262286:DXZ262288 EHU262286:EHV262288 ERQ262286:ERR262288 FBM262286:FBN262288 FLI262286:FLJ262288 FVE262286:FVF262288 GFA262286:GFB262288 GOW262286:GOX262288 GYS262286:GYT262288 HIO262286:HIP262288 HSK262286:HSL262288 ICG262286:ICH262288 IMC262286:IMD262288 IVY262286:IVZ262288 JFU262286:JFV262288 JPQ262286:JPR262288 JZM262286:JZN262288 KJI262286:KJJ262288 KTE262286:KTF262288 LDA262286:LDB262288 LMW262286:LMX262288 LWS262286:LWT262288 MGO262286:MGP262288 MQK262286:MQL262288 NAG262286:NAH262288 NKC262286:NKD262288 NTY262286:NTZ262288 ODU262286:ODV262288 ONQ262286:ONR262288 OXM262286:OXN262288 PHI262286:PHJ262288 PRE262286:PRF262288 QBA262286:QBB262288 QKW262286:QKX262288 QUS262286:QUT262288 REO262286:REP262288 ROK262286:ROL262288 RYG262286:RYH262288 SIC262286:SID262288 SRY262286:SRZ262288 TBU262286:TBV262288 TLQ262286:TLR262288 TVM262286:TVN262288 UFI262286:UFJ262288 UPE262286:UPF262288 UZA262286:UZB262288 VIW262286:VIX262288 VSS262286:VST262288 WCO262286:WCP262288 WMK262286:WML262288 WWG262286:WWH262288 Y458894:Z458896 JU458894:JV458896 TQ458894:TR458896 ADM458894:ADN458896 ANI458894:ANJ458896 AXE458894:AXF458896 BHA458894:BHB458896 BQW458894:BQX458896 CAS458894:CAT458896 CKO458894:CKP458896 CUK458894:CUL458896 DEG458894:DEH458896 DOC458894:DOD458896 DXY458894:DXZ458896 EHU458894:EHV458896 ERQ458894:ERR458896 FBM458894:FBN458896 FLI458894:FLJ458896 FVE458894:FVF458896 GFA458894:GFB458896 GOW458894:GOX458896 GYS458894:GYT458896 HIO458894:HIP458896 HSK458894:HSL458896 ICG458894:ICH458896 IMC458894:IMD458896 IVY458894:IVZ458896 JFU458894:JFV458896 JPQ458894:JPR458896 JZM458894:JZN458896 KJI458894:KJJ458896 KTE458894:KTF458896 LDA458894:LDB458896 LMW458894:LMX458896 LWS458894:LWT458896 MGO458894:MGP458896 MQK458894:MQL458896 NAG458894:NAH458896 NKC458894:NKD458896 NTY458894:NTZ458896 ODU458894:ODV458896 ONQ458894:ONR458896 OXM458894:OXN458896 PHI458894:PHJ458896 PRE458894:PRF458896 QBA458894:QBB458896 QKW458894:QKX458896 QUS458894:QUT458896 REO458894:REP458896 ROK458894:ROL458896 RYG458894:RYH458896 SIC458894:SID458896 SRY458894:SRZ458896 TBU458894:TBV458896 TLQ458894:TLR458896 TVM458894:TVN458896 UFI458894:UFJ458896 UPE458894:UPF458896 UZA458894:UZB458896 VIW458894:VIX458896 VSS458894:VST458896 WCO458894:WCP458896 WMK458894:WML458896 WWG458894:WWH458896 Y655502:Z655504 JU655502:JV655504 TQ655502:TR655504 ADM655502:ADN655504 ANI655502:ANJ655504 AXE655502:AXF655504 BHA655502:BHB655504 BQW655502:BQX655504 CAS655502:CAT655504 CKO655502:CKP655504 CUK655502:CUL655504 DEG655502:DEH655504 DOC655502:DOD655504 DXY655502:DXZ655504 EHU655502:EHV655504 ERQ655502:ERR655504 FBM655502:FBN655504 FLI655502:FLJ655504 FVE655502:FVF655504 GFA655502:GFB655504 GOW655502:GOX655504 GYS655502:GYT655504 HIO655502:HIP655504 HSK655502:HSL655504 ICG655502:ICH655504 IMC655502:IMD655504 IVY655502:IVZ655504 JFU655502:JFV655504 JPQ655502:JPR655504 JZM655502:JZN655504 KJI655502:KJJ655504 KTE655502:KTF655504 LDA655502:LDB655504 LMW655502:LMX655504 LWS655502:LWT655504 MGO655502:MGP655504 MQK655502:MQL655504 NAG655502:NAH655504 NKC655502:NKD655504 NTY655502:NTZ655504 ODU655502:ODV655504 ONQ655502:ONR655504 OXM655502:OXN655504 PHI655502:PHJ655504 PRE655502:PRF655504 QBA655502:QBB655504 QKW655502:QKX655504 QUS655502:QUT655504 REO655502:REP655504 ROK655502:ROL655504 RYG655502:RYH655504 SIC655502:SID655504 SRY655502:SRZ655504 TBU655502:TBV655504 TLQ655502:TLR655504 TVM655502:TVN655504 UFI655502:UFJ655504 UPE655502:UPF655504 UZA655502:UZB655504 VIW655502:VIX655504 VSS655502:VST655504 WCO655502:WCP655504 WMK655502:WML655504 WWG655502:WWH655504 Y852110:Z852112 JU852110:JV852112 TQ852110:TR852112 ADM852110:ADN852112 ANI852110:ANJ852112 AXE852110:AXF852112 BHA852110:BHB852112 BQW852110:BQX852112 CAS852110:CAT852112 CKO852110:CKP852112 CUK852110:CUL852112 DEG852110:DEH852112 DOC852110:DOD852112 DXY852110:DXZ852112 EHU852110:EHV852112 ERQ852110:ERR852112 FBM852110:FBN852112 FLI852110:FLJ852112 FVE852110:FVF852112 GFA852110:GFB852112 GOW852110:GOX852112 GYS852110:GYT852112 HIO852110:HIP852112 HSK852110:HSL852112 ICG852110:ICH852112 IMC852110:IMD852112 IVY852110:IVZ852112 JFU852110:JFV852112 JPQ852110:JPR852112 JZM852110:JZN852112 KJI852110:KJJ852112 KTE852110:KTF852112 LDA852110:LDB852112 LMW852110:LMX852112 LWS852110:LWT852112 MGO852110:MGP852112 MQK852110:MQL852112 NAG852110:NAH852112 NKC852110:NKD852112 NTY852110:NTZ852112 ODU852110:ODV852112 ONQ852110:ONR852112 OXM852110:OXN852112 PHI852110:PHJ852112 PRE852110:PRF852112 QBA852110:QBB852112 QKW852110:QKX852112 QUS852110:QUT852112 REO852110:REP852112 ROK852110:ROL852112 RYG852110:RYH852112 SIC852110:SID852112 SRY852110:SRZ852112 TBU852110:TBV852112 TLQ852110:TLR852112 TVM852110:TVN852112 UFI852110:UFJ852112 UPE852110:UPF852112 UZA852110:UZB852112 VIW852110:VIX852112 VSS852110:VST852112 WCO852110:WCP852112 WMK852110:WML852112 WWG852110:WWH852112">
      <formula1>OFFSET($S$95:$S$97,,,3)</formula1>
    </dataValidation>
  </dataValidations>
  <pageMargins left="0.393700787401575" right="0.31496062992126" top="0.275590551181102" bottom="0.748031496062992" header="0.31496062992126" footer="0.31496062992126"/>
  <pageSetup paperSize="9" orientation="portrait"/>
  <headerFooter>
    <oddHeader>&amp;L&amp;G</oddHeader>
  </headerFooter>
  <drawing r:id="rId1"/>
  <legacyDrawing r:id="rId2"/>
  <legacyDrawingHF r:id="rId5"/>
  <mc:AlternateContent xmlns:mc="http://schemas.openxmlformats.org/markup-compatibility/2006">
    <mc:Choice Requires="x14">
      <controls>
        <mc:AlternateContent xmlns:mc="http://schemas.openxmlformats.org/markup-compatibility/2006">
          <mc:Choice Requires="x14">
            <control shapeId="7187" name="Button 19" r:id="rId3">
              <controlPr print="0" defaultSize="0">
                <anchor moveWithCells="1">
                  <from>
                    <xdr:col>31</xdr:col>
                    <xdr:colOff>228600</xdr:colOff>
                    <xdr:row>115</xdr:row>
                    <xdr:rowOff>15240</xdr:rowOff>
                  </from>
                  <to>
                    <xdr:col>34</xdr:col>
                    <xdr:colOff>0</xdr:colOff>
                    <xdr:row>117</xdr:row>
                    <xdr:rowOff>30480</xdr:rowOff>
                  </to>
                </anchor>
              </controlPr>
            </control>
          </mc:Choice>
        </mc:AlternateContent>
        <mc:AlternateContent xmlns:mc="http://schemas.openxmlformats.org/markup-compatibility/2006">
          <mc:Choice Requires="x14">
            <control shapeId="7188" name="Button 20" r:id="rId4">
              <controlPr print="0" defaultSize="0">
                <anchor moveWithCells="1">
                  <from>
                    <xdr:col>31</xdr:col>
                    <xdr:colOff>220980</xdr:colOff>
                    <xdr:row>112</xdr:row>
                    <xdr:rowOff>38100</xdr:rowOff>
                  </from>
                  <to>
                    <xdr:col>33</xdr:col>
                    <xdr:colOff>822960</xdr:colOff>
                    <xdr:row>114</xdr:row>
                    <xdr:rowOff>91440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AM164"/>
  <sheetViews>
    <sheetView showGridLines="0" topLeftCell="I106" workbookViewId="0">
      <selection activeCell="N128" sqref="N128"/>
    </sheetView>
  </sheetViews>
  <sheetFormatPr defaultColWidth="9" defaultRowHeight="14.25"/>
  <cols>
    <col min="1" max="7" width="8.88333333333333" hidden="1" customWidth="1"/>
    <col min="8" max="8" width="6.33333333333333" hidden="1" customWidth="1"/>
    <col min="9" max="9" width="3.10833333333333" style="233" customWidth="1"/>
    <col min="10" max="10" width="3" style="233" customWidth="1"/>
    <col min="11" max="11" width="7.44166666666667" style="233" customWidth="1"/>
    <col min="12" max="12" width="12.3333333333333" style="233" customWidth="1"/>
    <col min="13" max="13" width="12" style="233" customWidth="1"/>
    <col min="14" max="14" width="6.21666666666667" style="233" customWidth="1"/>
    <col min="15" max="15" width="12.1083333333333" style="233" customWidth="1"/>
    <col min="16" max="16" width="7.775" style="233" customWidth="1"/>
    <col min="17" max="17" width="5.21666666666667" style="233" customWidth="1"/>
    <col min="18" max="19" width="7.775" style="233" customWidth="1"/>
    <col min="20" max="20" width="6.55833333333333" style="233" customWidth="1"/>
    <col min="21" max="21" width="4.66666666666667" style="233" customWidth="1"/>
    <col min="22" max="22" width="4.33333333333333" style="233" customWidth="1"/>
    <col min="23" max="23" width="7.44166666666667" customWidth="1"/>
    <col min="24" max="24" width="5.55833333333333" style="233" customWidth="1"/>
    <col min="25" max="25" width="3.10833333333333" style="233" customWidth="1"/>
    <col min="26" max="26" width="3" style="233" customWidth="1"/>
    <col min="27" max="27" width="7.44166666666667" style="233" customWidth="1"/>
    <col min="28" max="28" width="12.3333333333333" style="233" customWidth="1"/>
    <col min="29" max="29" width="12" style="233" customWidth="1"/>
    <col min="30" max="30" width="6.21666666666667" style="233" customWidth="1"/>
    <col min="31" max="31" width="12.1083333333333" style="233" customWidth="1"/>
    <col min="32" max="32" width="7.775" style="233" customWidth="1"/>
    <col min="33" max="33" width="5.21666666666667" style="233" customWidth="1"/>
    <col min="34" max="35" width="7.775" style="233" customWidth="1"/>
    <col min="36" max="36" width="6.55833333333333" style="233" customWidth="1"/>
    <col min="37" max="37" width="4.66666666666667" style="233" customWidth="1"/>
    <col min="38" max="38" width="4.33333333333333" style="233" customWidth="1"/>
    <col min="39" max="39" width="8.88333333333333" style="233"/>
    <col min="40" max="16384" width="8.88333333333333"/>
  </cols>
  <sheetData>
    <row r="1" ht="15" hidden="1" customHeight="1" spans="1:23">
      <c r="A1" s="1" t="s">
        <v>13</v>
      </c>
      <c r="B1" s="1" t="s">
        <v>14</v>
      </c>
      <c r="C1" s="2"/>
      <c r="D1" t="s">
        <v>2</v>
      </c>
      <c r="E1">
        <v>1</v>
      </c>
      <c r="F1" t="str">
        <f>INDEX(D1:D2,E1,0)</f>
        <v>英文 English</v>
      </c>
      <c r="I1" s="234" t="s">
        <v>427</v>
      </c>
      <c r="J1" s="235" t="s">
        <v>1114</v>
      </c>
      <c r="K1" s="235" t="s">
        <v>1115</v>
      </c>
      <c r="L1" s="235">
        <f>$BG$231</f>
        <v>0</v>
      </c>
      <c r="W1" s="26"/>
    </row>
    <row r="2" hidden="1" spans="1:23">
      <c r="A2" s="3" t="s">
        <v>15</v>
      </c>
      <c r="B2" s="3" t="s">
        <v>16</v>
      </c>
      <c r="C2" s="2" t="str">
        <f t="shared" ref="C2:C33" si="0">IF(Report_Language=$A$1,A2,B2)</f>
        <v>JOB NO.</v>
      </c>
      <c r="D2" t="s">
        <v>1</v>
      </c>
      <c r="E2">
        <v>2</v>
      </c>
      <c r="F2" t="str">
        <f>INDEX(D26:D27,E2,0)</f>
        <v>正式报告 Official Report</v>
      </c>
      <c r="I2" s="234"/>
      <c r="J2" s="236" t="s">
        <v>15</v>
      </c>
      <c r="K2" s="236" t="s">
        <v>1116</v>
      </c>
      <c r="L2" s="236" t="str">
        <f t="shared" ref="L2:L47" si="1">IF(Report_Language=$A$1,J2,K2)</f>
        <v>JOB NO.</v>
      </c>
      <c r="W2" s="28"/>
    </row>
    <row r="3" hidden="1" spans="1:23">
      <c r="A3" s="4" t="s">
        <v>17</v>
      </c>
      <c r="B3" s="4" t="s">
        <v>18</v>
      </c>
      <c r="C3" s="2" t="str">
        <f t="shared" si="0"/>
        <v>DATE OF REPORT</v>
      </c>
      <c r="D3" s="5" t="s">
        <v>88</v>
      </c>
      <c r="E3">
        <v>2</v>
      </c>
      <c r="F3" t="str">
        <f>INDEX(D28:D31,E3,0)</f>
        <v>B--成品油 Refined Products</v>
      </c>
      <c r="G3" t="str">
        <f>LEFT(F3,1)</f>
        <v>B</v>
      </c>
      <c r="I3" s="234"/>
      <c r="J3" s="237" t="s">
        <v>17</v>
      </c>
      <c r="K3" s="237" t="s">
        <v>1117</v>
      </c>
      <c r="L3" s="236" t="str">
        <f t="shared" si="1"/>
        <v>DATE OF REPORT</v>
      </c>
      <c r="W3" s="28"/>
    </row>
    <row r="4" hidden="1" spans="1:23">
      <c r="A4" s="3" t="s">
        <v>20</v>
      </c>
      <c r="B4" s="3" t="s">
        <v>21</v>
      </c>
      <c r="C4" s="2" t="str">
        <f t="shared" si="0"/>
        <v>APPLICANT</v>
      </c>
      <c r="D4" s="5" t="s">
        <v>91</v>
      </c>
      <c r="E4">
        <v>5</v>
      </c>
      <c r="F4" t="str">
        <f>INDEX(D3:D20,E4,0)</f>
        <v>T-24A</v>
      </c>
      <c r="I4" s="234"/>
      <c r="J4" s="236" t="s">
        <v>20</v>
      </c>
      <c r="K4" s="236" t="s">
        <v>1118</v>
      </c>
      <c r="L4" s="236" t="str">
        <f t="shared" si="1"/>
        <v>APPLICANT</v>
      </c>
      <c r="W4" s="28"/>
    </row>
    <row r="5" hidden="1" spans="1:23">
      <c r="A5" s="4" t="s">
        <v>23</v>
      </c>
      <c r="B5" s="4" t="s">
        <v>24</v>
      </c>
      <c r="C5" s="2" t="str">
        <f t="shared" si="0"/>
        <v>CLIENT'S REF. NO.</v>
      </c>
      <c r="D5" s="5" t="s">
        <v>92</v>
      </c>
      <c r="E5">
        <v>2</v>
      </c>
      <c r="F5">
        <f>INDEX(D23:D25,E5,0)</f>
        <v>1980</v>
      </c>
      <c r="I5" s="234"/>
      <c r="J5" s="237" t="s">
        <v>23</v>
      </c>
      <c r="K5" s="237" t="s">
        <v>1119</v>
      </c>
      <c r="L5" s="236" t="str">
        <f t="shared" si="1"/>
        <v>CLIENT'S REF. NO.</v>
      </c>
      <c r="W5" s="28"/>
    </row>
    <row r="6" hidden="1" spans="1:23">
      <c r="A6" s="3" t="s">
        <v>25</v>
      </c>
      <c r="B6" s="3" t="s">
        <v>26</v>
      </c>
      <c r="C6" s="2" t="str">
        <f t="shared" si="0"/>
        <v>COMMODITY</v>
      </c>
      <c r="D6" s="5" t="s">
        <v>95</v>
      </c>
      <c r="E6">
        <v>2</v>
      </c>
      <c r="F6" t="str">
        <f>INDEX(D21:D22,E6,0)</f>
        <v>API MPMS 11.5 (2013)</v>
      </c>
      <c r="I6" s="234"/>
      <c r="J6" s="236" t="s">
        <v>25</v>
      </c>
      <c r="K6" s="236" t="s">
        <v>1120</v>
      </c>
      <c r="L6" s="236" t="str">
        <f t="shared" si="1"/>
        <v>COMMODITY</v>
      </c>
      <c r="W6" s="28"/>
    </row>
    <row r="7" hidden="1" spans="1:23">
      <c r="A7" s="4" t="s">
        <v>28</v>
      </c>
      <c r="B7" s="4" t="s">
        <v>29</v>
      </c>
      <c r="C7" s="2" t="str">
        <f t="shared" si="0"/>
        <v>VESSEL</v>
      </c>
      <c r="D7" s="5" t="s">
        <v>98</v>
      </c>
      <c r="E7">
        <v>4</v>
      </c>
      <c r="F7" t="str">
        <f>IF(E7=1,"Den15",IF(E7=2,"Den20",IF(E7=3,"API","SG")))</f>
        <v>SG</v>
      </c>
      <c r="I7" s="234"/>
      <c r="J7" s="237" t="s">
        <v>28</v>
      </c>
      <c r="K7" s="237" t="s">
        <v>1121</v>
      </c>
      <c r="L7" s="236" t="str">
        <f t="shared" si="1"/>
        <v>VESSEL</v>
      </c>
      <c r="W7" s="28"/>
    </row>
    <row r="8" hidden="1" spans="1:23">
      <c r="A8" s="3" t="s">
        <v>31</v>
      </c>
      <c r="B8" s="3" t="s">
        <v>32</v>
      </c>
      <c r="C8" s="2" t="str">
        <f t="shared" si="0"/>
        <v>PORT</v>
      </c>
      <c r="D8" s="5" t="s">
        <v>101</v>
      </c>
      <c r="I8" s="234"/>
      <c r="J8" s="236" t="s">
        <v>31</v>
      </c>
      <c r="K8" s="236" t="s">
        <v>1122</v>
      </c>
      <c r="L8" s="236" t="str">
        <f t="shared" si="1"/>
        <v>PORT</v>
      </c>
      <c r="W8" s="28"/>
    </row>
    <row r="9" hidden="1" spans="1:23">
      <c r="A9" s="6" t="s">
        <v>34</v>
      </c>
      <c r="B9" s="4" t="s">
        <v>35</v>
      </c>
      <c r="C9" s="2" t="str">
        <f t="shared" si="0"/>
        <v>TERMINAL</v>
      </c>
      <c r="D9" s="5" t="s">
        <v>104</v>
      </c>
      <c r="I9" s="234"/>
      <c r="J9" s="33" t="s">
        <v>36</v>
      </c>
      <c r="K9" s="33" t="s">
        <v>442</v>
      </c>
      <c r="L9" s="236" t="str">
        <f t="shared" si="1"/>
        <v>DATE OF INSPECTION</v>
      </c>
      <c r="W9" s="28"/>
    </row>
    <row r="10" ht="15" hidden="1" customHeight="1" spans="1:23">
      <c r="A10" s="4" t="s">
        <v>36</v>
      </c>
      <c r="B10" s="4" t="s">
        <v>37</v>
      </c>
      <c r="C10" s="2" t="str">
        <f t="shared" si="0"/>
        <v>DATE OF INSPECTION</v>
      </c>
      <c r="D10" s="5" t="s">
        <v>107</v>
      </c>
      <c r="I10" s="238" t="s">
        <v>647</v>
      </c>
      <c r="J10" s="34" t="s">
        <v>1123</v>
      </c>
      <c r="K10" s="34" t="s">
        <v>1124</v>
      </c>
      <c r="L10" s="236" t="str">
        <f t="shared" si="1"/>
        <v>VESSEL EXPERIENCE FACTOR REPORT</v>
      </c>
      <c r="W10" s="28"/>
    </row>
    <row r="11" hidden="1" spans="1:23">
      <c r="A11" s="7" t="s">
        <v>44</v>
      </c>
      <c r="B11" s="2" t="str">
        <f>A11</f>
        <v>SG0020031202-I</v>
      </c>
      <c r="C11" s="2" t="s">
        <v>45</v>
      </c>
      <c r="D11" s="5" t="s">
        <v>110</v>
      </c>
      <c r="I11" s="234" t="s">
        <v>443</v>
      </c>
      <c r="J11" s="33" t="s">
        <v>355</v>
      </c>
      <c r="K11" s="33" t="s">
        <v>356</v>
      </c>
      <c r="L11" s="236" t="str">
        <f t="shared" si="1"/>
        <v>Master/Chief Officer</v>
      </c>
      <c r="W11" s="28"/>
    </row>
    <row r="12" hidden="1" spans="1:23">
      <c r="A12" s="8" t="s">
        <v>46</v>
      </c>
      <c r="B12" s="2" t="str">
        <f>A12</f>
        <v>YYYY-MM-DD</v>
      </c>
      <c r="C12" s="2" t="s">
        <v>46</v>
      </c>
      <c r="D12" s="5" t="s">
        <v>113</v>
      </c>
      <c r="I12" s="234"/>
      <c r="J12" s="34" t="s">
        <v>357</v>
      </c>
      <c r="K12" s="34" t="s">
        <v>358</v>
      </c>
      <c r="L12" s="236" t="str">
        <f t="shared" si="1"/>
        <v>CCIC Surveyor</v>
      </c>
      <c r="W12" s="28"/>
    </row>
    <row r="13" hidden="1" spans="1:23">
      <c r="A13" s="7" t="s">
        <v>48</v>
      </c>
      <c r="B13" s="9" t="s">
        <v>49</v>
      </c>
      <c r="C13" s="2" t="str">
        <f t="shared" si="0"/>
        <v>PETROCHINA </v>
      </c>
      <c r="D13" s="5" t="s">
        <v>116</v>
      </c>
      <c r="I13" s="234"/>
      <c r="J13" s="33" t="s">
        <v>359</v>
      </c>
      <c r="K13" s="33" t="s">
        <v>360</v>
      </c>
      <c r="L13" s="236" t="str">
        <f t="shared" si="1"/>
        <v>Name</v>
      </c>
      <c r="W13" s="28"/>
    </row>
    <row r="14" hidden="1" spans="1:23">
      <c r="A14" s="7" t="s">
        <v>50</v>
      </c>
      <c r="B14" s="7" t="s">
        <v>117</v>
      </c>
      <c r="C14" s="2" t="s">
        <v>51</v>
      </c>
      <c r="D14" s="5" t="s">
        <v>120</v>
      </c>
      <c r="I14" s="234"/>
      <c r="J14" s="34" t="s">
        <v>361</v>
      </c>
      <c r="K14" s="34" t="s">
        <v>362</v>
      </c>
      <c r="L14" s="236" t="str">
        <f t="shared" si="1"/>
        <v>Signature</v>
      </c>
      <c r="W14" s="28"/>
    </row>
    <row r="15" hidden="1" spans="1:23">
      <c r="A15" s="7" t="s">
        <v>52</v>
      </c>
      <c r="B15" s="9" t="s">
        <v>53</v>
      </c>
      <c r="C15" s="2" t="str">
        <f t="shared" si="0"/>
        <v>Crude Oil6658</v>
      </c>
      <c r="D15" s="5" t="s">
        <v>123</v>
      </c>
      <c r="I15" s="234"/>
      <c r="J15" s="33" t="s">
        <v>363</v>
      </c>
      <c r="K15" s="33" t="s">
        <v>364</v>
      </c>
      <c r="L15" s="236" t="str">
        <f t="shared" si="1"/>
        <v>Authorized Signature (S)</v>
      </c>
      <c r="W15" s="28"/>
    </row>
    <row r="16" hidden="1" spans="1:23">
      <c r="A16" s="7" t="s">
        <v>54</v>
      </c>
      <c r="B16" s="2" t="s">
        <v>55</v>
      </c>
      <c r="C16" s="2" t="str">
        <f t="shared" si="0"/>
        <v>MT ZhenYuanefdasdf</v>
      </c>
      <c r="D16" s="5" t="s">
        <v>126</v>
      </c>
      <c r="I16" s="239" t="s">
        <v>444</v>
      </c>
      <c r="J16" s="34" t="s">
        <v>74</v>
      </c>
      <c r="K16" s="34" t="s">
        <v>75</v>
      </c>
      <c r="L16" s="236" t="str">
        <f t="shared" si="1"/>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W16" s="28"/>
    </row>
    <row r="17" ht="15.6" hidden="1" customHeight="1" spans="1:23">
      <c r="A17" s="7" t="s">
        <v>56</v>
      </c>
      <c r="B17" s="9" t="s">
        <v>57</v>
      </c>
      <c r="C17" s="2" t="str">
        <f t="shared" si="0"/>
        <v>Dalian, Chinafsadfa</v>
      </c>
      <c r="D17" s="5" t="s">
        <v>129</v>
      </c>
      <c r="I17" s="239"/>
      <c r="J17" s="33" t="s">
        <v>445</v>
      </c>
      <c r="K17" s="33" t="s">
        <v>446</v>
      </c>
      <c r="L17" s="236" t="str">
        <f t="shared" si="1"/>
        <v>Note:</v>
      </c>
      <c r="W17" s="28"/>
    </row>
    <row r="18" hidden="1" spans="1:23">
      <c r="A18" s="7" t="s">
        <v>58</v>
      </c>
      <c r="B18" s="9" t="s">
        <v>59</v>
      </c>
      <c r="C18" s="2" t="str">
        <f t="shared" si="0"/>
        <v>Dalian Chinaoil, China1325415</v>
      </c>
      <c r="D18" s="5" t="s">
        <v>132</v>
      </c>
      <c r="I18" s="239"/>
      <c r="J18" s="34" t="s">
        <v>447</v>
      </c>
      <c r="K18" s="34" t="s">
        <v>448</v>
      </c>
      <c r="L18" s="236" t="str">
        <f t="shared" si="1"/>
        <v>Remark:</v>
      </c>
      <c r="W18" s="28"/>
    </row>
    <row r="19" hidden="1" spans="1:23">
      <c r="A19" s="10" t="s">
        <v>133</v>
      </c>
      <c r="B19" s="11" t="str">
        <f>A19</f>
        <v>YYYY-MM-DD -- YYYY-MM-DD</v>
      </c>
      <c r="C19" s="2" t="s">
        <v>60</v>
      </c>
      <c r="D19" s="12" t="s">
        <v>136</v>
      </c>
      <c r="I19" s="239"/>
      <c r="J19" s="33" t="s">
        <v>449</v>
      </c>
      <c r="K19" s="33" t="s">
        <v>450</v>
      </c>
      <c r="L19" s="236" t="str">
        <f t="shared" si="1"/>
        <v>Yes</v>
      </c>
      <c r="W19" s="28"/>
    </row>
    <row r="20" hidden="1" spans="1:23">
      <c r="A20" s="13" t="s">
        <v>137</v>
      </c>
      <c r="B20" s="13" t="s">
        <v>138</v>
      </c>
      <c r="C20" s="2" t="str">
        <f t="shared" si="0"/>
        <v>Density@15℃ (g/cm³)</v>
      </c>
      <c r="D20" s="5" t="s">
        <v>141</v>
      </c>
      <c r="I20" s="239"/>
      <c r="J20" s="34" t="s">
        <v>451</v>
      </c>
      <c r="K20" s="34" t="s">
        <v>452</v>
      </c>
      <c r="L20" s="236" t="str">
        <f t="shared" si="1"/>
        <v>No</v>
      </c>
      <c r="W20" s="28"/>
    </row>
    <row r="21" hidden="1" spans="1:23">
      <c r="A21" s="14" t="s">
        <v>142</v>
      </c>
      <c r="B21" s="14" t="s">
        <v>143</v>
      </c>
      <c r="C21" s="2" t="str">
        <f t="shared" si="0"/>
        <v>Density@20℃ (g/cm³)</v>
      </c>
      <c r="D21" s="5" t="s">
        <v>5</v>
      </c>
      <c r="I21" s="240" t="s">
        <v>453</v>
      </c>
      <c r="J21" s="33" t="s">
        <v>454</v>
      </c>
      <c r="K21" s="33" t="s">
        <v>455</v>
      </c>
      <c r="L21" s="236" t="str">
        <f t="shared" si="1"/>
        <v>Date :</v>
      </c>
      <c r="W21" s="28"/>
    </row>
    <row r="22" ht="15" hidden="1" customHeight="1" spans="1:23">
      <c r="A22" s="13" t="s">
        <v>146</v>
      </c>
      <c r="B22" s="13" t="s">
        <v>146</v>
      </c>
      <c r="C22" s="2" t="str">
        <f t="shared" si="0"/>
        <v>API@60℉</v>
      </c>
      <c r="D22" s="5" t="s">
        <v>6</v>
      </c>
      <c r="I22" s="240"/>
      <c r="J22" s="34" t="s">
        <v>457</v>
      </c>
      <c r="K22" s="34" t="s">
        <v>458</v>
      </c>
      <c r="L22" s="236" t="str">
        <f t="shared" si="1"/>
        <v>Time :</v>
      </c>
      <c r="W22" s="28"/>
    </row>
    <row r="23" hidden="1" spans="1:23">
      <c r="A23" s="14" t="s">
        <v>149</v>
      </c>
      <c r="B23" s="14" t="s">
        <v>150</v>
      </c>
      <c r="C23" s="2" t="str">
        <f t="shared" si="0"/>
        <v>S.G.@60℉/60℉</v>
      </c>
      <c r="D23" s="12">
        <v>1952</v>
      </c>
      <c r="I23" s="239" t="s">
        <v>1125</v>
      </c>
      <c r="J23" s="33" t="s">
        <v>799</v>
      </c>
      <c r="K23" s="33" t="s">
        <v>1126</v>
      </c>
      <c r="L23" s="236" t="str">
        <f t="shared" si="1"/>
        <v>List</v>
      </c>
      <c r="W23" s="28"/>
    </row>
    <row r="24" hidden="1" spans="1:23">
      <c r="A24" s="15" t="s">
        <v>153</v>
      </c>
      <c r="B24" s="15" t="s">
        <v>154</v>
      </c>
      <c r="C24" s="2" t="str">
        <f t="shared" si="0"/>
        <v>α60℉ (1/℉)</v>
      </c>
      <c r="D24" s="12">
        <v>1980</v>
      </c>
      <c r="I24" s="239"/>
      <c r="J24" s="34" t="s">
        <v>1127</v>
      </c>
      <c r="K24" s="34" t="s">
        <v>1128</v>
      </c>
      <c r="L24" s="236" t="str">
        <f t="shared" si="1"/>
        <v>Voyage Number</v>
      </c>
      <c r="W24" s="28"/>
    </row>
    <row r="25" hidden="1" spans="1:23">
      <c r="A25" s="15" t="s">
        <v>157</v>
      </c>
      <c r="B25" s="15" t="s">
        <v>158</v>
      </c>
      <c r="C25" s="2" t="str">
        <f t="shared" si="0"/>
        <v>α60℉ (1/℃)</v>
      </c>
      <c r="D25" s="12">
        <v>2004</v>
      </c>
      <c r="I25" s="239"/>
      <c r="J25" s="33" t="s">
        <v>208</v>
      </c>
      <c r="K25" s="33" t="s">
        <v>1129</v>
      </c>
      <c r="L25" s="236" t="str">
        <f t="shared" si="1"/>
        <v>Date</v>
      </c>
      <c r="W25" s="28"/>
    </row>
    <row r="26" hidden="1" spans="1:23">
      <c r="A26" s="14" t="s">
        <v>161</v>
      </c>
      <c r="B26" s="14" t="s">
        <v>162</v>
      </c>
      <c r="C26" s="2" t="str">
        <f t="shared" si="0"/>
        <v>Density@15℃ (kg/m³)</v>
      </c>
      <c r="D26" s="16" t="s">
        <v>165</v>
      </c>
      <c r="I26" s="239"/>
      <c r="J26" s="34" t="s">
        <v>642</v>
      </c>
      <c r="K26" s="34" t="s">
        <v>441</v>
      </c>
      <c r="L26" s="236" t="str">
        <f t="shared" si="1"/>
        <v>Port</v>
      </c>
      <c r="W26" s="28"/>
    </row>
    <row r="27" hidden="1" spans="1:23">
      <c r="A27" s="13" t="s">
        <v>167</v>
      </c>
      <c r="B27" s="13" t="s">
        <v>168</v>
      </c>
      <c r="C27" s="2" t="str">
        <f t="shared" si="0"/>
        <v>Density@20℃ (kg/m³)</v>
      </c>
      <c r="D27" s="16" t="s">
        <v>171</v>
      </c>
      <c r="I27" s="239"/>
      <c r="J27" s="33" t="s">
        <v>1130</v>
      </c>
      <c r="K27" s="33" t="s">
        <v>439</v>
      </c>
      <c r="L27" s="236" t="str">
        <f t="shared" si="1"/>
        <v>Cargo</v>
      </c>
      <c r="W27" s="28"/>
    </row>
    <row r="28" hidden="1" spans="1:23">
      <c r="A28" s="14" t="s">
        <v>146</v>
      </c>
      <c r="B28" s="14" t="s">
        <v>173</v>
      </c>
      <c r="C28" s="2" t="str">
        <f t="shared" si="0"/>
        <v>API@60℉</v>
      </c>
      <c r="D28" s="5" t="s">
        <v>7</v>
      </c>
      <c r="I28" s="239"/>
      <c r="J28" s="34" t="s">
        <v>1131</v>
      </c>
      <c r="K28" s="34" t="s">
        <v>1132</v>
      </c>
      <c r="L28" s="236" t="str">
        <f t="shared" si="1"/>
        <v>Vessel Sailing TCV</v>
      </c>
      <c r="W28" s="28"/>
    </row>
    <row r="29" ht="15" hidden="1" customHeight="1" spans="1:23">
      <c r="A29" s="13" t="s">
        <v>149</v>
      </c>
      <c r="B29" s="13" t="s">
        <v>177</v>
      </c>
      <c r="C29" s="2" t="str">
        <f t="shared" si="0"/>
        <v>S.G.@60℉/60℉</v>
      </c>
      <c r="D29" s="5" t="s">
        <v>8</v>
      </c>
      <c r="I29" s="239"/>
      <c r="J29" s="33" t="s">
        <v>1133</v>
      </c>
      <c r="K29" s="33" t="s">
        <v>289</v>
      </c>
      <c r="L29" s="236" t="str">
        <f t="shared" si="1"/>
        <v>OBQ</v>
      </c>
      <c r="W29" s="28"/>
    </row>
    <row r="30" hidden="1" spans="1:23">
      <c r="A30" s="17" t="s">
        <v>181</v>
      </c>
      <c r="B30" s="18" t="s">
        <v>182</v>
      </c>
      <c r="C30" s="2" t="str">
        <f t="shared" si="0"/>
        <v>WCF MT(in air)/m³@15℃ [T-56]</v>
      </c>
      <c r="D30" s="5" t="s">
        <v>11</v>
      </c>
      <c r="I30" s="239"/>
      <c r="J30" s="34" t="s">
        <v>1134</v>
      </c>
      <c r="K30" s="34" t="s">
        <v>1135</v>
      </c>
      <c r="L30" s="236" t="str">
        <f t="shared" si="1"/>
        <v>Vessel Loaded TCV</v>
      </c>
      <c r="W30" s="28"/>
    </row>
    <row r="31" hidden="1" spans="1:23">
      <c r="A31" s="17" t="s">
        <v>186</v>
      </c>
      <c r="B31" s="18" t="s">
        <v>187</v>
      </c>
      <c r="C31" s="2" t="str">
        <f t="shared" si="0"/>
        <v>WCF MT(in air)/m³@15℃</v>
      </c>
      <c r="D31" s="5" t="s">
        <v>12</v>
      </c>
      <c r="I31" s="239"/>
      <c r="J31" s="33" t="str">
        <f>"Shore TCV "&amp;CHAR(10)&amp;"B/L"</f>
        <v>Shore TCV 
B/L</v>
      </c>
      <c r="K31" s="33" t="str">
        <f>"岸发量总计算体积"&amp;CHAR(10)&amp;"提单"</f>
        <v>岸发量总计算体积
提单</v>
      </c>
      <c r="L31" s="236" t="str">
        <f t="shared" si="1"/>
        <v>Shore TCV 
B/L</v>
      </c>
      <c r="W31" s="28"/>
    </row>
    <row r="32" ht="17.4" hidden="1" customHeight="1" spans="1:23">
      <c r="A32" s="17" t="s">
        <v>191</v>
      </c>
      <c r="B32" s="18" t="s">
        <v>192</v>
      </c>
      <c r="C32" s="2" t="str">
        <f t="shared" si="0"/>
        <v>WCF MT(in air)/m³@20℃</v>
      </c>
      <c r="I32" s="239"/>
      <c r="J32" s="241" t="s">
        <v>1136</v>
      </c>
      <c r="K32" s="34" t="str">
        <f>"船收量/"&amp;CHAR(10)&amp;"岸发量"&amp;CHAR(10)&amp;"比率"</f>
        <v>船收量/
岸发量
比率</v>
      </c>
      <c r="L32" s="236" t="str">
        <f t="shared" si="1"/>
        <v>Ship/
Shore Ratio</v>
      </c>
      <c r="W32" s="28"/>
    </row>
    <row r="33" ht="16.2" hidden="1" customHeight="1" spans="1:23">
      <c r="A33" s="19" t="s">
        <v>196</v>
      </c>
      <c r="B33" s="20" t="s">
        <v>197</v>
      </c>
      <c r="C33" s="2" t="str">
        <f t="shared" si="0"/>
        <v>MT/LT [T-1] </v>
      </c>
      <c r="J33" s="242" t="s">
        <v>1137</v>
      </c>
      <c r="K33" s="33" t="str">
        <f>"*"&amp;CHAR(10)&amp;"被拒航次"</f>
        <v>*
被拒航次</v>
      </c>
      <c r="L33" s="236" t="str">
        <f t="shared" si="1"/>
        <v>*
REJ
Voy.</v>
      </c>
      <c r="W33" s="28"/>
    </row>
    <row r="34" ht="15" hidden="1" customHeight="1" spans="1:23">
      <c r="A34" s="19" t="s">
        <v>201</v>
      </c>
      <c r="B34" s="21" t="s">
        <v>202</v>
      </c>
      <c r="C34" s="2" t="str">
        <f t="shared" ref="C34:C65" si="2">IF(Report_Language=$A$1,A34,B34)</f>
        <v>MT/LT</v>
      </c>
      <c r="J34" s="243" t="s">
        <v>1138</v>
      </c>
      <c r="K34" s="34" t="str">
        <f>"**"&amp;CHAR(10)&amp;"合格航次"</f>
        <v>**
合格航次</v>
      </c>
      <c r="L34" s="236" t="str">
        <f t="shared" si="1"/>
        <v>**
Q.Y.</v>
      </c>
      <c r="W34" s="28"/>
    </row>
    <row r="35" hidden="1" spans="1:23">
      <c r="A35" s="17" t="s">
        <v>206</v>
      </c>
      <c r="B35" s="18" t="s">
        <v>207</v>
      </c>
      <c r="C35" s="2" t="str">
        <f t="shared" si="2"/>
        <v>WCF MT(in air)/bbls@60℉ [T-13]</v>
      </c>
      <c r="J35" s="233" t="s">
        <v>1139</v>
      </c>
      <c r="K35" s="233" t="s">
        <v>1140</v>
      </c>
      <c r="L35" s="236" t="str">
        <f t="shared" si="1"/>
        <v>Sum of All Non-rejected Quantities</v>
      </c>
      <c r="W35" s="28"/>
    </row>
    <row r="36" hidden="1" spans="1:23">
      <c r="A36" s="17" t="s">
        <v>210</v>
      </c>
      <c r="B36" s="18" t="s">
        <v>211</v>
      </c>
      <c r="C36" s="2" t="str">
        <f t="shared" si="2"/>
        <v>WCF MT(in air)/bbls@60℉</v>
      </c>
      <c r="J36" s="233" t="s">
        <v>1141</v>
      </c>
      <c r="K36" s="233" t="s">
        <v>1142</v>
      </c>
      <c r="L36" s="236" t="str">
        <f t="shared" si="1"/>
        <v>Mean Vessel/Shore Ratio</v>
      </c>
      <c r="W36" s="28"/>
    </row>
    <row r="37" hidden="1" spans="1:23">
      <c r="A37" s="14" t="s">
        <v>214</v>
      </c>
      <c r="B37" s="14" t="s">
        <v>215</v>
      </c>
      <c r="C37" s="2" t="str">
        <f t="shared" si="2"/>
        <v>Density@15℃ MT(Vacuo)/m³</v>
      </c>
      <c r="J37" s="794" t="s">
        <v>1143</v>
      </c>
      <c r="K37" s="233" t="s">
        <v>1144</v>
      </c>
      <c r="L37" s="236" t="str">
        <f t="shared" si="1"/>
        <v>+/-0.30% of The Mean Vessel/Shore Ratio</v>
      </c>
      <c r="W37" s="28"/>
    </row>
    <row r="38" hidden="1" spans="1:23">
      <c r="A38" s="14" t="s">
        <v>218</v>
      </c>
      <c r="B38" s="14" t="s">
        <v>219</v>
      </c>
      <c r="C38" s="2" t="str">
        <f t="shared" si="2"/>
        <v>Density@20℃ MT(Vacuo)/m³</v>
      </c>
      <c r="J38" s="233" t="s">
        <v>1145</v>
      </c>
      <c r="K38" s="233" t="s">
        <v>1146</v>
      </c>
      <c r="L38" s="236" t="str">
        <f t="shared" si="1"/>
        <v>Sum of All Qualifying Quantities</v>
      </c>
      <c r="W38" s="28"/>
    </row>
    <row r="39" ht="15" hidden="1" customHeight="1" spans="1:23">
      <c r="A39" s="17" t="s">
        <v>222</v>
      </c>
      <c r="B39" s="18" t="s">
        <v>223</v>
      </c>
      <c r="C39" s="2" t="str">
        <f t="shared" si="2"/>
        <v>WCF MT(in vacuo)/bbls@60℉ [T-13]</v>
      </c>
      <c r="J39" s="233" t="s">
        <v>1147</v>
      </c>
      <c r="K39" s="233" t="s">
        <v>343</v>
      </c>
      <c r="L39" s="236" t="str">
        <f t="shared" si="1"/>
        <v>Vessel Experience Factor</v>
      </c>
      <c r="W39" s="28"/>
    </row>
    <row r="40" hidden="1" spans="1:23">
      <c r="A40" s="17" t="s">
        <v>226</v>
      </c>
      <c r="B40" s="18" t="s">
        <v>227</v>
      </c>
      <c r="C40" s="2" t="str">
        <f t="shared" si="2"/>
        <v>WCF MT(in vacuo)/bbls@60℉</v>
      </c>
      <c r="J40" s="244" t="s">
        <v>1148</v>
      </c>
      <c r="K40" s="244" t="s">
        <v>1149</v>
      </c>
      <c r="L40" s="236" t="str">
        <f t="shared" si="1"/>
        <v>* Rejected Voyages</v>
      </c>
      <c r="W40" s="28"/>
    </row>
    <row r="41" hidden="1" spans="1:23">
      <c r="A41" s="19" t="s">
        <v>196</v>
      </c>
      <c r="B41" s="20" t="s">
        <v>197</v>
      </c>
      <c r="C41" s="2" t="str">
        <f t="shared" si="2"/>
        <v>MT/LT [T-1] </v>
      </c>
      <c r="J41" s="245" t="s">
        <v>1150</v>
      </c>
      <c r="K41" s="233" t="s">
        <v>1151</v>
      </c>
      <c r="L41" s="236" t="str">
        <f t="shared" si="1"/>
        <v>Gross Error Voyages: Voyages which the Vessel/Shore Ratio is less than 0.98000 or greater than 1.02000.</v>
      </c>
      <c r="W41" s="28"/>
    </row>
    <row r="42" hidden="1" spans="1:23">
      <c r="A42" s="19" t="s">
        <v>201</v>
      </c>
      <c r="B42" s="21" t="s">
        <v>202</v>
      </c>
      <c r="C42" s="2" t="str">
        <f t="shared" si="2"/>
        <v>MT/LT</v>
      </c>
      <c r="J42" s="233" t="s">
        <v>1152</v>
      </c>
      <c r="K42" s="233" t="s">
        <v>1153</v>
      </c>
      <c r="L42" s="236" t="str">
        <f t="shared" si="1"/>
        <v>Voyages where only vessel tank measurements were availabel (i.e. STS transfers, active shore tanks) except where quantities are determined onboard FPSOs using meters in accodance with globally recognized standards.</v>
      </c>
      <c r="W42" s="28"/>
    </row>
    <row r="43" hidden="1" spans="1:23">
      <c r="A43" s="17" t="s">
        <v>233</v>
      </c>
      <c r="B43" s="18" t="s">
        <v>234</v>
      </c>
      <c r="C43" s="2" t="str">
        <f t="shared" si="2"/>
        <v>WCF LT(in air)/m³@15℃ [T-57]</v>
      </c>
      <c r="J43" s="233" t="s">
        <v>1154</v>
      </c>
      <c r="K43" s="233" t="s">
        <v>1155</v>
      </c>
      <c r="L43" s="236" t="str">
        <f t="shared" si="1"/>
        <v>All voyages prior to any changes to measurement equipment, tables, vessel's structure, or other changes requiring the issuance of new capacity tables.</v>
      </c>
      <c r="W43" s="28"/>
    </row>
    <row r="44" ht="15" hidden="1" customHeight="1" spans="1:23">
      <c r="A44" s="17" t="s">
        <v>236</v>
      </c>
      <c r="B44" s="18" t="s">
        <v>237</v>
      </c>
      <c r="C44" s="2" t="str">
        <f t="shared" si="2"/>
        <v>WCF LT(in air)/m³@15℃</v>
      </c>
      <c r="J44" s="244" t="s">
        <v>1156</v>
      </c>
      <c r="K44" s="244" t="s">
        <v>1157</v>
      </c>
      <c r="L44" s="236" t="str">
        <f t="shared" si="1"/>
        <v>** Qualifying Voyages</v>
      </c>
      <c r="W44" s="28"/>
    </row>
    <row r="45" hidden="1" spans="1:23">
      <c r="A45" s="19" t="s">
        <v>240</v>
      </c>
      <c r="B45" s="20" t="s">
        <v>241</v>
      </c>
      <c r="C45" s="2" t="str">
        <f t="shared" si="2"/>
        <v>LT/MT [T-1] </v>
      </c>
      <c r="J45" s="246" t="s">
        <v>1158</v>
      </c>
      <c r="K45" s="233" t="s">
        <v>1159</v>
      </c>
      <c r="L45" s="236" t="str">
        <f t="shared" si="1"/>
        <v>  Voyages whose VLR ot VDR are within the ±0.30% of the mean vessel/shore ratio.</v>
      </c>
      <c r="W45" s="28"/>
    </row>
    <row r="46" hidden="1" spans="1:23">
      <c r="A46" s="19" t="s">
        <v>244</v>
      </c>
      <c r="B46" s="20" t="s">
        <v>245</v>
      </c>
      <c r="C46" s="2" t="str">
        <f t="shared" si="2"/>
        <v>LT/MT</v>
      </c>
      <c r="J46" s="795" t="s">
        <v>1160</v>
      </c>
      <c r="K46" s="795" t="s">
        <v>1161</v>
      </c>
      <c r="L46" s="236" t="str">
        <f t="shared" si="1"/>
        <v>- Reference Standards: API MPMS Chapter 17.9(2019).</v>
      </c>
      <c r="W46" s="28"/>
    </row>
    <row r="47" hidden="1" spans="1:23">
      <c r="A47" s="17" t="s">
        <v>248</v>
      </c>
      <c r="B47" s="18" t="s">
        <v>249</v>
      </c>
      <c r="C47" s="2" t="str">
        <f t="shared" si="2"/>
        <v>WCF LT(in air)/bbls@60℉ [T-29] </v>
      </c>
      <c r="J47" s="233" t="s">
        <v>1162</v>
      </c>
      <c r="K47" s="233" t="s">
        <v>1163</v>
      </c>
      <c r="L47" s="236" t="str">
        <f t="shared" si="1"/>
        <v>VEF is NOT available due to less than 5 qualifying voyages</v>
      </c>
      <c r="W47" s="28"/>
    </row>
    <row r="48" hidden="1" spans="1:23">
      <c r="A48" s="17" t="s">
        <v>253</v>
      </c>
      <c r="B48" s="18" t="s">
        <v>254</v>
      </c>
      <c r="C48" s="2" t="str">
        <f t="shared" si="2"/>
        <v>WCF LT(in air)/bbls@60℉</v>
      </c>
      <c r="W48" s="28"/>
    </row>
    <row r="49" hidden="1" spans="1:23">
      <c r="A49" s="17" t="s">
        <v>259</v>
      </c>
      <c r="B49" s="18" t="s">
        <v>260</v>
      </c>
      <c r="C49" s="2" t="str">
        <f t="shared" si="2"/>
        <v>WCF LT(in air)/bbls@60℉ [T-11] </v>
      </c>
      <c r="W49" s="28"/>
    </row>
    <row r="50" hidden="1" spans="1:23">
      <c r="A50" s="17" t="s">
        <v>253</v>
      </c>
      <c r="B50" s="18" t="s">
        <v>254</v>
      </c>
      <c r="C50" s="2" t="str">
        <f t="shared" si="2"/>
        <v>WCF LT(in air)/bbls@60℉</v>
      </c>
      <c r="W50" s="28"/>
    </row>
    <row r="51" hidden="1" spans="1:23">
      <c r="A51" s="17" t="s">
        <v>265</v>
      </c>
      <c r="B51" s="18" t="s">
        <v>266</v>
      </c>
      <c r="C51" s="2" t="str">
        <f t="shared" si="2"/>
        <v>WCF LT(in vacuo)/m³@15℃ [T-57]</v>
      </c>
      <c r="W51" s="28"/>
    </row>
    <row r="52" hidden="1" spans="1:23">
      <c r="A52" s="17" t="s">
        <v>268</v>
      </c>
      <c r="B52" s="18" t="s">
        <v>269</v>
      </c>
      <c r="C52" s="2" t="str">
        <f t="shared" si="2"/>
        <v>WCF LT(in vacuo)/m³@15℃</v>
      </c>
      <c r="W52" s="28"/>
    </row>
    <row r="53" hidden="1" spans="1:23">
      <c r="A53" s="19" t="s">
        <v>240</v>
      </c>
      <c r="B53" s="20" t="s">
        <v>241</v>
      </c>
      <c r="C53" s="2" t="str">
        <f t="shared" si="2"/>
        <v>LT/MT [T-1] </v>
      </c>
      <c r="W53" s="28"/>
    </row>
    <row r="54" hidden="1" spans="1:23">
      <c r="A54" s="19" t="s">
        <v>244</v>
      </c>
      <c r="B54" s="20" t="s">
        <v>245</v>
      </c>
      <c r="C54" s="2" t="str">
        <f t="shared" si="2"/>
        <v>LT/MT</v>
      </c>
      <c r="W54" s="28"/>
    </row>
    <row r="55" hidden="1" spans="1:23">
      <c r="A55" s="17" t="s">
        <v>273</v>
      </c>
      <c r="B55" s="18" t="s">
        <v>274</v>
      </c>
      <c r="C55" s="2" t="str">
        <f t="shared" si="2"/>
        <v>WCF LT(in vacuo)/bbls@60℉ [T-29]</v>
      </c>
      <c r="W55" s="31"/>
    </row>
    <row r="56" hidden="1" spans="1:23">
      <c r="A56" s="17" t="s">
        <v>276</v>
      </c>
      <c r="B56" s="18" t="s">
        <v>277</v>
      </c>
      <c r="C56" s="2" t="str">
        <f t="shared" si="2"/>
        <v>WCF LT(in vacuo)/bbls@60℉</v>
      </c>
      <c r="W56" s="28"/>
    </row>
    <row r="57" hidden="1" spans="1:23">
      <c r="A57" s="17" t="s">
        <v>279</v>
      </c>
      <c r="B57" s="18" t="s">
        <v>280</v>
      </c>
      <c r="C57" s="2" t="str">
        <f t="shared" si="2"/>
        <v>WCF LT(in vacuo)/bbls@60℉ [T-11]</v>
      </c>
      <c r="W57" s="28"/>
    </row>
    <row r="58" hidden="1" spans="1:23">
      <c r="A58" s="17" t="s">
        <v>276</v>
      </c>
      <c r="B58" s="18" t="s">
        <v>277</v>
      </c>
      <c r="C58" s="2" t="str">
        <f t="shared" si="2"/>
        <v>WCF LT(in vacuo)/bbls@60℉</v>
      </c>
      <c r="W58" s="28"/>
    </row>
    <row r="59" hidden="1" spans="1:23">
      <c r="A59" s="22" t="s">
        <v>283</v>
      </c>
      <c r="B59" s="21" t="s">
        <v>284</v>
      </c>
      <c r="C59" s="2" t="str">
        <f t="shared" si="2"/>
        <v>bbls@60℉/m³@15℃ [T-52]</v>
      </c>
      <c r="W59" s="28"/>
    </row>
    <row r="60" hidden="1" spans="1:23">
      <c r="A60" s="22" t="s">
        <v>286</v>
      </c>
      <c r="B60" s="21" t="s">
        <v>287</v>
      </c>
      <c r="C60" s="2" t="str">
        <f t="shared" si="2"/>
        <v>bbls@60℉/m³@15℃</v>
      </c>
      <c r="W60" s="28"/>
    </row>
    <row r="61" hidden="1" spans="1:23">
      <c r="A61" s="23" t="s">
        <v>290</v>
      </c>
      <c r="B61" s="24" t="s">
        <v>291</v>
      </c>
      <c r="C61" s="2" t="str">
        <f t="shared" si="2"/>
        <v>bbls@60℉/MT(in air)</v>
      </c>
      <c r="W61" s="28"/>
    </row>
    <row r="62" hidden="1" spans="1:23">
      <c r="A62" s="2" t="s">
        <v>294</v>
      </c>
      <c r="B62" s="9" t="s">
        <v>295</v>
      </c>
      <c r="C62" s="2" t="str">
        <f t="shared" si="2"/>
        <v>Standard Volume</v>
      </c>
      <c r="W62" s="28"/>
    </row>
    <row r="63" ht="16.5" hidden="1" spans="1:23">
      <c r="A63" s="2" t="s">
        <v>298</v>
      </c>
      <c r="B63" s="2" t="s">
        <v>299</v>
      </c>
      <c r="C63" s="2" t="str">
        <f t="shared" si="2"/>
        <v>m³@15℃/m³@20℃ [1/VCF(15℃)]</v>
      </c>
      <c r="W63" s="28"/>
    </row>
    <row r="64" hidden="1" spans="1:23">
      <c r="A64" s="22" t="s">
        <v>302</v>
      </c>
      <c r="B64" s="21" t="s">
        <v>303</v>
      </c>
      <c r="C64" s="2" t="str">
        <f t="shared" si="2"/>
        <v>m³@15℃/bbls@60℉ [T-22]</v>
      </c>
      <c r="W64" s="28"/>
    </row>
    <row r="65" ht="15" hidden="1" customHeight="1" spans="1:23">
      <c r="A65" s="22" t="s">
        <v>306</v>
      </c>
      <c r="B65" s="19" t="s">
        <v>307</v>
      </c>
      <c r="C65" s="2" t="str">
        <f t="shared" si="2"/>
        <v>m³@15℃/bbls@60℉</v>
      </c>
      <c r="W65" s="28"/>
    </row>
    <row r="66" hidden="1" spans="1:23">
      <c r="A66" s="22" t="s">
        <v>310</v>
      </c>
      <c r="B66" s="21" t="s">
        <v>311</v>
      </c>
      <c r="C66" s="2" t="str">
        <f t="shared" ref="C66:C85" si="3">IF(Report_Language=$A$1,A66,B66)</f>
        <v>m³@15℃/bbls@60℉ [T-4] </v>
      </c>
      <c r="W66" s="28"/>
    </row>
    <row r="67" hidden="1" spans="1:23">
      <c r="A67" s="22" t="s">
        <v>306</v>
      </c>
      <c r="B67" s="21" t="s">
        <v>314</v>
      </c>
      <c r="C67" s="2" t="str">
        <f t="shared" si="3"/>
        <v>m³@15℃/bbls@60℉</v>
      </c>
      <c r="W67" s="28"/>
    </row>
    <row r="68" hidden="1" spans="1:23">
      <c r="A68" s="19" t="s">
        <v>317</v>
      </c>
      <c r="B68" s="19" t="s">
        <v>318</v>
      </c>
      <c r="C68" s="2" t="str">
        <f t="shared" si="3"/>
        <v>m³@20℃/m³@15℃ [1/VCF(20℃)]</v>
      </c>
      <c r="W68" s="28"/>
    </row>
    <row r="69" hidden="1" spans="1:23">
      <c r="A69" s="17" t="s">
        <v>321</v>
      </c>
      <c r="B69" s="17" t="s">
        <v>322</v>
      </c>
      <c r="C69" s="2" t="str">
        <f t="shared" si="3"/>
        <v>m³@20℃/bbls@60℉ [T-4] x VCF(59℉)/VCF(68℉)</v>
      </c>
      <c r="W69" s="28"/>
    </row>
    <row r="70" hidden="1" spans="1:23">
      <c r="A70" s="17" t="s">
        <v>325</v>
      </c>
      <c r="B70" s="17" t="s">
        <v>326</v>
      </c>
      <c r="C70" s="2" t="str">
        <f t="shared" si="3"/>
        <v>m³@20℃/bbls@60℉</v>
      </c>
      <c r="W70" s="28"/>
    </row>
    <row r="71" hidden="1" spans="1:23">
      <c r="A71" s="17" t="s">
        <v>329</v>
      </c>
      <c r="B71" s="17" t="s">
        <v>330</v>
      </c>
      <c r="C71" s="2" t="str">
        <f t="shared" si="3"/>
        <v>m³@20℃/bbls@60℉ [T-22] x VCF(59℉)/VCF(68℉)</v>
      </c>
      <c r="W71" s="28"/>
    </row>
    <row r="72" hidden="1" spans="1:23">
      <c r="A72" s="17" t="s">
        <v>325</v>
      </c>
      <c r="B72" s="17" t="s">
        <v>333</v>
      </c>
      <c r="C72" s="2" t="str">
        <f t="shared" si="3"/>
        <v>m³@20℃/bbls@60℉</v>
      </c>
      <c r="W72" s="28"/>
    </row>
    <row r="73" hidden="1" spans="1:23">
      <c r="A73" s="19" t="s">
        <v>336</v>
      </c>
      <c r="B73" s="21" t="s">
        <v>337</v>
      </c>
      <c r="C73" s="2" t="str">
        <f t="shared" si="3"/>
        <v>m³@30℃/m³@15℃ [1/VCF(30℃)]</v>
      </c>
      <c r="W73" s="28"/>
    </row>
    <row r="74" hidden="1" spans="1:38">
      <c r="A74" s="19" t="s">
        <v>340</v>
      </c>
      <c r="B74" s="21" t="s">
        <v>341</v>
      </c>
      <c r="C74" s="2" t="str">
        <f t="shared" si="3"/>
        <v>m³@30℃/m³@20℃ [1/VCF(30℃)]</v>
      </c>
      <c r="Q74" s="39"/>
      <c r="R74"/>
      <c r="S74"/>
      <c r="T74"/>
      <c r="U74"/>
      <c r="V74"/>
      <c r="W74" s="28"/>
      <c r="AH74"/>
      <c r="AI74"/>
      <c r="AJ74"/>
      <c r="AK74"/>
      <c r="AL74"/>
    </row>
    <row r="75" hidden="1" spans="1:38">
      <c r="A75" s="17" t="s">
        <v>344</v>
      </c>
      <c r="B75" s="17" t="s">
        <v>345</v>
      </c>
      <c r="C75" s="2" t="str">
        <f t="shared" si="3"/>
        <v>m³@30℃/bbls@60℉ [T-4] x VCF(59℉)/VCF(86℉)</v>
      </c>
      <c r="Q75" s="39"/>
      <c r="R75"/>
      <c r="S75"/>
      <c r="T75"/>
      <c r="U75"/>
      <c r="V75"/>
      <c r="W75" s="28"/>
      <c r="AH75"/>
      <c r="AI75"/>
      <c r="AJ75"/>
      <c r="AK75"/>
      <c r="AL75"/>
    </row>
    <row r="76" hidden="1" spans="1:38">
      <c r="A76" s="17" t="s">
        <v>348</v>
      </c>
      <c r="B76" s="17" t="s">
        <v>349</v>
      </c>
      <c r="C76" s="2" t="str">
        <f t="shared" si="3"/>
        <v>m³@30℃/bbls@60℉</v>
      </c>
      <c r="Q76"/>
      <c r="R76"/>
      <c r="S76"/>
      <c r="T76"/>
      <c r="U76"/>
      <c r="V76"/>
      <c r="W76" s="28"/>
      <c r="AG76"/>
      <c r="AH76"/>
      <c r="AI76"/>
      <c r="AJ76"/>
      <c r="AK76"/>
      <c r="AL76"/>
    </row>
    <row r="77" ht="15" hidden="1" customHeight="1" spans="1:38">
      <c r="A77" s="17" t="s">
        <v>350</v>
      </c>
      <c r="B77" s="17" t="s">
        <v>351</v>
      </c>
      <c r="C77" s="2" t="str">
        <f t="shared" si="3"/>
        <v>m³@30℃/bbls@60℉ [T-22] x VCF(59℉)/VCF(86℉)</v>
      </c>
      <c r="Q77" s="306"/>
      <c r="R77" s="306"/>
      <c r="S77" s="306"/>
      <c r="T77" s="306"/>
      <c r="U77" s="306"/>
      <c r="V77" s="306"/>
      <c r="W77" s="306"/>
      <c r="X77" s="307"/>
      <c r="Y77" s="307"/>
      <c r="Z77" s="307"/>
      <c r="AA77" s="307"/>
      <c r="AB77" s="307"/>
      <c r="AC77" s="307"/>
      <c r="AD77" s="307"/>
      <c r="AE77" s="307"/>
      <c r="AF77" s="307"/>
      <c r="AG77" s="306"/>
      <c r="AH77" s="306"/>
      <c r="AI77" s="306"/>
      <c r="AJ77" s="306"/>
      <c r="AK77" s="306"/>
      <c r="AL77" s="306"/>
    </row>
    <row r="78" hidden="1" spans="1:38">
      <c r="A78" s="17" t="s">
        <v>348</v>
      </c>
      <c r="B78" s="17" t="s">
        <v>352</v>
      </c>
      <c r="C78" s="2" t="str">
        <f t="shared" si="3"/>
        <v>m³@30℃/bbls@60℉</v>
      </c>
      <c r="Q78" s="308"/>
      <c r="R78" s="308"/>
      <c r="S78" s="308"/>
      <c r="T78" s="308"/>
      <c r="U78" s="308"/>
      <c r="V78" s="308"/>
      <c r="W78" s="306"/>
      <c r="X78" s="307"/>
      <c r="Y78" s="307"/>
      <c r="Z78" s="307"/>
      <c r="AA78" s="307"/>
      <c r="AB78" s="307"/>
      <c r="AC78" s="307"/>
      <c r="AD78" s="307"/>
      <c r="AE78" s="307"/>
      <c r="AF78" s="307"/>
      <c r="AG78" s="307"/>
      <c r="AH78" s="308"/>
      <c r="AI78" s="307"/>
      <c r="AJ78" s="308"/>
      <c r="AK78" s="308"/>
      <c r="AL78" s="308"/>
    </row>
    <row r="79" hidden="1" spans="1:38">
      <c r="A79" s="5" t="s">
        <v>353</v>
      </c>
      <c r="B79" s="32" t="s">
        <v>354</v>
      </c>
      <c r="C79" s="2" t="str">
        <f t="shared" si="3"/>
        <v>US Gallon/US Barrels [T-1]</v>
      </c>
      <c r="Q79" s="308"/>
      <c r="R79" s="308"/>
      <c r="S79" s="308"/>
      <c r="T79" s="308"/>
      <c r="U79" s="308"/>
      <c r="V79" s="308"/>
      <c r="W79" s="306"/>
      <c r="X79" s="307"/>
      <c r="Y79" s="307"/>
      <c r="Z79" s="307"/>
      <c r="AA79" s="307"/>
      <c r="AB79" s="307"/>
      <c r="AC79" s="307"/>
      <c r="AD79" s="307"/>
      <c r="AE79" s="307"/>
      <c r="AF79" s="307"/>
      <c r="AG79" s="307"/>
      <c r="AH79" s="308"/>
      <c r="AI79" s="307"/>
      <c r="AJ79" s="308"/>
      <c r="AK79" s="308"/>
      <c r="AL79" s="308"/>
    </row>
    <row r="80" hidden="1" spans="1:38">
      <c r="A80" s="33" t="s">
        <v>355</v>
      </c>
      <c r="B80" s="33" t="s">
        <v>356</v>
      </c>
      <c r="C80" s="2" t="str">
        <f t="shared" si="3"/>
        <v>Master/Chief Officer</v>
      </c>
      <c r="Q80" s="308"/>
      <c r="R80" s="308"/>
      <c r="S80" s="308"/>
      <c r="T80" s="308"/>
      <c r="U80" s="308"/>
      <c r="V80" s="308"/>
      <c r="W80" s="306"/>
      <c r="X80" s="307"/>
      <c r="Y80" s="307"/>
      <c r="Z80" s="307"/>
      <c r="AA80" s="307"/>
      <c r="AB80" s="307"/>
      <c r="AC80" s="307"/>
      <c r="AD80" s="307"/>
      <c r="AE80" s="307"/>
      <c r="AF80" s="307"/>
      <c r="AG80" s="307"/>
      <c r="AH80" s="308"/>
      <c r="AI80" s="307"/>
      <c r="AJ80" s="308"/>
      <c r="AK80" s="308"/>
      <c r="AL80" s="308"/>
    </row>
    <row r="81" hidden="1" spans="1:38">
      <c r="A81" s="34" t="s">
        <v>357</v>
      </c>
      <c r="B81" s="34" t="s">
        <v>358</v>
      </c>
      <c r="C81" s="2" t="str">
        <f t="shared" si="3"/>
        <v>CCIC Surveyor</v>
      </c>
      <c r="Q81" s="308"/>
      <c r="R81" s="308"/>
      <c r="S81" s="308"/>
      <c r="T81" s="308"/>
      <c r="U81" s="308"/>
      <c r="V81" s="308"/>
      <c r="W81" s="306"/>
      <c r="X81" s="307"/>
      <c r="Y81" s="307"/>
      <c r="Z81" s="307"/>
      <c r="AA81" s="307"/>
      <c r="AB81" s="307"/>
      <c r="AC81" s="307"/>
      <c r="AD81" s="307"/>
      <c r="AE81" s="307"/>
      <c r="AF81" s="307"/>
      <c r="AG81" s="307"/>
      <c r="AH81" s="308"/>
      <c r="AI81" s="307"/>
      <c r="AJ81" s="308"/>
      <c r="AK81" s="308"/>
      <c r="AL81" s="308"/>
    </row>
    <row r="82" hidden="1" spans="1:38">
      <c r="A82" s="33" t="s">
        <v>359</v>
      </c>
      <c r="B82" s="33" t="s">
        <v>360</v>
      </c>
      <c r="C82" s="2" t="str">
        <f t="shared" si="3"/>
        <v>Name</v>
      </c>
      <c r="Q82" s="308"/>
      <c r="R82" s="308"/>
      <c r="S82" s="308"/>
      <c r="T82" s="308"/>
      <c r="U82" s="308"/>
      <c r="V82" s="308"/>
      <c r="W82" s="306"/>
      <c r="X82" s="307"/>
      <c r="Y82" s="307"/>
      <c r="Z82" s="307"/>
      <c r="AA82" s="307"/>
      <c r="AB82" s="307"/>
      <c r="AC82" s="307"/>
      <c r="AD82" s="307"/>
      <c r="AE82" s="307"/>
      <c r="AF82" s="307"/>
      <c r="AG82" s="307"/>
      <c r="AH82" s="308"/>
      <c r="AI82" s="307"/>
      <c r="AJ82" s="308"/>
      <c r="AK82" s="308"/>
      <c r="AL82" s="308"/>
    </row>
    <row r="83" hidden="1" spans="1:38">
      <c r="A83" s="34" t="s">
        <v>361</v>
      </c>
      <c r="B83" s="34" t="s">
        <v>362</v>
      </c>
      <c r="C83" s="2" t="str">
        <f t="shared" si="3"/>
        <v>Signature</v>
      </c>
      <c r="I83" s="248"/>
      <c r="J83" s="248"/>
      <c r="K83" s="248"/>
      <c r="L83" s="248"/>
      <c r="M83" s="248"/>
      <c r="N83" s="248"/>
      <c r="O83" s="248"/>
      <c r="P83" s="249"/>
      <c r="Q83" s="308"/>
      <c r="R83" s="308"/>
      <c r="S83" s="308"/>
      <c r="T83" s="308"/>
      <c r="U83" s="308"/>
      <c r="V83" s="308"/>
      <c r="W83" s="306"/>
      <c r="X83" s="307"/>
      <c r="Y83" s="248"/>
      <c r="Z83" s="248"/>
      <c r="AA83" s="248"/>
      <c r="AB83" s="248"/>
      <c r="AC83" s="248"/>
      <c r="AD83" s="248"/>
      <c r="AE83" s="248"/>
      <c r="AF83" s="249"/>
      <c r="AG83" s="307"/>
      <c r="AH83" s="308"/>
      <c r="AI83" s="307"/>
      <c r="AJ83" s="308"/>
      <c r="AK83" s="308"/>
      <c r="AL83" s="308"/>
    </row>
    <row r="84" hidden="1" spans="1:38">
      <c r="A84" s="33" t="s">
        <v>363</v>
      </c>
      <c r="B84" s="33" t="s">
        <v>364</v>
      </c>
      <c r="C84" s="2" t="str">
        <f t="shared" si="3"/>
        <v>Authorized Signature (S)</v>
      </c>
      <c r="I84" s="250"/>
      <c r="J84" s="250"/>
      <c r="K84" s="250"/>
      <c r="L84" s="250"/>
      <c r="M84" s="250"/>
      <c r="N84" s="250"/>
      <c r="O84" s="250"/>
      <c r="P84" s="249"/>
      <c r="Q84" s="308"/>
      <c r="R84" s="308"/>
      <c r="S84" s="308"/>
      <c r="T84" s="308"/>
      <c r="U84" s="308"/>
      <c r="V84" s="308"/>
      <c r="W84" s="306"/>
      <c r="X84" s="307"/>
      <c r="Y84" s="250"/>
      <c r="Z84" s="250"/>
      <c r="AA84" s="250"/>
      <c r="AB84" s="250"/>
      <c r="AC84" s="250"/>
      <c r="AD84" s="250"/>
      <c r="AE84" s="250"/>
      <c r="AF84" s="249"/>
      <c r="AG84" s="307"/>
      <c r="AH84" s="308"/>
      <c r="AI84" s="307"/>
      <c r="AJ84" s="308"/>
      <c r="AK84" s="308"/>
      <c r="AL84" s="308"/>
    </row>
    <row r="85" hidden="1" spans="1:38">
      <c r="A85" s="34" t="s">
        <v>74</v>
      </c>
      <c r="B85" s="34" t="s">
        <v>75</v>
      </c>
      <c r="C85" s="2" t="str">
        <f t="shared" si="3"/>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I85" s="47"/>
      <c r="J85" s="47"/>
      <c r="K85" s="47"/>
      <c r="L85" s="47"/>
      <c r="M85" s="47"/>
      <c r="N85" s="47"/>
      <c r="O85" s="47"/>
      <c r="P85" s="47"/>
      <c r="Q85" s="309"/>
      <c r="R85" s="309"/>
      <c r="S85" s="309"/>
      <c r="T85" s="310"/>
      <c r="U85" s="310"/>
      <c r="V85" s="310"/>
      <c r="W85" s="306"/>
      <c r="X85" s="307"/>
      <c r="Y85" s="309"/>
      <c r="Z85" s="309"/>
      <c r="AA85" s="309"/>
      <c r="AB85" s="309"/>
      <c r="AC85" s="309"/>
      <c r="AD85" s="309"/>
      <c r="AE85" s="309"/>
      <c r="AF85" s="309"/>
      <c r="AG85" s="309"/>
      <c r="AH85" s="307"/>
      <c r="AI85" s="309"/>
      <c r="AJ85" s="343"/>
      <c r="AK85" s="343"/>
      <c r="AL85" s="343"/>
    </row>
    <row r="86" hidden="1" spans="3:38">
      <c r="C86" s="27"/>
      <c r="D86" s="27"/>
      <c r="E86" s="27"/>
      <c r="F86" s="27"/>
      <c r="G86" s="27"/>
      <c r="H86" s="28"/>
      <c r="I86" s="47"/>
      <c r="J86" s="47"/>
      <c r="K86" s="47"/>
      <c r="L86" s="47"/>
      <c r="M86" s="47"/>
      <c r="N86" s="47"/>
      <c r="O86" s="47"/>
      <c r="P86" s="47"/>
      <c r="Q86" s="309"/>
      <c r="R86" s="309"/>
      <c r="S86" s="309"/>
      <c r="T86" s="311"/>
      <c r="U86" s="311"/>
      <c r="V86" s="311"/>
      <c r="W86" s="306"/>
      <c r="X86" s="307"/>
      <c r="Y86" s="309"/>
      <c r="Z86" s="309"/>
      <c r="AA86" s="309"/>
      <c r="AB86" s="309"/>
      <c r="AC86" s="309"/>
      <c r="AD86" s="309"/>
      <c r="AE86" s="309"/>
      <c r="AF86" s="309"/>
      <c r="AG86" s="309"/>
      <c r="AH86" s="306"/>
      <c r="AI86" s="309"/>
      <c r="AJ86" s="344"/>
      <c r="AK86" s="344"/>
      <c r="AL86" s="344"/>
    </row>
    <row r="87" hidden="1" spans="3:38">
      <c r="C87" s="27"/>
      <c r="D87" s="27"/>
      <c r="E87" s="27"/>
      <c r="F87" s="27"/>
      <c r="G87" s="27"/>
      <c r="H87" s="28"/>
      <c r="I87" s="47"/>
      <c r="J87" s="47"/>
      <c r="K87" s="47"/>
      <c r="L87" s="47"/>
      <c r="M87" s="47"/>
      <c r="N87" s="47"/>
      <c r="O87" s="47"/>
      <c r="P87"/>
      <c r="Q87" s="306"/>
      <c r="R87" s="306"/>
      <c r="S87" s="309"/>
      <c r="T87" s="311"/>
      <c r="U87" s="311"/>
      <c r="V87" s="311"/>
      <c r="W87" s="306"/>
      <c r="X87" s="307"/>
      <c r="Y87" s="309"/>
      <c r="Z87" s="309"/>
      <c r="AA87" s="309"/>
      <c r="AB87" s="309"/>
      <c r="AC87" s="309"/>
      <c r="AD87" s="309"/>
      <c r="AE87" s="309"/>
      <c r="AF87" s="309"/>
      <c r="AG87" s="309"/>
      <c r="AH87" s="309"/>
      <c r="AI87" s="309"/>
      <c r="AJ87" s="309"/>
      <c r="AK87" s="309"/>
      <c r="AL87" s="309"/>
    </row>
    <row r="88" hidden="1" spans="1:38">
      <c r="A88" t="str">
        <f>IF(OR(B87="隐藏",C87="隐藏"),"隐藏","显示")</f>
        <v>显示</v>
      </c>
      <c r="I88" s="47"/>
      <c r="J88" s="47"/>
      <c r="K88" s="47"/>
      <c r="L88" s="47"/>
      <c r="M88" s="47"/>
      <c r="N88" s="47"/>
      <c r="O88" s="47"/>
      <c r="S88" s="47"/>
      <c r="T88" s="312"/>
      <c r="U88" s="312"/>
      <c r="V88" s="312"/>
      <c r="Y88" s="47"/>
      <c r="Z88" s="47"/>
      <c r="AA88" s="47"/>
      <c r="AB88" s="47"/>
      <c r="AC88" s="47"/>
      <c r="AD88" s="47"/>
      <c r="AE88"/>
      <c r="AF88"/>
      <c r="AG88" s="47"/>
      <c r="AH88" s="47"/>
      <c r="AI88" s="47"/>
      <c r="AJ88" s="47"/>
      <c r="AK88" s="47"/>
      <c r="AL88" s="47"/>
    </row>
    <row r="89" ht="13.8" customHeight="1" spans="1:22">
      <c r="A89" t="str">
        <f>IF(OR(B89="隐藏",C89="隐藏"),"隐藏","显示")</f>
        <v>显示</v>
      </c>
      <c r="I89" s="47"/>
      <c r="J89" s="47"/>
      <c r="K89" s="47"/>
      <c r="L89" s="47"/>
      <c r="M89" s="47"/>
      <c r="N89" s="47"/>
      <c r="O89" s="47"/>
      <c r="Q89" s="47" t="str">
        <f>L2</f>
        <v>JOB NO.</v>
      </c>
      <c r="R89" s="313"/>
      <c r="S89" s="47" t="str">
        <f>单号</f>
        <v>这就是爱</v>
      </c>
      <c r="T89" s="312"/>
      <c r="U89" s="312"/>
      <c r="V89" s="312"/>
    </row>
    <row r="90" ht="13.8" customHeight="1" spans="1:22">
      <c r="A90" t="str">
        <f t="shared" ref="A90:A140" si="4">IF(OR(B90="隐藏",C90="隐藏"),"隐藏","显示")</f>
        <v>显示</v>
      </c>
      <c r="I90" s="47"/>
      <c r="J90" s="47"/>
      <c r="K90" s="47"/>
      <c r="L90" s="47"/>
      <c r="M90" s="47"/>
      <c r="N90" s="47"/>
      <c r="O90" s="47"/>
      <c r="Q90" s="47" t="str">
        <f>L3</f>
        <v>DATE OF REPORT</v>
      </c>
      <c r="R90" s="313"/>
      <c r="S90" s="47" t="str">
        <f>报告日期</f>
        <v>YYYY-MM-DD</v>
      </c>
      <c r="T90" s="47"/>
      <c r="U90" s="47"/>
      <c r="V90" s="47"/>
    </row>
    <row r="91" ht="13.8" customHeight="1" spans="1:22">
      <c r="A91" t="str">
        <f t="shared" si="4"/>
        <v>显示</v>
      </c>
      <c r="I91" s="47"/>
      <c r="J91" s="47"/>
      <c r="K91" s="47"/>
      <c r="L91" s="47"/>
      <c r="M91" s="47"/>
      <c r="N91" s="47"/>
      <c r="O91"/>
      <c r="P91"/>
      <c r="Q91" s="47"/>
      <c r="R91" s="47"/>
      <c r="S91" s="47"/>
      <c r="T91" s="47"/>
      <c r="U91" s="47"/>
      <c r="V91" s="47"/>
    </row>
    <row r="92" ht="12.6" customHeight="1" spans="1:22">
      <c r="A92" t="str">
        <f t="shared" si="4"/>
        <v>显示</v>
      </c>
      <c r="B92" t="str">
        <f>IF(隐藏客户名称,"隐藏","显示")</f>
        <v>显示</v>
      </c>
      <c r="C92" t="b">
        <v>0</v>
      </c>
      <c r="I92" s="251" t="str">
        <f>L10</f>
        <v>VESSEL EXPERIENCE FACTOR REPORT</v>
      </c>
      <c r="J92" s="251"/>
      <c r="K92" s="251"/>
      <c r="L92" s="251"/>
      <c r="M92" s="251"/>
      <c r="N92" s="252"/>
      <c r="O92" s="120" t="str">
        <f t="shared" ref="O92:O98" si="5">C4</f>
        <v>APPLICANT</v>
      </c>
      <c r="P92" s="253"/>
      <c r="Q92" s="88" t="str">
        <f>客户名</f>
        <v>PETROCHINA </v>
      </c>
      <c r="R92" s="89"/>
      <c r="S92" s="89"/>
      <c r="T92" s="89"/>
      <c r="U92" s="89"/>
      <c r="V92" s="90"/>
    </row>
    <row r="93" ht="12.6" customHeight="1" spans="1:22">
      <c r="A93" t="str">
        <f t="shared" si="4"/>
        <v>显示</v>
      </c>
      <c r="B93" t="str">
        <f>IF(隐藏客户编号,"隐藏","显示")</f>
        <v>显示</v>
      </c>
      <c r="C93" t="b">
        <v>0</v>
      </c>
      <c r="I93" s="251"/>
      <c r="J93" s="251"/>
      <c r="K93" s="251"/>
      <c r="L93" s="251"/>
      <c r="M93" s="251"/>
      <c r="N93" s="252"/>
      <c r="O93" s="120" t="str">
        <f t="shared" si="5"/>
        <v>CLIENT'S REF. NO.</v>
      </c>
      <c r="P93" s="253"/>
      <c r="Q93" s="91" t="str">
        <f>客户编号</f>
        <v>说也说不清楚</v>
      </c>
      <c r="R93" s="92"/>
      <c r="S93" s="92"/>
      <c r="T93" s="92"/>
      <c r="U93" s="92"/>
      <c r="V93" s="93"/>
    </row>
    <row r="94" ht="12.6" customHeight="1" spans="1:22">
      <c r="A94" t="str">
        <f t="shared" si="4"/>
        <v>显示</v>
      </c>
      <c r="D94" s="25"/>
      <c r="E94" s="28"/>
      <c r="F94" s="28"/>
      <c r="G94" s="29"/>
      <c r="I94" s="251"/>
      <c r="J94" s="251"/>
      <c r="K94" s="251"/>
      <c r="L94" s="251"/>
      <c r="M94" s="251"/>
      <c r="N94" s="252"/>
      <c r="O94" s="120" t="str">
        <f t="shared" si="5"/>
        <v>COMMODITY</v>
      </c>
      <c r="P94" s="253"/>
      <c r="Q94" s="91" t="str">
        <f>品名</f>
        <v>Crude Oil6658</v>
      </c>
      <c r="R94" s="92"/>
      <c r="S94" s="92"/>
      <c r="T94" s="92"/>
      <c r="U94" s="92"/>
      <c r="V94" s="93"/>
    </row>
    <row r="95" ht="12.6" customHeight="1" spans="1:22">
      <c r="A95" t="str">
        <f t="shared" si="4"/>
        <v>显示</v>
      </c>
      <c r="B95" t="str">
        <f>IF(隐藏船名,"隐藏","显示")</f>
        <v>显示</v>
      </c>
      <c r="C95" t="b">
        <v>0</v>
      </c>
      <c r="D95" s="25"/>
      <c r="E95" s="35"/>
      <c r="F95" s="28"/>
      <c r="G95" s="29"/>
      <c r="I95" s="251"/>
      <c r="J95" s="251"/>
      <c r="K95" s="251"/>
      <c r="L95" s="251"/>
      <c r="M95" s="251"/>
      <c r="N95" s="252"/>
      <c r="O95" s="120" t="str">
        <f t="shared" si="5"/>
        <v>VESSEL</v>
      </c>
      <c r="P95" s="253"/>
      <c r="Q95" s="91" t="str">
        <f>船名</f>
        <v>MT ZhenYuanefdasdf</v>
      </c>
      <c r="R95" s="92"/>
      <c r="S95" s="92"/>
      <c r="T95" s="92"/>
      <c r="U95" s="92"/>
      <c r="V95" s="93"/>
    </row>
    <row r="96" ht="12.6" customHeight="1" spans="1:22">
      <c r="A96" t="str">
        <f t="shared" si="4"/>
        <v>显示</v>
      </c>
      <c r="B96" t="str">
        <f>IF(隐藏港口名称,"隐藏","显示")</f>
        <v>显示</v>
      </c>
      <c r="C96" t="b">
        <v>0</v>
      </c>
      <c r="D96" s="25"/>
      <c r="E96" s="28"/>
      <c r="F96" s="28"/>
      <c r="G96" s="29"/>
      <c r="I96" s="251"/>
      <c r="J96" s="251"/>
      <c r="K96" s="251"/>
      <c r="L96" s="251"/>
      <c r="M96" s="251"/>
      <c r="N96" s="252"/>
      <c r="O96" s="120" t="str">
        <f t="shared" si="5"/>
        <v>PORT</v>
      </c>
      <c r="P96" s="253"/>
      <c r="Q96" s="91" t="str">
        <f>港口名</f>
        <v>Dalian, Chinafsadfa</v>
      </c>
      <c r="R96" s="92"/>
      <c r="S96" s="92"/>
      <c r="T96" s="92"/>
      <c r="U96" s="92"/>
      <c r="V96" s="93"/>
    </row>
    <row r="97" ht="12.6" customHeight="1" spans="1:22">
      <c r="A97" t="str">
        <f t="shared" si="4"/>
        <v>显示</v>
      </c>
      <c r="B97" t="str">
        <f>IF(隐藏油库名称,"隐藏","显示")</f>
        <v>显示</v>
      </c>
      <c r="C97" t="b">
        <v>0</v>
      </c>
      <c r="D97" s="25"/>
      <c r="E97" s="28"/>
      <c r="F97" s="28"/>
      <c r="G97" s="29"/>
      <c r="I97" s="251"/>
      <c r="J97" s="251"/>
      <c r="K97" s="251"/>
      <c r="L97" s="251"/>
      <c r="M97" s="251"/>
      <c r="N97" s="252"/>
      <c r="O97" s="120" t="str">
        <f t="shared" si="5"/>
        <v>TERMINAL</v>
      </c>
      <c r="P97" s="253"/>
      <c r="Q97" s="91" t="str">
        <f>油库名</f>
        <v>Dalian Chinaoil, China1325415</v>
      </c>
      <c r="R97" s="92"/>
      <c r="S97" s="92"/>
      <c r="T97" s="92"/>
      <c r="U97" s="92"/>
      <c r="V97" s="93"/>
    </row>
    <row r="98" ht="12.6" customHeight="1" spans="1:22">
      <c r="A98" t="str">
        <f t="shared" si="4"/>
        <v>显示</v>
      </c>
      <c r="D98" s="25"/>
      <c r="E98" s="28"/>
      <c r="F98" s="28"/>
      <c r="G98" s="29"/>
      <c r="I98" s="251"/>
      <c r="J98" s="251"/>
      <c r="K98" s="251"/>
      <c r="L98" s="251"/>
      <c r="M98" s="251"/>
      <c r="N98" s="252"/>
      <c r="O98" s="120" t="str">
        <f t="shared" si="5"/>
        <v>DATE OF INSPECTION</v>
      </c>
      <c r="P98" s="253"/>
      <c r="Q98" s="91" t="str">
        <f>检验日期</f>
        <v>YYYY-MM-DD To YYYY-MM-DD</v>
      </c>
      <c r="R98" s="92"/>
      <c r="S98" s="92"/>
      <c r="T98" s="92"/>
      <c r="U98" s="92"/>
      <c r="V98" s="93"/>
    </row>
    <row r="99" ht="15" spans="1:7">
      <c r="A99" t="str">
        <f t="shared" si="4"/>
        <v>显示</v>
      </c>
      <c r="D99" s="25"/>
      <c r="E99" s="28"/>
      <c r="F99" s="28"/>
      <c r="G99" s="29"/>
    </row>
    <row r="100" ht="13.95" customHeight="1" spans="1:22">
      <c r="A100" t="str">
        <f t="shared" si="4"/>
        <v>显示</v>
      </c>
      <c r="D100" s="25"/>
      <c r="E100" s="28"/>
      <c r="F100" s="28"/>
      <c r="G100" s="29"/>
      <c r="I100" s="254" t="str">
        <f>L23</f>
        <v>List</v>
      </c>
      <c r="J100" s="255"/>
      <c r="K100" s="256" t="str">
        <f>L24</f>
        <v>Voyage Number</v>
      </c>
      <c r="L100" s="257" t="str">
        <f>L25</f>
        <v>Date</v>
      </c>
      <c r="M100" s="258" t="str">
        <f>L26</f>
        <v>Port</v>
      </c>
      <c r="N100" s="259"/>
      <c r="O100" s="257" t="str">
        <f>L27</f>
        <v>Cargo</v>
      </c>
      <c r="P100" s="256" t="str">
        <f>L28</f>
        <v>Vessel Sailing TCV</v>
      </c>
      <c r="Q100" s="256" t="str">
        <f>L29</f>
        <v>OBQ</v>
      </c>
      <c r="R100" s="256" t="str">
        <f>L30</f>
        <v>Vessel Loaded TCV</v>
      </c>
      <c r="S100" s="256" t="str">
        <f>L31</f>
        <v>Shore TCV 
B/L</v>
      </c>
      <c r="T100" s="256" t="str">
        <f>L32</f>
        <v>Ship/
Shore Ratio</v>
      </c>
      <c r="U100" s="256" t="str">
        <f>L33</f>
        <v>*
REJ
Voy.</v>
      </c>
      <c r="V100" s="314" t="str">
        <f>L34</f>
        <v>**
Q.Y.</v>
      </c>
    </row>
    <row r="101" ht="13.95" customHeight="1" spans="1:39">
      <c r="A101" t="str">
        <f t="shared" si="4"/>
        <v>显示</v>
      </c>
      <c r="D101" s="25"/>
      <c r="E101" s="28"/>
      <c r="F101" s="28"/>
      <c r="G101" s="29"/>
      <c r="I101" s="260"/>
      <c r="J101" s="261"/>
      <c r="K101" s="262"/>
      <c r="L101" s="263"/>
      <c r="M101" s="264"/>
      <c r="N101" s="265"/>
      <c r="O101" s="263"/>
      <c r="P101" s="262"/>
      <c r="Q101" s="262"/>
      <c r="R101" s="262"/>
      <c r="S101" s="262"/>
      <c r="T101" s="262"/>
      <c r="U101" s="262"/>
      <c r="V101" s="315"/>
      <c r="X101" s="247"/>
      <c r="AM101" s="247"/>
    </row>
    <row r="102" ht="13.95" customHeight="1" spans="1:39">
      <c r="A102" t="str">
        <f t="shared" si="4"/>
        <v>显示</v>
      </c>
      <c r="D102" s="25"/>
      <c r="E102" s="28"/>
      <c r="F102" s="28"/>
      <c r="G102" s="29"/>
      <c r="I102" s="266"/>
      <c r="J102" s="267"/>
      <c r="K102" s="268"/>
      <c r="L102" s="269"/>
      <c r="M102" s="270"/>
      <c r="N102" s="271"/>
      <c r="O102" s="269"/>
      <c r="P102" s="268"/>
      <c r="Q102" s="268"/>
      <c r="R102" s="268"/>
      <c r="S102" s="268"/>
      <c r="T102" s="268"/>
      <c r="U102" s="268"/>
      <c r="V102" s="316"/>
      <c r="X102" s="247"/>
      <c r="AM102" s="247"/>
    </row>
    <row r="103" ht="13.2" customHeight="1" spans="1:39">
      <c r="A103" t="str">
        <f t="shared" si="4"/>
        <v>显示</v>
      </c>
      <c r="D103" s="25"/>
      <c r="E103" s="28"/>
      <c r="F103" s="28"/>
      <c r="G103" s="29"/>
      <c r="I103" s="272" t="s">
        <v>1164</v>
      </c>
      <c r="J103" s="273"/>
      <c r="K103" s="274" t="s">
        <v>1165</v>
      </c>
      <c r="L103" s="275" t="s">
        <v>1166</v>
      </c>
      <c r="M103" s="276" t="s">
        <v>1167</v>
      </c>
      <c r="N103" s="277"/>
      <c r="O103" s="278" t="s">
        <v>1168</v>
      </c>
      <c r="P103" s="279">
        <v>684436</v>
      </c>
      <c r="Q103" s="279">
        <v>124</v>
      </c>
      <c r="R103" s="317">
        <f>IF(P103="","",P103-Q103)</f>
        <v>684312</v>
      </c>
      <c r="S103" s="279">
        <v>684300</v>
      </c>
      <c r="T103" s="318">
        <f>IF(OR(P103="",S103=""),"",ROUND(R103/S103,5))</f>
        <v>1.00002</v>
      </c>
      <c r="U103" s="319" t="s">
        <v>1169</v>
      </c>
      <c r="V103" s="320" t="str">
        <f t="shared" ref="V103:V122" si="6">IF(T103="","",IF(OR(U103="A",U103="B",U103="C"),"N",IF(AND(T103&gt;$R$125,T103&lt;$S$125),"Y","N")))</f>
        <v>Y</v>
      </c>
      <c r="X103" s="247"/>
      <c r="AM103" s="247"/>
    </row>
    <row r="104" ht="13.2" customHeight="1" spans="1:39">
      <c r="A104" t="str">
        <f t="shared" si="4"/>
        <v>显示</v>
      </c>
      <c r="D104" s="25"/>
      <c r="E104" s="28"/>
      <c r="F104" s="28"/>
      <c r="G104" s="29"/>
      <c r="I104" s="280" t="s">
        <v>1170</v>
      </c>
      <c r="J104" s="281"/>
      <c r="K104" s="282" t="s">
        <v>1171</v>
      </c>
      <c r="L104" s="283">
        <v>43145</v>
      </c>
      <c r="M104" s="284" t="s">
        <v>1172</v>
      </c>
      <c r="N104" s="285"/>
      <c r="O104" s="286" t="s">
        <v>1173</v>
      </c>
      <c r="P104" s="287">
        <v>603640</v>
      </c>
      <c r="Q104" s="287">
        <v>0</v>
      </c>
      <c r="R104" s="321">
        <f t="shared" ref="R104:R122" si="7">IF(P104="","",P104-Q104)</f>
        <v>603640</v>
      </c>
      <c r="S104" s="287">
        <v>602180</v>
      </c>
      <c r="T104" s="322">
        <f t="shared" ref="T104:T122" si="8">IF(OR(P104="",S104=""),"",ROUND(R104/S104,5))</f>
        <v>1.00242</v>
      </c>
      <c r="U104" s="323" t="s">
        <v>1169</v>
      </c>
      <c r="V104" s="324" t="str">
        <f t="shared" si="6"/>
        <v>N</v>
      </c>
      <c r="X104" s="247"/>
      <c r="AM104" s="247"/>
    </row>
    <row r="105" ht="13.2" customHeight="1" spans="1:39">
      <c r="A105" t="str">
        <f t="shared" si="4"/>
        <v>显示</v>
      </c>
      <c r="D105" s="25"/>
      <c r="E105" s="28"/>
      <c r="F105" s="28"/>
      <c r="G105" s="29"/>
      <c r="I105" s="280" t="s">
        <v>1174</v>
      </c>
      <c r="J105" s="281"/>
      <c r="K105" s="282" t="s">
        <v>1175</v>
      </c>
      <c r="L105" s="283">
        <v>43133</v>
      </c>
      <c r="M105" s="284" t="s">
        <v>1176</v>
      </c>
      <c r="N105" s="285"/>
      <c r="O105" s="286" t="s">
        <v>1173</v>
      </c>
      <c r="P105" s="287">
        <v>2023456</v>
      </c>
      <c r="Q105" s="287">
        <v>343</v>
      </c>
      <c r="R105" s="321">
        <f t="shared" si="7"/>
        <v>2023113</v>
      </c>
      <c r="S105" s="287">
        <v>2109876</v>
      </c>
      <c r="T105" s="322">
        <f t="shared" si="8"/>
        <v>0.95888</v>
      </c>
      <c r="U105" s="323" t="s">
        <v>624</v>
      </c>
      <c r="V105" s="324" t="str">
        <f t="shared" si="6"/>
        <v>N</v>
      </c>
      <c r="X105" s="247"/>
      <c r="AM105" s="247"/>
    </row>
    <row r="106" ht="13.2" customHeight="1" spans="1:39">
      <c r="A106" t="str">
        <f t="shared" si="4"/>
        <v>显示</v>
      </c>
      <c r="D106" s="25"/>
      <c r="E106" s="28"/>
      <c r="F106" s="28"/>
      <c r="G106" s="29"/>
      <c r="I106" s="280" t="s">
        <v>1177</v>
      </c>
      <c r="J106" s="281"/>
      <c r="K106" s="282" t="s">
        <v>1178</v>
      </c>
      <c r="L106" s="283">
        <v>43116</v>
      </c>
      <c r="M106" s="284" t="s">
        <v>1179</v>
      </c>
      <c r="N106" s="285"/>
      <c r="O106" s="286" t="s">
        <v>1173</v>
      </c>
      <c r="P106" s="287">
        <v>666623</v>
      </c>
      <c r="Q106" s="287">
        <v>101</v>
      </c>
      <c r="R106" s="321">
        <f t="shared" si="7"/>
        <v>666522</v>
      </c>
      <c r="S106" s="287">
        <v>668232</v>
      </c>
      <c r="T106" s="322">
        <f t="shared" si="8"/>
        <v>0.99744</v>
      </c>
      <c r="U106" s="323" t="s">
        <v>1169</v>
      </c>
      <c r="V106" s="324" t="str">
        <f t="shared" si="6"/>
        <v>Y</v>
      </c>
      <c r="X106" s="247"/>
      <c r="AM106" s="247"/>
    </row>
    <row r="107" ht="13.2" customHeight="1" spans="1:39">
      <c r="A107" t="str">
        <f t="shared" si="4"/>
        <v>显示</v>
      </c>
      <c r="D107" s="25"/>
      <c r="E107" s="28"/>
      <c r="F107" s="28"/>
      <c r="G107" s="29"/>
      <c r="I107" s="280" t="s">
        <v>1180</v>
      </c>
      <c r="J107" s="281"/>
      <c r="K107" s="282" t="s">
        <v>1181</v>
      </c>
      <c r="L107" s="283">
        <v>43035</v>
      </c>
      <c r="M107" s="284" t="s">
        <v>1182</v>
      </c>
      <c r="N107" s="285"/>
      <c r="O107" s="286" t="s">
        <v>1183</v>
      </c>
      <c r="P107" s="287">
        <v>600150</v>
      </c>
      <c r="Q107" s="287">
        <v>20</v>
      </c>
      <c r="R107" s="321">
        <f t="shared" si="7"/>
        <v>600130</v>
      </c>
      <c r="S107" s="287">
        <v>600501</v>
      </c>
      <c r="T107" s="322">
        <f t="shared" si="8"/>
        <v>0.99938</v>
      </c>
      <c r="U107" s="323" t="s">
        <v>1169</v>
      </c>
      <c r="V107" s="324" t="str">
        <f t="shared" si="6"/>
        <v>Y</v>
      </c>
      <c r="X107" s="247"/>
      <c r="AM107" s="247"/>
    </row>
    <row r="108" ht="13.2" customHeight="1" spans="1:39">
      <c r="A108" t="str">
        <f t="shared" si="4"/>
        <v>显示</v>
      </c>
      <c r="D108" s="25"/>
      <c r="E108" s="28"/>
      <c r="F108" s="28"/>
      <c r="G108" s="29"/>
      <c r="I108" s="280" t="s">
        <v>1184</v>
      </c>
      <c r="J108" s="281"/>
      <c r="K108" s="282" t="s">
        <v>1185</v>
      </c>
      <c r="L108" s="283">
        <v>43009</v>
      </c>
      <c r="M108" s="284" t="s">
        <v>1186</v>
      </c>
      <c r="N108" s="285"/>
      <c r="O108" s="286" t="s">
        <v>1173</v>
      </c>
      <c r="P108" s="287">
        <v>714083</v>
      </c>
      <c r="Q108" s="287">
        <v>65</v>
      </c>
      <c r="R108" s="321">
        <f t="shared" si="7"/>
        <v>714018</v>
      </c>
      <c r="S108" s="287">
        <v>715061</v>
      </c>
      <c r="T108" s="322">
        <f t="shared" si="8"/>
        <v>0.99854</v>
      </c>
      <c r="U108" s="323" t="s">
        <v>1169</v>
      </c>
      <c r="V108" s="324" t="str">
        <f t="shared" si="6"/>
        <v>Y</v>
      </c>
      <c r="X108" s="247"/>
      <c r="AM108" s="247"/>
    </row>
    <row r="109" ht="13.2" customHeight="1" spans="1:22">
      <c r="A109" t="str">
        <f t="shared" si="4"/>
        <v>显示</v>
      </c>
      <c r="D109" s="25"/>
      <c r="E109" s="28"/>
      <c r="F109" s="28"/>
      <c r="G109" s="29"/>
      <c r="I109" s="280" t="s">
        <v>1187</v>
      </c>
      <c r="J109" s="281"/>
      <c r="K109" s="282" t="s">
        <v>1188</v>
      </c>
      <c r="L109" s="283" t="s">
        <v>1189</v>
      </c>
      <c r="M109" s="284" t="s">
        <v>1190</v>
      </c>
      <c r="N109" s="285"/>
      <c r="O109" s="286" t="s">
        <v>1191</v>
      </c>
      <c r="P109" s="287">
        <v>670893</v>
      </c>
      <c r="Q109" s="287">
        <v>64</v>
      </c>
      <c r="R109" s="321">
        <f t="shared" si="7"/>
        <v>670829</v>
      </c>
      <c r="S109" s="287">
        <v>673712</v>
      </c>
      <c r="T109" s="322">
        <f t="shared" si="8"/>
        <v>0.99572</v>
      </c>
      <c r="U109" s="323" t="s">
        <v>1169</v>
      </c>
      <c r="V109" s="324" t="str">
        <f t="shared" si="6"/>
        <v>Y</v>
      </c>
    </row>
    <row r="110" ht="13.2" customHeight="1" spans="1:22">
      <c r="A110" t="str">
        <f t="shared" si="4"/>
        <v>显示</v>
      </c>
      <c r="D110" s="25"/>
      <c r="E110" s="28"/>
      <c r="F110" s="28"/>
      <c r="G110" s="29"/>
      <c r="I110" s="280" t="s">
        <v>1192</v>
      </c>
      <c r="J110" s="281"/>
      <c r="K110" s="282" t="s">
        <v>1193</v>
      </c>
      <c r="L110" s="283">
        <v>42957</v>
      </c>
      <c r="M110" s="284" t="s">
        <v>1194</v>
      </c>
      <c r="N110" s="285"/>
      <c r="O110" s="286" t="s">
        <v>1195</v>
      </c>
      <c r="P110" s="287">
        <v>654434</v>
      </c>
      <c r="Q110" s="287">
        <v>0</v>
      </c>
      <c r="R110" s="321">
        <f t="shared" si="7"/>
        <v>654434</v>
      </c>
      <c r="S110" s="287">
        <v>654434</v>
      </c>
      <c r="T110" s="322">
        <f t="shared" si="8"/>
        <v>1</v>
      </c>
      <c r="U110" s="323" t="s">
        <v>1196</v>
      </c>
      <c r="V110" s="324" t="str">
        <f t="shared" si="6"/>
        <v>N</v>
      </c>
    </row>
    <row r="111" ht="13.2" customHeight="1" spans="1:22">
      <c r="A111" t="str">
        <f t="shared" si="4"/>
        <v>显示</v>
      </c>
      <c r="D111" s="25"/>
      <c r="E111" s="28"/>
      <c r="F111" s="28"/>
      <c r="G111" s="29"/>
      <c r="I111" s="280" t="s">
        <v>1197</v>
      </c>
      <c r="J111" s="281"/>
      <c r="K111" s="282" t="s">
        <v>1198</v>
      </c>
      <c r="L111" s="283">
        <v>42938</v>
      </c>
      <c r="M111" s="284" t="s">
        <v>1176</v>
      </c>
      <c r="N111" s="285"/>
      <c r="O111" s="286" t="s">
        <v>1173</v>
      </c>
      <c r="P111" s="287">
        <v>673499</v>
      </c>
      <c r="Q111" s="287">
        <v>256</v>
      </c>
      <c r="R111" s="321">
        <f t="shared" si="7"/>
        <v>673243</v>
      </c>
      <c r="S111" s="287">
        <v>673945</v>
      </c>
      <c r="T111" s="322">
        <f t="shared" si="8"/>
        <v>0.99896</v>
      </c>
      <c r="U111" s="323" t="s">
        <v>1169</v>
      </c>
      <c r="V111" s="324" t="str">
        <f t="shared" si="6"/>
        <v>Y</v>
      </c>
    </row>
    <row r="112" ht="13.2" customHeight="1" spans="1:22">
      <c r="A112" t="str">
        <f t="shared" si="4"/>
        <v>显示</v>
      </c>
      <c r="D112" s="36"/>
      <c r="E112" s="28"/>
      <c r="F112" s="28"/>
      <c r="G112" s="29"/>
      <c r="I112" s="280" t="s">
        <v>1199</v>
      </c>
      <c r="J112" s="281"/>
      <c r="K112" s="282" t="s">
        <v>1200</v>
      </c>
      <c r="L112" s="283">
        <v>42926</v>
      </c>
      <c r="M112" s="284" t="s">
        <v>1201</v>
      </c>
      <c r="N112" s="285"/>
      <c r="O112" s="286" t="s">
        <v>1202</v>
      </c>
      <c r="P112" s="287">
        <v>586302</v>
      </c>
      <c r="Q112" s="287">
        <v>27</v>
      </c>
      <c r="R112" s="321">
        <f t="shared" si="7"/>
        <v>586275</v>
      </c>
      <c r="S112" s="287">
        <v>586654</v>
      </c>
      <c r="T112" s="322">
        <f t="shared" si="8"/>
        <v>0.99935</v>
      </c>
      <c r="U112" s="323" t="s">
        <v>1169</v>
      </c>
      <c r="V112" s="324" t="str">
        <f t="shared" si="6"/>
        <v>Y</v>
      </c>
    </row>
    <row r="113" ht="13.2" customHeight="1" spans="1:22">
      <c r="A113" t="str">
        <f t="shared" si="4"/>
        <v>显示</v>
      </c>
      <c r="D113" s="36"/>
      <c r="E113" s="28"/>
      <c r="F113" s="28"/>
      <c r="G113" s="29"/>
      <c r="I113" s="280" t="s">
        <v>1203</v>
      </c>
      <c r="J113" s="281"/>
      <c r="K113" s="282" t="s">
        <v>1204</v>
      </c>
      <c r="L113" s="283">
        <v>42900</v>
      </c>
      <c r="M113" s="284" t="s">
        <v>1205</v>
      </c>
      <c r="N113" s="285"/>
      <c r="O113" s="286" t="s">
        <v>1206</v>
      </c>
      <c r="P113" s="287">
        <v>597876</v>
      </c>
      <c r="Q113" s="287">
        <v>152</v>
      </c>
      <c r="R113" s="321">
        <f t="shared" si="7"/>
        <v>597724</v>
      </c>
      <c r="S113" s="287">
        <v>598473</v>
      </c>
      <c r="T113" s="322">
        <f t="shared" si="8"/>
        <v>0.99875</v>
      </c>
      <c r="U113" s="323" t="s">
        <v>1169</v>
      </c>
      <c r="V113" s="324" t="str">
        <f t="shared" si="6"/>
        <v>Y</v>
      </c>
    </row>
    <row r="114" ht="13.2" customHeight="1" spans="1:22">
      <c r="A114" t="str">
        <f t="shared" si="4"/>
        <v>显示</v>
      </c>
      <c r="D114" s="36"/>
      <c r="E114" s="28"/>
      <c r="F114" s="28"/>
      <c r="G114" s="29"/>
      <c r="I114" s="280" t="s">
        <v>1207</v>
      </c>
      <c r="J114" s="281"/>
      <c r="K114" s="282" t="s">
        <v>1208</v>
      </c>
      <c r="L114" s="283">
        <v>42888</v>
      </c>
      <c r="M114" s="284" t="s">
        <v>1209</v>
      </c>
      <c r="N114" s="285"/>
      <c r="O114" s="286" t="s">
        <v>1195</v>
      </c>
      <c r="P114" s="287"/>
      <c r="Q114" s="287"/>
      <c r="R114" s="321" t="str">
        <f t="shared" si="7"/>
        <v/>
      </c>
      <c r="S114" s="287"/>
      <c r="T114" s="322" t="str">
        <f t="shared" si="8"/>
        <v/>
      </c>
      <c r="U114" s="323" t="s">
        <v>1196</v>
      </c>
      <c r="V114" s="324" t="str">
        <f t="shared" si="6"/>
        <v/>
      </c>
    </row>
    <row r="115" ht="13.2" customHeight="1" spans="1:39">
      <c r="A115" t="str">
        <f t="shared" si="4"/>
        <v>显示</v>
      </c>
      <c r="D115" s="36"/>
      <c r="E115" s="28"/>
      <c r="F115" s="28"/>
      <c r="G115" s="29"/>
      <c r="I115" s="280" t="s">
        <v>1210</v>
      </c>
      <c r="J115" s="281"/>
      <c r="K115" s="282" t="s">
        <v>1211</v>
      </c>
      <c r="L115" s="283">
        <v>42860</v>
      </c>
      <c r="M115" s="284" t="s">
        <v>1212</v>
      </c>
      <c r="N115" s="285"/>
      <c r="O115" s="286" t="s">
        <v>1173</v>
      </c>
      <c r="P115" s="287">
        <v>679994</v>
      </c>
      <c r="Q115" s="287">
        <v>65</v>
      </c>
      <c r="R115" s="321">
        <f t="shared" si="7"/>
        <v>679929</v>
      </c>
      <c r="S115" s="287">
        <v>680845</v>
      </c>
      <c r="T115" s="322">
        <f t="shared" si="8"/>
        <v>0.99865</v>
      </c>
      <c r="U115" s="323" t="s">
        <v>1169</v>
      </c>
      <c r="V115" s="324" t="str">
        <f t="shared" si="6"/>
        <v>Y</v>
      </c>
      <c r="X115" s="241"/>
      <c r="AM115" s="345"/>
    </row>
    <row r="116" ht="13.2" customHeight="1" spans="1:39">
      <c r="A116" t="str">
        <f t="shared" si="4"/>
        <v>显示</v>
      </c>
      <c r="D116" s="36"/>
      <c r="E116" s="28"/>
      <c r="F116" s="28"/>
      <c r="G116" s="29"/>
      <c r="I116" s="280" t="s">
        <v>1213</v>
      </c>
      <c r="J116" s="281"/>
      <c r="K116" s="282" t="s">
        <v>1214</v>
      </c>
      <c r="L116" s="283">
        <v>42828</v>
      </c>
      <c r="M116" s="284" t="s">
        <v>1215</v>
      </c>
      <c r="N116" s="285"/>
      <c r="O116" s="286" t="s">
        <v>1195</v>
      </c>
      <c r="P116" s="287">
        <v>650112</v>
      </c>
      <c r="Q116" s="287">
        <v>75</v>
      </c>
      <c r="R116" s="321">
        <f t="shared" si="7"/>
        <v>650037</v>
      </c>
      <c r="S116" s="287">
        <v>650953</v>
      </c>
      <c r="T116" s="322">
        <f t="shared" si="8"/>
        <v>0.99859</v>
      </c>
      <c r="U116" s="323" t="s">
        <v>1169</v>
      </c>
      <c r="V116" s="324" t="str">
        <f t="shared" si="6"/>
        <v>Y</v>
      </c>
      <c r="X116" s="241"/>
      <c r="AM116" s="345"/>
    </row>
    <row r="117" ht="13.2" customHeight="1" spans="1:39">
      <c r="A117" t="str">
        <f t="shared" si="4"/>
        <v>显示</v>
      </c>
      <c r="D117" s="37"/>
      <c r="E117" s="28"/>
      <c r="F117" s="28"/>
      <c r="G117" s="29"/>
      <c r="I117" s="280" t="s">
        <v>1216</v>
      </c>
      <c r="J117" s="281"/>
      <c r="K117" s="282" t="s">
        <v>1217</v>
      </c>
      <c r="L117" s="283">
        <v>42797</v>
      </c>
      <c r="M117" s="284" t="s">
        <v>1218</v>
      </c>
      <c r="N117" s="285"/>
      <c r="O117" s="286" t="s">
        <v>1173</v>
      </c>
      <c r="P117" s="287">
        <v>627714</v>
      </c>
      <c r="Q117" s="287">
        <v>82</v>
      </c>
      <c r="R117" s="321">
        <f t="shared" si="7"/>
        <v>627632</v>
      </c>
      <c r="S117" s="287">
        <v>627944</v>
      </c>
      <c r="T117" s="322">
        <f t="shared" si="8"/>
        <v>0.9995</v>
      </c>
      <c r="U117" s="323" t="s">
        <v>1169</v>
      </c>
      <c r="V117" s="324" t="str">
        <f t="shared" si="6"/>
        <v>Y</v>
      </c>
      <c r="X117" s="241"/>
      <c r="AM117" s="345"/>
    </row>
    <row r="118" ht="13.2" customHeight="1" spans="1:39">
      <c r="A118" t="str">
        <f t="shared" si="4"/>
        <v>显示</v>
      </c>
      <c r="D118" s="37"/>
      <c r="E118" s="28"/>
      <c r="F118" s="28"/>
      <c r="G118" s="29"/>
      <c r="I118" s="280" t="s">
        <v>1219</v>
      </c>
      <c r="J118" s="281"/>
      <c r="K118" s="282" t="s">
        <v>1220</v>
      </c>
      <c r="L118" s="283">
        <v>42790</v>
      </c>
      <c r="M118" s="284" t="s">
        <v>1221</v>
      </c>
      <c r="N118" s="285"/>
      <c r="O118" s="286" t="s">
        <v>1222</v>
      </c>
      <c r="P118" s="287">
        <v>550042</v>
      </c>
      <c r="Q118" s="287">
        <v>36</v>
      </c>
      <c r="R118" s="321">
        <f t="shared" si="7"/>
        <v>550006</v>
      </c>
      <c r="S118" s="287">
        <v>550335</v>
      </c>
      <c r="T118" s="322">
        <f t="shared" si="8"/>
        <v>0.9994</v>
      </c>
      <c r="U118" s="323" t="s">
        <v>1169</v>
      </c>
      <c r="V118" s="324" t="str">
        <f t="shared" si="6"/>
        <v>Y</v>
      </c>
      <c r="X118" s="241"/>
      <c r="AM118" s="345"/>
    </row>
    <row r="119" ht="13.2" customHeight="1" spans="1:39">
      <c r="A119" t="str">
        <f t="shared" si="4"/>
        <v>显示</v>
      </c>
      <c r="D119" s="37"/>
      <c r="E119" s="28"/>
      <c r="F119" s="28"/>
      <c r="G119" s="29"/>
      <c r="I119" s="280" t="s">
        <v>1223</v>
      </c>
      <c r="J119" s="281"/>
      <c r="K119" s="282" t="s">
        <v>1224</v>
      </c>
      <c r="L119" s="283">
        <v>42774</v>
      </c>
      <c r="M119" s="284" t="s">
        <v>1221</v>
      </c>
      <c r="N119" s="285"/>
      <c r="O119" s="286" t="s">
        <v>1222</v>
      </c>
      <c r="P119" s="287"/>
      <c r="Q119" s="287"/>
      <c r="R119" s="321" t="str">
        <f t="shared" si="7"/>
        <v/>
      </c>
      <c r="S119" s="287"/>
      <c r="T119" s="322" t="str">
        <f t="shared" si="8"/>
        <v/>
      </c>
      <c r="U119" s="323" t="s">
        <v>1196</v>
      </c>
      <c r="V119" s="324" t="str">
        <f t="shared" si="6"/>
        <v/>
      </c>
      <c r="X119" s="241"/>
      <c r="AM119" s="345"/>
    </row>
    <row r="120" ht="13.2" customHeight="1" spans="1:39">
      <c r="A120" t="str">
        <f t="shared" si="4"/>
        <v>显示</v>
      </c>
      <c r="E120" s="28"/>
      <c r="F120" s="28"/>
      <c r="G120" s="29"/>
      <c r="I120" s="280" t="s">
        <v>1225</v>
      </c>
      <c r="J120" s="281"/>
      <c r="K120" s="282" t="s">
        <v>1226</v>
      </c>
      <c r="L120" s="283">
        <v>42767</v>
      </c>
      <c r="M120" s="284" t="s">
        <v>1227</v>
      </c>
      <c r="N120" s="285"/>
      <c r="O120" s="286" t="s">
        <v>1173</v>
      </c>
      <c r="P120" s="287">
        <v>645973</v>
      </c>
      <c r="Q120" s="287">
        <v>0</v>
      </c>
      <c r="R120" s="321">
        <f t="shared" si="7"/>
        <v>645973</v>
      </c>
      <c r="S120" s="287">
        <v>648815</v>
      </c>
      <c r="T120" s="322">
        <f t="shared" si="8"/>
        <v>0.99562</v>
      </c>
      <c r="U120" s="323" t="s">
        <v>1169</v>
      </c>
      <c r="V120" s="324" t="str">
        <f t="shared" si="6"/>
        <v>N</v>
      </c>
      <c r="X120" s="241"/>
      <c r="AM120" s="345"/>
    </row>
    <row r="121" ht="13.2" customHeight="1" spans="1:39">
      <c r="A121" t="str">
        <f t="shared" si="4"/>
        <v>显示</v>
      </c>
      <c r="E121" s="28"/>
      <c r="F121" s="28"/>
      <c r="G121" s="29"/>
      <c r="I121" s="280" t="s">
        <v>1228</v>
      </c>
      <c r="J121" s="281"/>
      <c r="K121" s="282" t="s">
        <v>1229</v>
      </c>
      <c r="L121" s="283">
        <v>42750</v>
      </c>
      <c r="M121" s="284" t="s">
        <v>1230</v>
      </c>
      <c r="N121" s="285"/>
      <c r="O121" s="286" t="s">
        <v>1231</v>
      </c>
      <c r="P121" s="287">
        <v>457716</v>
      </c>
      <c r="Q121" s="287">
        <v>15</v>
      </c>
      <c r="R121" s="321">
        <f t="shared" si="7"/>
        <v>457701</v>
      </c>
      <c r="S121" s="287">
        <v>458477</v>
      </c>
      <c r="T121" s="322">
        <f t="shared" si="8"/>
        <v>0.99831</v>
      </c>
      <c r="U121" s="323" t="s">
        <v>1169</v>
      </c>
      <c r="V121" s="324" t="str">
        <f t="shared" si="6"/>
        <v>Y</v>
      </c>
      <c r="X121" s="241"/>
      <c r="AM121" s="345"/>
    </row>
    <row r="122" ht="13.2" customHeight="1" spans="1:39">
      <c r="A122" t="str">
        <f t="shared" si="4"/>
        <v>显示</v>
      </c>
      <c r="E122" s="28"/>
      <c r="F122" s="28"/>
      <c r="G122" s="29"/>
      <c r="I122" s="288" t="s">
        <v>1232</v>
      </c>
      <c r="J122" s="289"/>
      <c r="K122" s="290" t="s">
        <v>1233</v>
      </c>
      <c r="L122" s="291">
        <v>42738</v>
      </c>
      <c r="M122" s="292" t="s">
        <v>1234</v>
      </c>
      <c r="N122" s="293"/>
      <c r="O122" s="294" t="s">
        <v>1173</v>
      </c>
      <c r="P122" s="295"/>
      <c r="Q122" s="295"/>
      <c r="R122" s="325" t="str">
        <f t="shared" si="7"/>
        <v/>
      </c>
      <c r="S122" s="295"/>
      <c r="T122" s="326" t="str">
        <f t="shared" si="8"/>
        <v/>
      </c>
      <c r="U122" s="327" t="s">
        <v>1196</v>
      </c>
      <c r="V122" s="328" t="str">
        <f t="shared" si="6"/>
        <v/>
      </c>
      <c r="X122" s="241"/>
      <c r="AM122" s="345"/>
    </row>
    <row r="123" ht="13.95" customHeight="1" spans="1:39">
      <c r="A123" t="str">
        <f t="shared" si="4"/>
        <v>显示</v>
      </c>
      <c r="E123" s="28"/>
      <c r="F123" s="28"/>
      <c r="G123" s="29"/>
      <c r="N123" s="296"/>
      <c r="O123" s="297"/>
      <c r="P123" s="297"/>
      <c r="Q123" s="329" t="str">
        <f>L35</f>
        <v>Sum of All Non-rejected Quantities</v>
      </c>
      <c r="R123" s="330">
        <f>IF(P103="","",SUMIF(U103:U121,"N",R103:R122))</f>
        <v>9407971</v>
      </c>
      <c r="S123" s="331">
        <f>IF(S103="","",SUMIF(U103:U121,"N",S103:S122))</f>
        <v>9420427</v>
      </c>
      <c r="X123" s="241"/>
      <c r="AM123" s="345"/>
    </row>
    <row r="124" ht="13.95" customHeight="1" spans="1:39">
      <c r="A124" t="str">
        <f t="shared" si="4"/>
        <v>显示</v>
      </c>
      <c r="E124" s="28"/>
      <c r="F124" s="28"/>
      <c r="G124" s="29"/>
      <c r="N124" s="298"/>
      <c r="O124" s="299"/>
      <c r="P124" s="299"/>
      <c r="Q124" s="332" t="str">
        <f>L36</f>
        <v>Mean Vessel/Shore Ratio</v>
      </c>
      <c r="R124" s="333">
        <f>IF(R123="","",ROUND(R123/S123,5))</f>
        <v>0.99868</v>
      </c>
      <c r="S124" s="334"/>
      <c r="X124" s="241"/>
      <c r="AM124" s="345"/>
    </row>
    <row r="125" ht="13.95" customHeight="1" spans="1:39">
      <c r="A125" t="str">
        <f t="shared" si="4"/>
        <v>显示</v>
      </c>
      <c r="E125" s="28"/>
      <c r="F125" s="28"/>
      <c r="G125" s="29"/>
      <c r="N125" s="298"/>
      <c r="O125" s="299"/>
      <c r="P125" s="299"/>
      <c r="Q125" s="332" t="str">
        <f>L37</f>
        <v>+/-0.30% of The Mean Vessel/Shore Ratio</v>
      </c>
      <c r="R125" s="333">
        <f>IF($R$124="","",ROUND($R$124*0.997,5))</f>
        <v>0.99568</v>
      </c>
      <c r="S125" s="334">
        <f>IF($R$124="","",ROUND($R$124*1.003,5))</f>
        <v>1.00168</v>
      </c>
      <c r="X125" s="241"/>
      <c r="AM125" s="345"/>
    </row>
    <row r="126" ht="13.95" customHeight="1" spans="1:39">
      <c r="A126" t="str">
        <f t="shared" si="4"/>
        <v>显示</v>
      </c>
      <c r="E126" s="28"/>
      <c r="F126" s="28"/>
      <c r="G126" s="29"/>
      <c r="N126" s="300"/>
      <c r="O126" s="301"/>
      <c r="P126" s="301"/>
      <c r="Q126" s="335" t="str">
        <f>L38</f>
        <v>Sum of All Qualifying Quantities</v>
      </c>
      <c r="R126" s="336">
        <f>IF(P103="","",SUMIF(V103:V122,"Y",R103:R122))</f>
        <v>8158358</v>
      </c>
      <c r="S126" s="337">
        <f>IF(S103="","",SUMIF(V103:V122,"Y",S103:S122))</f>
        <v>8169432</v>
      </c>
      <c r="X126" s="241"/>
      <c r="AM126" s="345"/>
    </row>
    <row r="127" ht="13.95" customHeight="1" spans="1:39">
      <c r="A127" t="str">
        <f t="shared" si="4"/>
        <v>显示</v>
      </c>
      <c r="E127" s="28"/>
      <c r="F127" s="28"/>
      <c r="G127" s="29"/>
      <c r="J127" s="244"/>
      <c r="N127" s="302"/>
      <c r="O127" s="303"/>
      <c r="P127" s="303"/>
      <c r="Q127" s="338" t="str">
        <f>L39</f>
        <v>Vessel Experience Factor</v>
      </c>
      <c r="R127" s="339">
        <f>IF(AND(R126="",S126=""),"",IF(COUNTIF(V103:V122,"Y")&lt;5,1,ROUND(R126/S126,4)))</f>
        <v>0.9986</v>
      </c>
      <c r="S127" s="340"/>
      <c r="X127" s="241"/>
      <c r="AM127" s="345"/>
    </row>
    <row r="128" ht="16.5" spans="1:39">
      <c r="A128" t="str">
        <f t="shared" si="4"/>
        <v>显示</v>
      </c>
      <c r="D128" s="37"/>
      <c r="E128" s="28"/>
      <c r="F128" s="28"/>
      <c r="G128" s="29"/>
      <c r="J128" s="244"/>
      <c r="N128" s="304" t="str">
        <f>IF(I103="","",IF(COUNTIF(V103:V122,"Y")&gt;5,"",L47))</f>
        <v/>
      </c>
      <c r="O128" s="305"/>
      <c r="P128" s="305"/>
      <c r="Q128" s="341"/>
      <c r="R128" s="342"/>
      <c r="S128" s="342"/>
      <c r="X128" s="241"/>
      <c r="AM128" s="345"/>
    </row>
    <row r="129" ht="13.8" customHeight="1" spans="1:39">
      <c r="A129" t="str">
        <f t="shared" si="4"/>
        <v>显示</v>
      </c>
      <c r="D129" s="37"/>
      <c r="E129" s="28"/>
      <c r="F129" s="38"/>
      <c r="G129" s="29"/>
      <c r="I129" s="346" t="str">
        <f>L17</f>
        <v>Note:</v>
      </c>
      <c r="J129" s="347"/>
      <c r="X129" s="241"/>
      <c r="AM129" s="345"/>
    </row>
    <row r="130" ht="13.8" customHeight="1" spans="1:39">
      <c r="A130" t="str">
        <f t="shared" si="4"/>
        <v>显示</v>
      </c>
      <c r="D130" s="37"/>
      <c r="E130" s="28"/>
      <c r="F130" s="38"/>
      <c r="G130" s="29"/>
      <c r="I130" s="244" t="str">
        <f>L40</f>
        <v>* Rejected Voyages</v>
      </c>
      <c r="J130" s="347"/>
      <c r="X130" s="241"/>
      <c r="AM130" s="345"/>
    </row>
    <row r="131" ht="13.8" customHeight="1" spans="1:39">
      <c r="A131" t="str">
        <f t="shared" si="4"/>
        <v>显示</v>
      </c>
      <c r="D131" s="37"/>
      <c r="E131" s="28"/>
      <c r="F131" s="38"/>
      <c r="G131" s="29"/>
      <c r="I131" s="246" t="s">
        <v>1235</v>
      </c>
      <c r="J131" s="245" t="str">
        <f>L41</f>
        <v>Gross Error Voyages: Voyages which the Vessel/Shore Ratio is less than 0.98000 or greater than 1.02000.</v>
      </c>
      <c r="K131" s="348"/>
      <c r="L131" s="348"/>
      <c r="M131" s="348"/>
      <c r="N131" s="348"/>
      <c r="O131" s="348"/>
      <c r="P131" s="348"/>
      <c r="Q131" s="348"/>
      <c r="R131" s="348"/>
      <c r="S131" s="348"/>
      <c r="T131" s="348"/>
      <c r="U131" s="348"/>
      <c r="V131" s="348"/>
      <c r="X131" s="241"/>
      <c r="AM131" s="345"/>
    </row>
    <row r="132" ht="21.6" customHeight="1" spans="1:39">
      <c r="A132" t="str">
        <f t="shared" si="4"/>
        <v>显示</v>
      </c>
      <c r="D132" s="37"/>
      <c r="E132" s="38"/>
      <c r="F132" s="38"/>
      <c r="G132" s="29"/>
      <c r="I132" s="246" t="s">
        <v>1236</v>
      </c>
      <c r="J132" s="349" t="str">
        <f>L42</f>
        <v>Voyages where only vessel tank measurements were availabel (i.e. STS transfers, active shore tanks) except where quantities are determined onboard FPSOs using meters in accodance with globally recognized standards.</v>
      </c>
      <c r="K132" s="349"/>
      <c r="L132" s="349"/>
      <c r="M132" s="349"/>
      <c r="N132" s="349"/>
      <c r="O132" s="349"/>
      <c r="P132" s="349"/>
      <c r="Q132" s="349"/>
      <c r="R132" s="349"/>
      <c r="S132" s="349"/>
      <c r="T132" s="349"/>
      <c r="U132" s="349"/>
      <c r="V132" s="349"/>
      <c r="X132" s="241"/>
      <c r="AM132" s="345"/>
    </row>
    <row r="133" ht="13.8" customHeight="1" spans="1:39">
      <c r="A133" t="str">
        <f t="shared" si="4"/>
        <v>显示</v>
      </c>
      <c r="D133" s="31"/>
      <c r="E133" s="28"/>
      <c r="F133" s="38"/>
      <c r="G133" s="29"/>
      <c r="I133" s="246" t="s">
        <v>1237</v>
      </c>
      <c r="J133" s="246" t="str">
        <f>L43</f>
        <v>All voyages prior to any changes to measurement equipment, tables, vessel's structure, or other changes requiring the issuance of new capacity tables.</v>
      </c>
      <c r="K133" s="246"/>
      <c r="L133" s="246"/>
      <c r="M133" s="246"/>
      <c r="N133" s="246"/>
      <c r="O133" s="246"/>
      <c r="P133" s="246"/>
      <c r="Q133" s="246"/>
      <c r="R133" s="246"/>
      <c r="S133" s="246"/>
      <c r="T133" s="246"/>
      <c r="U133" s="246"/>
      <c r="V133" s="246"/>
      <c r="X133" s="241"/>
      <c r="AM133" s="345"/>
    </row>
    <row r="134" spans="1:39">
      <c r="A134" t="str">
        <f t="shared" si="4"/>
        <v>显示</v>
      </c>
      <c r="D134" s="31"/>
      <c r="E134" s="38"/>
      <c r="F134" s="38"/>
      <c r="G134" s="29"/>
      <c r="I134" s="244" t="str">
        <f>L44</f>
        <v>** Qualifying Voyages</v>
      </c>
      <c r="X134" s="241"/>
      <c r="AM134" s="345"/>
    </row>
    <row r="135" spans="1:9">
      <c r="A135" t="str">
        <f t="shared" si="4"/>
        <v>显示</v>
      </c>
      <c r="I135" s="246" t="str">
        <f>L45</f>
        <v>  Voyages whose VLR ot VDR are within the ±0.30% of the mean vessel/shore ratio.</v>
      </c>
    </row>
    <row r="136" spans="1:1">
      <c r="A136" t="str">
        <f t="shared" si="4"/>
        <v>显示</v>
      </c>
    </row>
    <row r="137" spans="1:9">
      <c r="A137" t="str">
        <f t="shared" si="4"/>
        <v>显示</v>
      </c>
      <c r="I137" s="350" t="str">
        <f>L18</f>
        <v>Remark:</v>
      </c>
    </row>
    <row r="138" spans="1:9">
      <c r="A138" t="str">
        <f t="shared" si="4"/>
        <v>显示</v>
      </c>
      <c r="I138" s="246" t="str">
        <f>L46</f>
        <v>- Reference Standards: API MPMS Chapter 17.9(2019).</v>
      </c>
    </row>
    <row r="139" spans="1:22">
      <c r="A139" t="str">
        <f t="shared" si="4"/>
        <v>显示</v>
      </c>
      <c r="I139" s="247"/>
      <c r="J139" s="247"/>
      <c r="K139" s="247"/>
      <c r="L139" s="247"/>
      <c r="M139" s="247"/>
      <c r="N139" s="247"/>
      <c r="O139" s="247"/>
      <c r="P139" s="247"/>
      <c r="Q139" s="247"/>
      <c r="R139" s="247"/>
      <c r="S139" s="247"/>
      <c r="T139" s="247"/>
      <c r="U139" s="247"/>
      <c r="V139" s="247"/>
    </row>
    <row r="140" spans="1:22">
      <c r="A140" t="str">
        <f t="shared" si="4"/>
        <v>显示</v>
      </c>
      <c r="I140" s="247"/>
      <c r="J140" s="247"/>
      <c r="K140" s="247"/>
      <c r="L140" s="247"/>
      <c r="M140" s="247"/>
      <c r="N140" s="247"/>
      <c r="O140" s="247"/>
      <c r="P140" s="247"/>
      <c r="Q140" s="247"/>
      <c r="R140" s="247"/>
      <c r="S140" s="247"/>
      <c r="T140" s="247"/>
      <c r="U140" s="247"/>
      <c r="V140" s="247"/>
    </row>
    <row r="141" hidden="1" spans="1:22">
      <c r="A141" t="str">
        <f t="shared" ref="A141:A147" si="9">IF(OR(B141="隐藏",C141="隐藏"),"隐藏","显示")</f>
        <v>隐藏</v>
      </c>
      <c r="B141" t="str">
        <f>IF(Report_type="正式报告 Official Report","隐藏","显示")</f>
        <v>隐藏</v>
      </c>
      <c r="I141" s="247"/>
      <c r="J141" s="351" t="str">
        <f>L11</f>
        <v>Master/Chief Officer</v>
      </c>
      <c r="K141" s="247"/>
      <c r="L141" s="247"/>
      <c r="M141" s="247"/>
      <c r="N141" s="247"/>
      <c r="O141" s="247"/>
      <c r="P141" s="351" t="str">
        <f>L12</f>
        <v>CCIC Surveyor</v>
      </c>
      <c r="Q141" s="247"/>
      <c r="R141" s="247"/>
      <c r="S141" s="247"/>
      <c r="T141" s="247"/>
      <c r="U141" s="247"/>
      <c r="V141" s="247"/>
    </row>
    <row r="142" ht="30" hidden="1" customHeight="1" spans="1:22">
      <c r="A142" t="str">
        <f t="shared" si="9"/>
        <v>隐藏</v>
      </c>
      <c r="B142" t="str">
        <f>IF(Report_type="正式报告 Official Report","隐藏","显示")</f>
        <v>隐藏</v>
      </c>
      <c r="I142" s="247"/>
      <c r="J142" s="247" t="str">
        <f>C82</f>
        <v>Name</v>
      </c>
      <c r="K142" s="247"/>
      <c r="L142" s="352"/>
      <c r="M142" s="352"/>
      <c r="N142" s="247"/>
      <c r="O142" s="247"/>
      <c r="P142" s="247" t="str">
        <f>J142</f>
        <v>Name</v>
      </c>
      <c r="Q142" s="107" t="s">
        <v>10</v>
      </c>
      <c r="R142" s="107"/>
      <c r="S142" s="107"/>
      <c r="T142" s="107"/>
      <c r="U142" s="247"/>
      <c r="V142" s="247"/>
    </row>
    <row r="143" ht="30" hidden="1" customHeight="1" spans="1:22">
      <c r="A143" t="str">
        <f t="shared" si="9"/>
        <v>隐藏</v>
      </c>
      <c r="B143" t="str">
        <f>IF(Report_type="正式报告 Official Report","隐藏","显示")</f>
        <v>隐藏</v>
      </c>
      <c r="I143" s="247"/>
      <c r="J143" s="247" t="str">
        <f>C83</f>
        <v>Signature</v>
      </c>
      <c r="K143" s="247"/>
      <c r="L143" s="353"/>
      <c r="M143" s="353"/>
      <c r="N143" s="247"/>
      <c r="O143" s="247"/>
      <c r="P143" s="247" t="str">
        <f>J143</f>
        <v>Signature</v>
      </c>
      <c r="Q143" s="353"/>
      <c r="R143" s="353"/>
      <c r="S143" s="353"/>
      <c r="T143" s="353"/>
      <c r="U143" s="247"/>
      <c r="V143" s="247"/>
    </row>
    <row r="144" ht="60" customHeight="1" spans="1:22">
      <c r="A144" t="str">
        <f t="shared" si="9"/>
        <v>显示</v>
      </c>
      <c r="B144" t="str">
        <f>IF(Report_type="正式报告 Official Report","显示","隐藏")</f>
        <v>显示</v>
      </c>
      <c r="I144" s="247"/>
      <c r="J144" s="247"/>
      <c r="K144" s="247"/>
      <c r="L144" s="247"/>
      <c r="M144" s="247"/>
      <c r="N144" s="247"/>
      <c r="O144" s="247"/>
      <c r="P144" s="354"/>
      <c r="Q144" s="247"/>
      <c r="R144" s="247"/>
      <c r="S144" s="247"/>
      <c r="T144" s="247"/>
      <c r="U144" s="247"/>
      <c r="V144" s="247"/>
    </row>
    <row r="145" spans="1:38">
      <c r="A145" t="str">
        <f t="shared" si="9"/>
        <v>显示</v>
      </c>
      <c r="B145" t="str">
        <f>IF(Report_type="正式报告 Official Report","显示","隐藏")</f>
        <v>显示</v>
      </c>
      <c r="I145" s="247"/>
      <c r="J145" s="247"/>
      <c r="K145" s="247"/>
      <c r="L145" s="247"/>
      <c r="M145" s="247"/>
      <c r="N145" s="247"/>
      <c r="O145" s="247"/>
      <c r="P145" s="355" t="str">
        <f>L15</f>
        <v>Authorized Signature (S)</v>
      </c>
      <c r="Q145" s="355"/>
      <c r="R145" s="355"/>
      <c r="S145" s="355"/>
      <c r="T145" s="355"/>
      <c r="U145" s="247"/>
      <c r="V145" s="247"/>
      <c r="Y145" s="247"/>
      <c r="Z145" s="247"/>
      <c r="AA145" s="247"/>
      <c r="AB145" s="247"/>
      <c r="AC145" s="247"/>
      <c r="AD145" s="247"/>
      <c r="AE145" s="247"/>
      <c r="AF145" s="247"/>
      <c r="AG145" s="247"/>
      <c r="AH145" s="247"/>
      <c r="AI145" s="247"/>
      <c r="AJ145" s="247"/>
      <c r="AK145" s="247"/>
      <c r="AL145" s="247"/>
    </row>
    <row r="146" spans="1:38">
      <c r="A146" t="str">
        <f t="shared" si="9"/>
        <v>显示</v>
      </c>
      <c r="I146" s="247"/>
      <c r="J146" s="247"/>
      <c r="K146" s="247"/>
      <c r="L146" s="247"/>
      <c r="M146" s="247"/>
      <c r="N146" s="247"/>
      <c r="O146" s="247"/>
      <c r="P146" s="247"/>
      <c r="Q146" s="247"/>
      <c r="R146" s="247"/>
      <c r="S146" s="247"/>
      <c r="T146" s="247"/>
      <c r="U146" s="247"/>
      <c r="V146" s="247"/>
      <c r="Y146" s="247"/>
      <c r="Z146" s="247"/>
      <c r="AA146" s="247"/>
      <c r="AB146" s="247"/>
      <c r="AC146" s="247"/>
      <c r="AD146" s="247"/>
      <c r="AE146" s="247"/>
      <c r="AF146" s="247"/>
      <c r="AG146" s="247"/>
      <c r="AH146" s="247"/>
      <c r="AI146" s="247"/>
      <c r="AJ146" s="247"/>
      <c r="AK146" s="247"/>
      <c r="AL146" s="247"/>
    </row>
    <row r="147" ht="21.6" customHeight="1" spans="1:39">
      <c r="A147" t="str">
        <f t="shared" si="9"/>
        <v>显示</v>
      </c>
      <c r="I147" s="356" t="str">
        <f>L16</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47" s="356"/>
      <c r="K147" s="356"/>
      <c r="L147" s="356"/>
      <c r="M147" s="356"/>
      <c r="N147" s="356"/>
      <c r="O147" s="356"/>
      <c r="P147" s="356"/>
      <c r="Q147" s="356"/>
      <c r="R147" s="356"/>
      <c r="S147" s="356"/>
      <c r="T147" s="356"/>
      <c r="U147" s="356"/>
      <c r="V147" s="356"/>
      <c r="X147" s="247"/>
      <c r="Y147" s="247"/>
      <c r="Z147" s="247"/>
      <c r="AA147" s="247"/>
      <c r="AB147" s="247"/>
      <c r="AC147" s="247"/>
      <c r="AD147" s="247"/>
      <c r="AE147" s="247"/>
      <c r="AF147" s="247"/>
      <c r="AG147" s="247"/>
      <c r="AH147" s="247"/>
      <c r="AI147" s="247"/>
      <c r="AJ147" s="247"/>
      <c r="AK147" s="247"/>
      <c r="AL147" s="247"/>
      <c r="AM147" s="247"/>
    </row>
    <row r="148" spans="9:39">
      <c r="I148" s="247"/>
      <c r="J148" s="247"/>
      <c r="K148" s="247"/>
      <c r="L148" s="247"/>
      <c r="M148" s="247"/>
      <c r="N148" s="247"/>
      <c r="O148" s="247"/>
      <c r="P148" s="247"/>
      <c r="Q148" s="247"/>
      <c r="R148" s="247"/>
      <c r="S148" s="247"/>
      <c r="T148" s="247"/>
      <c r="U148" s="247"/>
      <c r="V148" s="247"/>
      <c r="X148" s="247"/>
      <c r="Y148" s="247"/>
      <c r="Z148" s="247"/>
      <c r="AA148" s="247"/>
      <c r="AB148" s="247"/>
      <c r="AC148" s="247"/>
      <c r="AD148" s="247"/>
      <c r="AE148" s="247"/>
      <c r="AF148" s="247"/>
      <c r="AG148" s="247"/>
      <c r="AH148" s="247"/>
      <c r="AI148" s="247"/>
      <c r="AJ148" s="247"/>
      <c r="AK148" s="247"/>
      <c r="AL148" s="247"/>
      <c r="AM148" s="247"/>
    </row>
    <row r="149" spans="9:39">
      <c r="I149" s="247"/>
      <c r="J149" s="247"/>
      <c r="K149" s="247"/>
      <c r="L149" s="247"/>
      <c r="M149" s="247"/>
      <c r="N149" s="247"/>
      <c r="O149" s="247"/>
      <c r="P149" s="247"/>
      <c r="Q149" s="247"/>
      <c r="R149" s="247"/>
      <c r="S149" s="247"/>
      <c r="T149" s="247"/>
      <c r="U149" s="247"/>
      <c r="V149" s="247"/>
      <c r="X149" s="247"/>
      <c r="Y149" s="247"/>
      <c r="Z149" s="247"/>
      <c r="AA149" s="247"/>
      <c r="AB149" s="247"/>
      <c r="AC149" s="247"/>
      <c r="AD149" s="247"/>
      <c r="AE149" s="247"/>
      <c r="AF149" s="247"/>
      <c r="AG149" s="247"/>
      <c r="AH149" s="247"/>
      <c r="AI149" s="247"/>
      <c r="AJ149" s="247"/>
      <c r="AK149" s="247"/>
      <c r="AL149" s="247"/>
      <c r="AM149" s="247"/>
    </row>
    <row r="150" spans="9:39">
      <c r="I150" s="247"/>
      <c r="J150" s="247"/>
      <c r="K150" s="247"/>
      <c r="L150" s="247"/>
      <c r="M150" s="247"/>
      <c r="N150" s="247"/>
      <c r="O150" s="247"/>
      <c r="P150" s="247"/>
      <c r="Q150" s="247"/>
      <c r="R150" s="247"/>
      <c r="S150" s="247"/>
      <c r="T150" s="247"/>
      <c r="U150" s="247"/>
      <c r="V150" s="247"/>
      <c r="X150" s="247"/>
      <c r="AM150" s="247"/>
    </row>
    <row r="151" spans="9:39">
      <c r="I151" s="247"/>
      <c r="J151" s="247"/>
      <c r="K151" s="247"/>
      <c r="L151" s="247"/>
      <c r="M151" s="247"/>
      <c r="N151" s="247"/>
      <c r="O151" s="247"/>
      <c r="P151" s="247"/>
      <c r="Q151" s="247"/>
      <c r="R151" s="247"/>
      <c r="S151" s="247"/>
      <c r="T151" s="247"/>
      <c r="U151" s="247"/>
      <c r="V151" s="247"/>
      <c r="X151" s="247"/>
      <c r="AM151" s="247"/>
    </row>
    <row r="152" spans="9:39">
      <c r="I152" s="247"/>
      <c r="J152" s="247"/>
      <c r="K152" s="247"/>
      <c r="L152" s="247"/>
      <c r="M152" s="247"/>
      <c r="N152" s="247"/>
      <c r="O152" s="247"/>
      <c r="P152" s="247"/>
      <c r="Q152" s="247"/>
      <c r="R152" s="247"/>
      <c r="S152" s="247"/>
      <c r="T152" s="247"/>
      <c r="U152" s="247"/>
      <c r="V152" s="247"/>
      <c r="X152" s="247"/>
      <c r="AM152" s="247"/>
    </row>
    <row r="153" spans="24:39">
      <c r="X153" s="247"/>
      <c r="AM153" s="247"/>
    </row>
    <row r="154" spans="24:39">
      <c r="X154" s="247"/>
      <c r="AM154" s="247"/>
    </row>
    <row r="155" spans="24:39">
      <c r="X155" s="247"/>
      <c r="AM155" s="247"/>
    </row>
    <row r="156" spans="24:39">
      <c r="X156" s="247"/>
      <c r="AM156" s="247"/>
    </row>
    <row r="157" spans="24:39">
      <c r="X157" s="247"/>
      <c r="AM157" s="247"/>
    </row>
    <row r="158" spans="24:39">
      <c r="X158" s="247"/>
      <c r="AM158" s="247"/>
    </row>
    <row r="159" spans="24:39">
      <c r="X159" s="247"/>
      <c r="AM159" s="247"/>
    </row>
    <row r="160" spans="24:39">
      <c r="X160" s="247"/>
      <c r="AM160" s="247"/>
    </row>
    <row r="161" spans="24:39">
      <c r="X161" s="247"/>
      <c r="AM161" s="247"/>
    </row>
    <row r="162" spans="24:39">
      <c r="X162" s="247"/>
      <c r="AM162" s="247"/>
    </row>
    <row r="163" spans="24:39">
      <c r="X163" s="247"/>
      <c r="AM163" s="247"/>
    </row>
    <row r="164" spans="24:39">
      <c r="X164" s="247"/>
      <c r="AM164" s="247"/>
    </row>
  </sheetData>
  <mergeCells count="81">
    <mergeCell ref="T85:V85"/>
    <mergeCell ref="T86:V86"/>
    <mergeCell ref="O92:P92"/>
    <mergeCell ref="Q92:V92"/>
    <mergeCell ref="O93:P93"/>
    <mergeCell ref="Q93:V93"/>
    <mergeCell ref="O94:P94"/>
    <mergeCell ref="Q94:V94"/>
    <mergeCell ref="O95:P95"/>
    <mergeCell ref="Q95:V95"/>
    <mergeCell ref="O96:P96"/>
    <mergeCell ref="Q96:V96"/>
    <mergeCell ref="O97:P97"/>
    <mergeCell ref="Q97:V97"/>
    <mergeCell ref="O98:P98"/>
    <mergeCell ref="Q98:V98"/>
    <mergeCell ref="I103:J103"/>
    <mergeCell ref="M103:N103"/>
    <mergeCell ref="I104:J104"/>
    <mergeCell ref="M104:N104"/>
    <mergeCell ref="I105:J105"/>
    <mergeCell ref="M105:N105"/>
    <mergeCell ref="I106:J106"/>
    <mergeCell ref="M106:N106"/>
    <mergeCell ref="I107:J107"/>
    <mergeCell ref="M107:N107"/>
    <mergeCell ref="I108:J108"/>
    <mergeCell ref="M108:N108"/>
    <mergeCell ref="I109:J109"/>
    <mergeCell ref="M109:N109"/>
    <mergeCell ref="I110:J110"/>
    <mergeCell ref="M110:N110"/>
    <mergeCell ref="I111:J111"/>
    <mergeCell ref="M111:N111"/>
    <mergeCell ref="I112:J112"/>
    <mergeCell ref="M112:N112"/>
    <mergeCell ref="I113:J113"/>
    <mergeCell ref="M113:N113"/>
    <mergeCell ref="I114:J114"/>
    <mergeCell ref="M114:N114"/>
    <mergeCell ref="I115:J115"/>
    <mergeCell ref="M115:N115"/>
    <mergeCell ref="I116:J116"/>
    <mergeCell ref="M116:N116"/>
    <mergeCell ref="I117:J117"/>
    <mergeCell ref="M117:N117"/>
    <mergeCell ref="I118:J118"/>
    <mergeCell ref="M118:N118"/>
    <mergeCell ref="I119:J119"/>
    <mergeCell ref="M119:N119"/>
    <mergeCell ref="I120:J120"/>
    <mergeCell ref="M120:N120"/>
    <mergeCell ref="I121:J121"/>
    <mergeCell ref="M121:N121"/>
    <mergeCell ref="I122:J122"/>
    <mergeCell ref="M122:N122"/>
    <mergeCell ref="R124:S124"/>
    <mergeCell ref="R127:S127"/>
    <mergeCell ref="J132:V132"/>
    <mergeCell ref="J133:V133"/>
    <mergeCell ref="Q142:T142"/>
    <mergeCell ref="P145:T145"/>
    <mergeCell ref="I147:V147"/>
    <mergeCell ref="I1:I9"/>
    <mergeCell ref="I11:I15"/>
    <mergeCell ref="I16:I20"/>
    <mergeCell ref="I21:I22"/>
    <mergeCell ref="I23:I32"/>
    <mergeCell ref="K100:K102"/>
    <mergeCell ref="L100:L102"/>
    <mergeCell ref="O100:O102"/>
    <mergeCell ref="P100:P102"/>
    <mergeCell ref="Q100:Q102"/>
    <mergeCell ref="R100:R102"/>
    <mergeCell ref="S100:S102"/>
    <mergeCell ref="T100:T102"/>
    <mergeCell ref="U100:U102"/>
    <mergeCell ref="V100:V102"/>
    <mergeCell ref="I100:J102"/>
    <mergeCell ref="M100:N102"/>
    <mergeCell ref="I92:N98"/>
  </mergeCells>
  <conditionalFormatting sqref="R127:S127">
    <cfRule type="expression" dxfId="23" priority="6">
      <formula>"countif($M$10:$M$29,""Y"")&lt;5"</formula>
    </cfRule>
  </conditionalFormatting>
  <conditionalFormatting sqref="N128">
    <cfRule type="containsText" dxfId="24" priority="5" operator="between" text="VEF is NOT available due to less than 5 qualifying voyages">
      <formula>NOT(ISERROR(SEARCH("VEF is NOT available due to less than 5 qualifying voyages",N128)))</formula>
    </cfRule>
  </conditionalFormatting>
  <conditionalFormatting sqref="U103:U122">
    <cfRule type="notContainsText" dxfId="25" priority="8" operator="notContains" text="N">
      <formula>ISERROR(SEARCH("N",U103))</formula>
    </cfRule>
  </conditionalFormatting>
  <conditionalFormatting sqref="V103:V122">
    <cfRule type="containsText" dxfId="25" priority="7" operator="between" text="N">
      <formula>NOT(ISERROR(SEARCH("N",V103)))</formula>
    </cfRule>
  </conditionalFormatting>
  <dataValidations count="3">
    <dataValidation type="list" allowBlank="1" showInputMessage="1" showErrorMessage="1" sqref="Y65613:AB65613 Y131149:AB131149 Y196685:AB196685 Y262221:AB262221 Y327757:AB327757 Y393293:AB393293 Y458829:AB458829 Y524365:AB524365 Y589901:AB589901 Y655437:AB655437 Y720973:AB720973 Y786509:AB786509 Y852045:AB852045 Y917581:AB917581 Y983117:AB983117">
      <formula1>$B$1:$C$1</formula1>
    </dataValidation>
    <dataValidation type="list" allowBlank="1" showInputMessage="1" showErrorMessage="1" sqref="AC65613:AE65613 AC131149:AE131149 AC196685:AE196685 AC262221:AE262221 AC327757:AE327757 AC393293:AE393293 AC458829:AE458829 AC524365:AE524365 AC589901:AE589901 AC655437:AE655437 AC720973:AE720973 AC786509:AE786509 AC852045:AE852045 AC917581:AE917581 AC983117:AE983117">
      <formula1>"现场报告 Field Report,正式报告 Official Report"</formula1>
    </dataValidation>
    <dataValidation type="list" allowBlank="1" showInputMessage="1" showErrorMessage="1" sqref="U103:U122 AK65628:AK65647 AK131164:AK131183 AK196700:AK196719 AK262236:AK262255 AK327772:AK327791 AK393308:AK393327 AK458844:AK458863 AK524380:AK524399 AK589916:AK589935 AK655452:AK655471 AK720988:AK721007 AK786524:AK786543 AK852060:AK852079 AK917596:AK917615 AK983132:AK983151">
      <formula1>"N,A,B,C"</formula1>
    </dataValidation>
  </dataValidations>
  <pageMargins left="0.236220472440945" right="0.236220472440945" top="0.748031496062992" bottom="0.748031496062992" header="0.31496062992126" footer="0.31496062992126"/>
  <pageSetup paperSize="9" scale="96" fitToHeight="0" orientation="portrait"/>
  <headerFooter>
    <oddHeader>&amp;L&amp;G</oddHeader>
  </headerFooter>
  <drawing r:id="rId1"/>
  <legacyDrawing r:id="rId2"/>
  <legacyDrawingHF r:id="rId4"/>
  <mc:AlternateContent xmlns:mc="http://schemas.openxmlformats.org/markup-compatibility/2006">
    <mc:Choice Requires="x14">
      <controls>
        <mc:AlternateContent xmlns:mc="http://schemas.openxmlformats.org/markup-compatibility/2006">
          <mc:Choice Requires="x14">
            <control shapeId="11278" name="Button 14" r:id="rId3">
              <controlPr print="0" defaultSize="0">
                <anchor moveWithCells="1">
                  <from>
                    <xdr:col>22</xdr:col>
                    <xdr:colOff>266700</xdr:colOff>
                    <xdr:row>98</xdr:row>
                    <xdr:rowOff>83820</xdr:rowOff>
                  </from>
                  <to>
                    <xdr:col>27</xdr:col>
                    <xdr:colOff>784860</xdr:colOff>
                    <xdr:row>99</xdr:row>
                    <xdr:rowOff>137160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AG152"/>
  <sheetViews>
    <sheetView showGridLines="0" topLeftCell="B89" workbookViewId="0">
      <selection activeCell="D132" sqref="D132:E132"/>
    </sheetView>
  </sheetViews>
  <sheetFormatPr defaultColWidth="9" defaultRowHeight="14.25"/>
  <cols>
    <col min="1" max="1" width="14.8833333333333" hidden="1" customWidth="1"/>
    <col min="2" max="2" width="5.33333333333333" customWidth="1"/>
    <col min="3" max="3" width="8.44166666666667" customWidth="1"/>
    <col min="4" max="4" width="11" customWidth="1"/>
    <col min="5" max="5" width="10.5583333333333" customWidth="1"/>
    <col min="6" max="6" width="5.21666666666667" customWidth="1"/>
    <col min="7" max="7" width="12.6666666666667" customWidth="1"/>
    <col min="8" max="8" width="6" customWidth="1"/>
    <col min="9" max="9" width="8.21666666666667" customWidth="1"/>
    <col min="10" max="10" width="7.44166666666667" customWidth="1"/>
    <col min="11" max="11" width="8.10833333333333" customWidth="1"/>
    <col min="12" max="12" width="6.66666666666667" customWidth="1"/>
    <col min="13" max="13" width="7" customWidth="1"/>
    <col min="14" max="14" width="7.44166666666667" hidden="1" customWidth="1"/>
    <col min="15" max="18" width="8.88333333333333" hidden="1" customWidth="1"/>
    <col min="19" max="19" width="15.1083333333333" hidden="1" customWidth="1"/>
    <col min="20" max="22" width="9.55833333333333" hidden="1" customWidth="1"/>
    <col min="23" max="23" width="9.55833333333333" customWidth="1"/>
    <col min="24" max="24" width="18.1083333333333" customWidth="1"/>
    <col min="25" max="25" width="8.55833333333333" customWidth="1"/>
    <col min="26" max="26" width="8.88333333333333"/>
    <col min="27" max="27" width="14" customWidth="1"/>
    <col min="28" max="28" width="21" customWidth="1"/>
    <col min="29" max="29" width="19.1083333333333" customWidth="1"/>
    <col min="30" max="30" width="7.10833333333333" customWidth="1"/>
    <col min="31" max="31" width="8.10833333333333" customWidth="1"/>
    <col min="32" max="32" width="16.5583333333333" customWidth="1"/>
    <col min="33" max="33" width="15.2166666666667" customWidth="1"/>
    <col min="34" max="16384" width="8.88333333333333"/>
  </cols>
  <sheetData>
    <row r="1" ht="15" hidden="1" customHeight="1" spans="1:16">
      <c r="A1" s="1" t="s">
        <v>13</v>
      </c>
      <c r="B1" s="1" t="s">
        <v>14</v>
      </c>
      <c r="C1" s="2"/>
      <c r="D1" t="s">
        <v>2</v>
      </c>
      <c r="E1">
        <v>1</v>
      </c>
      <c r="F1" t="str">
        <f>INDEX(D1:D2,E1,0)</f>
        <v>英文 English</v>
      </c>
      <c r="J1" s="3" t="s">
        <v>1238</v>
      </c>
      <c r="K1" s="3" t="s">
        <v>1239</v>
      </c>
      <c r="L1" s="160" t="str">
        <f t="shared" ref="L1:L32" si="0">IF(Report_Language=$A$1,J1,K1)</f>
        <v>SAMPLE REPORT</v>
      </c>
      <c r="P1" s="27"/>
    </row>
    <row r="2" hidden="1" spans="1:16">
      <c r="A2" s="3" t="s">
        <v>15</v>
      </c>
      <c r="B2" s="3" t="s">
        <v>16</v>
      </c>
      <c r="C2" s="2" t="str">
        <f t="shared" ref="C2:C33" si="1">IF(Report_Language=$A$1,A2,B2)</f>
        <v>JOB NO.</v>
      </c>
      <c r="D2" t="s">
        <v>1</v>
      </c>
      <c r="E2">
        <v>2</v>
      </c>
      <c r="F2" t="str">
        <f>INDEX(D26:D27,E2,0)</f>
        <v>正式报告 Official Report</v>
      </c>
      <c r="J2" s="47" t="s">
        <v>1240</v>
      </c>
      <c r="K2" s="47" t="s">
        <v>1241</v>
      </c>
      <c r="L2" s="160" t="str">
        <f t="shared" si="0"/>
        <v>SAMPLE DESCRIPTION</v>
      </c>
      <c r="P2" s="29"/>
    </row>
    <row r="3" hidden="1" spans="1:16">
      <c r="A3" s="4" t="s">
        <v>17</v>
      </c>
      <c r="B3" s="4" t="s">
        <v>18</v>
      </c>
      <c r="C3" s="2" t="str">
        <f t="shared" si="1"/>
        <v>DATE OF REPORT</v>
      </c>
      <c r="D3" s="5" t="s">
        <v>88</v>
      </c>
      <c r="E3">
        <v>2</v>
      </c>
      <c r="F3" t="str">
        <f>INDEX(D28:D31,E3,0)</f>
        <v>B--成品油 Refined Products</v>
      </c>
      <c r="G3" t="str">
        <f>LEFT(F3,1)</f>
        <v>B</v>
      </c>
      <c r="J3" s="47" t="s">
        <v>1242</v>
      </c>
      <c r="K3" s="47" t="s">
        <v>1243</v>
      </c>
      <c r="L3" s="160" t="str">
        <f t="shared" si="0"/>
        <v>STATUS</v>
      </c>
      <c r="P3" s="29"/>
    </row>
    <row r="4" hidden="1" spans="1:16">
      <c r="A4" s="3" t="s">
        <v>20</v>
      </c>
      <c r="B4" s="3" t="s">
        <v>21</v>
      </c>
      <c r="C4" s="2" t="str">
        <f t="shared" si="1"/>
        <v>APPLICANT</v>
      </c>
      <c r="D4" s="5" t="s">
        <v>91</v>
      </c>
      <c r="E4">
        <v>5</v>
      </c>
      <c r="F4" t="str">
        <f>INDEX(D3:D20,E4,0)</f>
        <v>T-24A</v>
      </c>
      <c r="J4" s="47" t="s">
        <v>1244</v>
      </c>
      <c r="K4" s="47" t="s">
        <v>1245</v>
      </c>
      <c r="L4" s="160" t="str">
        <f t="shared" si="0"/>
        <v>SOURCE</v>
      </c>
      <c r="P4" s="29"/>
    </row>
    <row r="5" hidden="1" spans="1:16">
      <c r="A5" s="4" t="s">
        <v>23</v>
      </c>
      <c r="B5" s="4" t="s">
        <v>24</v>
      </c>
      <c r="C5" s="2" t="str">
        <f t="shared" si="1"/>
        <v>CLIENT'S REF. NO.</v>
      </c>
      <c r="D5" s="5" t="s">
        <v>92</v>
      </c>
      <c r="E5">
        <v>2</v>
      </c>
      <c r="F5">
        <f>INDEX(D23:D25,E5,0)</f>
        <v>1980</v>
      </c>
      <c r="J5" s="47" t="s">
        <v>1246</v>
      </c>
      <c r="K5" s="47" t="s">
        <v>1247</v>
      </c>
      <c r="L5" s="160" t="str">
        <f t="shared" si="0"/>
        <v>SAMPLE TYPE</v>
      </c>
      <c r="P5" s="29"/>
    </row>
    <row r="6" hidden="1" spans="1:16">
      <c r="A6" s="3" t="s">
        <v>25</v>
      </c>
      <c r="B6" s="3" t="s">
        <v>26</v>
      </c>
      <c r="C6" s="2" t="str">
        <f t="shared" si="1"/>
        <v>COMMODITY</v>
      </c>
      <c r="D6" s="5" t="s">
        <v>95</v>
      </c>
      <c r="E6">
        <v>2</v>
      </c>
      <c r="F6" t="str">
        <f>INDEX(D21:D22,E6,0)</f>
        <v>API MPMS 11.5 (2013)</v>
      </c>
      <c r="J6" s="47" t="s">
        <v>1248</v>
      </c>
      <c r="K6" s="47" t="s">
        <v>1249</v>
      </c>
      <c r="L6" s="160" t="str">
        <f t="shared" si="0"/>
        <v>SIZE</v>
      </c>
      <c r="P6" s="29"/>
    </row>
    <row r="7" hidden="1" spans="1:16">
      <c r="A7" s="4" t="s">
        <v>28</v>
      </c>
      <c r="B7" s="4" t="s">
        <v>29</v>
      </c>
      <c r="C7" s="2" t="str">
        <f t="shared" si="1"/>
        <v>VESSEL</v>
      </c>
      <c r="D7" s="5" t="s">
        <v>98</v>
      </c>
      <c r="E7">
        <v>4</v>
      </c>
      <c r="F7" t="str">
        <f>IF(E7=1,"Den15",IF(E7=2,"Den20",IF(E7=3,"API","SG")))</f>
        <v>SG</v>
      </c>
      <c r="J7" s="47" t="s">
        <v>1250</v>
      </c>
      <c r="K7" s="47" t="s">
        <v>1251</v>
      </c>
      <c r="L7" s="160" t="str">
        <f t="shared" si="0"/>
        <v>QTY</v>
      </c>
      <c r="P7" s="29"/>
    </row>
    <row r="8" hidden="1" spans="1:16">
      <c r="A8" s="3" t="s">
        <v>31</v>
      </c>
      <c r="B8" s="3" t="s">
        <v>32</v>
      </c>
      <c r="C8" s="2" t="str">
        <f t="shared" si="1"/>
        <v>PORT</v>
      </c>
      <c r="D8" s="5" t="s">
        <v>101</v>
      </c>
      <c r="J8" s="47" t="s">
        <v>1252</v>
      </c>
      <c r="K8" s="47" t="s">
        <v>1253</v>
      </c>
      <c r="L8" s="160" t="str">
        <f t="shared" si="0"/>
        <v>CAPACITY</v>
      </c>
      <c r="P8" s="29"/>
    </row>
    <row r="9" hidden="1" spans="1:16">
      <c r="A9" s="6" t="s">
        <v>34</v>
      </c>
      <c r="B9" s="4" t="s">
        <v>35</v>
      </c>
      <c r="C9" s="2" t="str">
        <f t="shared" si="1"/>
        <v>TERMINAL</v>
      </c>
      <c r="D9" s="5" t="s">
        <v>104</v>
      </c>
      <c r="J9" s="47" t="s">
        <v>1254</v>
      </c>
      <c r="K9" s="47" t="s">
        <v>1255</v>
      </c>
      <c r="L9" s="160" t="str">
        <f t="shared" si="0"/>
        <v>DISTRIBUTION</v>
      </c>
      <c r="P9" s="29"/>
    </row>
    <row r="10" ht="15" hidden="1" customHeight="1" spans="1:16">
      <c r="A10" s="4" t="s">
        <v>36</v>
      </c>
      <c r="B10" s="4" t="s">
        <v>37</v>
      </c>
      <c r="C10" s="2" t="str">
        <f t="shared" si="1"/>
        <v>DATE OF INSPECTION</v>
      </c>
      <c r="D10" s="5" t="s">
        <v>107</v>
      </c>
      <c r="J10" s="47" t="s">
        <v>1256</v>
      </c>
      <c r="K10" s="47" t="s">
        <v>1257</v>
      </c>
      <c r="L10" s="160" t="str">
        <f t="shared" si="0"/>
        <v>SEAL NUMBERS</v>
      </c>
      <c r="P10" s="29"/>
    </row>
    <row r="11" hidden="1" spans="1:16">
      <c r="A11" s="7" t="s">
        <v>44</v>
      </c>
      <c r="B11" s="2" t="str">
        <f>A11</f>
        <v>SG0020031202-I</v>
      </c>
      <c r="C11" s="2" t="s">
        <v>45</v>
      </c>
      <c r="D11" s="5" t="s">
        <v>110</v>
      </c>
      <c r="J11" s="47" t="s">
        <v>1258</v>
      </c>
      <c r="K11" s="47" t="s">
        <v>1259</v>
      </c>
      <c r="L11" s="160" t="str">
        <f t="shared" si="0"/>
        <v>Nominated Shore Tank(s) Number :</v>
      </c>
      <c r="P11" s="29"/>
    </row>
    <row r="12" hidden="1" spans="1:16">
      <c r="A12" s="8" t="s">
        <v>46</v>
      </c>
      <c r="B12" s="2" t="str">
        <f>A12</f>
        <v>YYYY-MM-DD</v>
      </c>
      <c r="C12" s="2" t="s">
        <v>46</v>
      </c>
      <c r="D12" s="5" t="s">
        <v>113</v>
      </c>
      <c r="F12" s="47"/>
      <c r="G12" s="47"/>
      <c r="H12" s="47"/>
      <c r="J12" s="47" t="s">
        <v>1260</v>
      </c>
      <c r="K12" s="47" t="s">
        <v>1261</v>
      </c>
      <c r="L12" s="160" t="str">
        <f t="shared" si="0"/>
        <v>Nominated Vessel Tank(s) Number :</v>
      </c>
      <c r="P12" s="29"/>
    </row>
    <row r="13" hidden="1" spans="1:16">
      <c r="A13" s="7" t="s">
        <v>48</v>
      </c>
      <c r="B13" s="9" t="s">
        <v>49</v>
      </c>
      <c r="C13" s="2" t="str">
        <f t="shared" si="1"/>
        <v>PETROCHINA </v>
      </c>
      <c r="D13" s="5" t="s">
        <v>116</v>
      </c>
      <c r="J13" s="47" t="s">
        <v>1262</v>
      </c>
      <c r="K13" s="47" t="s">
        <v>1263</v>
      </c>
      <c r="L13" s="160" t="str">
        <f t="shared" si="0"/>
        <v>Nominated Sending Shore Tank(s) Number :</v>
      </c>
      <c r="P13" s="29"/>
    </row>
    <row r="14" hidden="1" spans="1:16">
      <c r="A14" s="7" t="s">
        <v>50</v>
      </c>
      <c r="B14" s="7" t="s">
        <v>117</v>
      </c>
      <c r="C14" s="2" t="s">
        <v>51</v>
      </c>
      <c r="D14" s="5" t="s">
        <v>120</v>
      </c>
      <c r="J14" s="47" t="s">
        <v>1264</v>
      </c>
      <c r="K14" s="47" t="s">
        <v>1265</v>
      </c>
      <c r="L14" s="160" t="str">
        <f t="shared" si="0"/>
        <v>Nominated Receiving Shore Tank(s) Number :</v>
      </c>
      <c r="P14" s="29"/>
    </row>
    <row r="15" hidden="1" spans="1:16">
      <c r="A15" s="7" t="s">
        <v>52</v>
      </c>
      <c r="B15" s="9" t="s">
        <v>53</v>
      </c>
      <c r="C15" s="2" t="str">
        <f t="shared" si="1"/>
        <v>Crude Oil6658</v>
      </c>
      <c r="D15" s="5" t="s">
        <v>123</v>
      </c>
      <c r="J15" s="47" t="s">
        <v>1266</v>
      </c>
      <c r="K15" s="47" t="s">
        <v>1267</v>
      </c>
      <c r="L15" s="160" t="str">
        <f t="shared" si="0"/>
        <v>Nominated Lighter Tank(s) Number:</v>
      </c>
      <c r="P15" s="29"/>
    </row>
    <row r="16" hidden="1" spans="1:16">
      <c r="A16" s="7" t="s">
        <v>54</v>
      </c>
      <c r="B16" s="2" t="s">
        <v>55</v>
      </c>
      <c r="C16" s="2" t="str">
        <f t="shared" si="1"/>
        <v>MT ZhenYuanefdasdf</v>
      </c>
      <c r="D16" s="5" t="s">
        <v>126</v>
      </c>
      <c r="J16" s="47" t="s">
        <v>1268</v>
      </c>
      <c r="K16" s="52" t="s">
        <v>1269</v>
      </c>
      <c r="L16" s="160" t="str">
        <f t="shared" si="0"/>
        <v>Nominated Storage Tank(s) Number:</v>
      </c>
      <c r="P16" s="29"/>
    </row>
    <row r="17" ht="15.6" hidden="1" customHeight="1" spans="1:16">
      <c r="A17" s="7" t="s">
        <v>56</v>
      </c>
      <c r="B17" s="9" t="s">
        <v>57</v>
      </c>
      <c r="C17" s="2" t="str">
        <f t="shared" si="1"/>
        <v>Dalian, Chinafsadfa</v>
      </c>
      <c r="D17" s="5" t="s">
        <v>129</v>
      </c>
      <c r="J17" s="47" t="s">
        <v>1270</v>
      </c>
      <c r="K17" s="47" t="s">
        <v>1271</v>
      </c>
      <c r="L17" s="160" t="str">
        <f t="shared" si="0"/>
        <v>Before Discharge</v>
      </c>
      <c r="P17" s="29"/>
    </row>
    <row r="18" hidden="1" spans="1:16">
      <c r="A18" s="7" t="s">
        <v>58</v>
      </c>
      <c r="B18" s="9" t="s">
        <v>59</v>
      </c>
      <c r="C18" s="2" t="str">
        <f t="shared" si="1"/>
        <v>Dalian Chinaoil, China1325415</v>
      </c>
      <c r="D18" s="5" t="s">
        <v>132</v>
      </c>
      <c r="J18" s="47" t="s">
        <v>1272</v>
      </c>
      <c r="K18" s="47" t="s">
        <v>1273</v>
      </c>
      <c r="L18" s="160" t="str">
        <f t="shared" si="0"/>
        <v>During Discharge</v>
      </c>
      <c r="P18" s="29"/>
    </row>
    <row r="19" hidden="1" spans="1:16">
      <c r="A19" s="10" t="s">
        <v>133</v>
      </c>
      <c r="B19" s="11" t="str">
        <f>A19</f>
        <v>YYYY-MM-DD -- YYYY-MM-DD</v>
      </c>
      <c r="C19" s="2" t="s">
        <v>60</v>
      </c>
      <c r="D19" s="12" t="s">
        <v>136</v>
      </c>
      <c r="J19" s="47" t="s">
        <v>1274</v>
      </c>
      <c r="K19" s="47" t="s">
        <v>1275</v>
      </c>
      <c r="L19" s="160" t="str">
        <f t="shared" si="0"/>
        <v>After Discharge</v>
      </c>
      <c r="P19" s="29"/>
    </row>
    <row r="20" hidden="1" spans="1:16">
      <c r="A20" s="13" t="s">
        <v>137</v>
      </c>
      <c r="B20" s="13" t="s">
        <v>138</v>
      </c>
      <c r="C20" s="2" t="str">
        <f t="shared" si="1"/>
        <v>Density@15℃ (g/cm³)</v>
      </c>
      <c r="D20" s="5" t="s">
        <v>141</v>
      </c>
      <c r="J20" s="47" t="s">
        <v>1276</v>
      </c>
      <c r="K20" s="47" t="s">
        <v>1277</v>
      </c>
      <c r="L20" s="160" t="str">
        <f t="shared" si="0"/>
        <v>Before Load</v>
      </c>
      <c r="P20" s="29"/>
    </row>
    <row r="21" hidden="1" spans="1:16">
      <c r="A21" s="14" t="s">
        <v>142</v>
      </c>
      <c r="B21" s="14" t="s">
        <v>143</v>
      </c>
      <c r="C21" s="2" t="str">
        <f t="shared" si="1"/>
        <v>Density@20℃ (g/cm³)</v>
      </c>
      <c r="D21" s="5" t="s">
        <v>5</v>
      </c>
      <c r="J21" s="47" t="s">
        <v>1278</v>
      </c>
      <c r="K21" s="47" t="s">
        <v>1279</v>
      </c>
      <c r="L21" s="160" t="str">
        <f t="shared" si="0"/>
        <v>During Load</v>
      </c>
      <c r="P21" s="29"/>
    </row>
    <row r="22" ht="15" hidden="1" customHeight="1" spans="1:16">
      <c r="A22" s="13" t="s">
        <v>146</v>
      </c>
      <c r="B22" s="13" t="s">
        <v>146</v>
      </c>
      <c r="C22" s="2" t="str">
        <f t="shared" si="1"/>
        <v>API@60℉</v>
      </c>
      <c r="D22" s="5" t="s">
        <v>6</v>
      </c>
      <c r="J22" s="47" t="s">
        <v>1280</v>
      </c>
      <c r="K22" s="47" t="s">
        <v>1281</v>
      </c>
      <c r="L22" s="160" t="str">
        <f t="shared" si="0"/>
        <v>After Load</v>
      </c>
      <c r="P22" s="29"/>
    </row>
    <row r="23" hidden="1" spans="1:18">
      <c r="A23" s="14" t="s">
        <v>149</v>
      </c>
      <c r="B23" s="14" t="s">
        <v>150</v>
      </c>
      <c r="C23" s="2" t="str">
        <f t="shared" si="1"/>
        <v>S.G.@60℉/60℉</v>
      </c>
      <c r="D23" s="12">
        <v>1952</v>
      </c>
      <c r="J23" s="47" t="s">
        <v>1282</v>
      </c>
      <c r="K23" s="47" t="s">
        <v>1283</v>
      </c>
      <c r="L23" s="160" t="str">
        <f t="shared" si="0"/>
        <v>Before Transfer</v>
      </c>
      <c r="O23" s="161"/>
      <c r="P23" s="162"/>
      <c r="Q23" s="170"/>
      <c r="R23" s="168"/>
    </row>
    <row r="24" hidden="1" spans="1:18">
      <c r="A24" s="15" t="s">
        <v>153</v>
      </c>
      <c r="B24" s="15" t="s">
        <v>154</v>
      </c>
      <c r="C24" s="2" t="str">
        <f t="shared" si="1"/>
        <v>α60℉ (1/℉)</v>
      </c>
      <c r="D24" s="12">
        <v>1980</v>
      </c>
      <c r="J24" s="47" t="s">
        <v>1284</v>
      </c>
      <c r="K24" s="47" t="s">
        <v>1285</v>
      </c>
      <c r="L24" s="160" t="str">
        <f t="shared" si="0"/>
        <v>During Transfer</v>
      </c>
      <c r="O24" s="161"/>
      <c r="P24" s="162"/>
      <c r="Q24" s="170"/>
      <c r="R24" s="168"/>
    </row>
    <row r="25" hidden="1" spans="1:18">
      <c r="A25" s="15" t="s">
        <v>157</v>
      </c>
      <c r="B25" s="15" t="s">
        <v>158</v>
      </c>
      <c r="C25" s="2" t="str">
        <f t="shared" si="1"/>
        <v>α60℉ (1/℃)</v>
      </c>
      <c r="D25" s="12">
        <v>2004</v>
      </c>
      <c r="J25" s="47" t="s">
        <v>1286</v>
      </c>
      <c r="K25" s="47" t="s">
        <v>1287</v>
      </c>
      <c r="L25" s="160" t="str">
        <f t="shared" si="0"/>
        <v>After Transfer</v>
      </c>
      <c r="O25" s="161"/>
      <c r="P25" s="162"/>
      <c r="Q25" s="170"/>
      <c r="R25" s="168"/>
    </row>
    <row r="26" hidden="1" spans="1:18">
      <c r="A26" s="14" t="s">
        <v>161</v>
      </c>
      <c r="B26" s="14" t="s">
        <v>162</v>
      </c>
      <c r="C26" s="2" t="str">
        <f t="shared" si="1"/>
        <v>Density@15℃ (kg/m³)</v>
      </c>
      <c r="D26" s="16" t="s">
        <v>165</v>
      </c>
      <c r="J26" s="47" t="s">
        <v>1288</v>
      </c>
      <c r="K26" s="52" t="s">
        <v>1289</v>
      </c>
      <c r="L26" s="160" t="str">
        <f t="shared" si="0"/>
        <v>While Measurement</v>
      </c>
      <c r="O26" s="161"/>
      <c r="P26" s="162"/>
      <c r="Q26" s="170"/>
      <c r="R26" s="168"/>
    </row>
    <row r="27" hidden="1" spans="1:18">
      <c r="A27" s="13" t="s">
        <v>167</v>
      </c>
      <c r="B27" s="13" t="s">
        <v>168</v>
      </c>
      <c r="C27" s="2" t="str">
        <f t="shared" si="1"/>
        <v>Density@20℃ (kg/m³)</v>
      </c>
      <c r="D27" s="16" t="s">
        <v>171</v>
      </c>
      <c r="J27" s="163" t="s">
        <v>1290</v>
      </c>
      <c r="K27" s="164" t="s">
        <v>1291</v>
      </c>
      <c r="L27" s="160" t="str">
        <f t="shared" si="0"/>
        <v>Tank Composite</v>
      </c>
      <c r="O27" s="161"/>
      <c r="P27" s="162"/>
      <c r="Q27" s="170"/>
      <c r="R27" s="168"/>
    </row>
    <row r="28" hidden="1" spans="1:18">
      <c r="A28" s="14" t="s">
        <v>146</v>
      </c>
      <c r="B28" s="14" t="s">
        <v>173</v>
      </c>
      <c r="C28" s="2" t="str">
        <f t="shared" si="1"/>
        <v>API@60℉</v>
      </c>
      <c r="D28" s="5" t="s">
        <v>7</v>
      </c>
      <c r="J28" s="47" t="s">
        <v>1292</v>
      </c>
      <c r="K28" s="52" t="s">
        <v>1293</v>
      </c>
      <c r="L28" s="160" t="str">
        <f t="shared" si="0"/>
        <v>Multiple Tank Composite</v>
      </c>
      <c r="O28" s="161"/>
      <c r="P28" s="162"/>
      <c r="Q28" s="170"/>
      <c r="R28" s="168"/>
    </row>
    <row r="29" ht="15" hidden="1" customHeight="1" spans="1:18">
      <c r="A29" s="13" t="s">
        <v>149</v>
      </c>
      <c r="B29" s="13" t="s">
        <v>177</v>
      </c>
      <c r="C29" s="2" t="str">
        <f t="shared" si="1"/>
        <v>S.G.@60℉/60℉</v>
      </c>
      <c r="D29" s="5" t="s">
        <v>8</v>
      </c>
      <c r="J29" s="47" t="s">
        <v>1294</v>
      </c>
      <c r="K29" s="47" t="s">
        <v>1295</v>
      </c>
      <c r="L29" s="160" t="str">
        <f t="shared" si="0"/>
        <v>Compartment Composite</v>
      </c>
      <c r="O29" s="161"/>
      <c r="P29" s="162"/>
      <c r="Q29" s="170"/>
      <c r="R29" s="168"/>
    </row>
    <row r="30" hidden="1" spans="1:18">
      <c r="A30" s="17" t="s">
        <v>181</v>
      </c>
      <c r="B30" s="18" t="s">
        <v>182</v>
      </c>
      <c r="C30" s="2" t="str">
        <f t="shared" si="1"/>
        <v>WCF MT(in air)/m³@15℃ [T-56]</v>
      </c>
      <c r="D30" s="5" t="s">
        <v>11</v>
      </c>
      <c r="J30" s="47" t="s">
        <v>1296</v>
      </c>
      <c r="K30" s="47" t="s">
        <v>1297</v>
      </c>
      <c r="L30" s="160" t="str">
        <f t="shared" si="0"/>
        <v>Deck Composite</v>
      </c>
      <c r="O30" s="161"/>
      <c r="P30" s="162"/>
      <c r="Q30" s="170"/>
      <c r="R30" s="168"/>
    </row>
    <row r="31" hidden="1" spans="1:18">
      <c r="A31" s="17" t="s">
        <v>186</v>
      </c>
      <c r="B31" s="18" t="s">
        <v>187</v>
      </c>
      <c r="C31" s="2" t="str">
        <f t="shared" si="1"/>
        <v>WCF MT(in air)/m³@15℃</v>
      </c>
      <c r="D31" s="5" t="s">
        <v>12</v>
      </c>
      <c r="J31" s="47" t="s">
        <v>1298</v>
      </c>
      <c r="K31" s="47" t="s">
        <v>1299</v>
      </c>
      <c r="L31" s="160" t="str">
        <f t="shared" si="0"/>
        <v>Composite</v>
      </c>
      <c r="O31" s="161"/>
      <c r="P31" s="162"/>
      <c r="Q31" s="170"/>
      <c r="R31" s="168"/>
    </row>
    <row r="32" hidden="1" spans="1:18">
      <c r="A32" s="17" t="s">
        <v>191</v>
      </c>
      <c r="B32" s="18" t="s">
        <v>192</v>
      </c>
      <c r="C32" s="2" t="str">
        <f t="shared" si="1"/>
        <v>WCF MT(in air)/m³@20℃</v>
      </c>
      <c r="J32" s="47" t="s">
        <v>1300</v>
      </c>
      <c r="K32" s="52" t="s">
        <v>1301</v>
      </c>
      <c r="L32" s="160" t="str">
        <f t="shared" si="0"/>
        <v>Running</v>
      </c>
      <c r="O32" s="161"/>
      <c r="P32" s="162"/>
      <c r="Q32" s="170"/>
      <c r="R32" s="168"/>
    </row>
    <row r="33" hidden="1" spans="1:18">
      <c r="A33" s="19" t="s">
        <v>196</v>
      </c>
      <c r="B33" s="20" t="s">
        <v>197</v>
      </c>
      <c r="C33" s="2" t="str">
        <f t="shared" si="1"/>
        <v>MT/LT [T-1] </v>
      </c>
      <c r="J33" s="47" t="s">
        <v>1302</v>
      </c>
      <c r="K33" s="47" t="s">
        <v>1303</v>
      </c>
      <c r="L33" s="160" t="str">
        <f t="shared" ref="L33:L49" si="2">IF(Report_Language=$A$1,J33,K33)</f>
        <v>All-levels</v>
      </c>
      <c r="O33" s="161"/>
      <c r="P33" s="162"/>
      <c r="Q33" s="170"/>
      <c r="R33" s="168"/>
    </row>
    <row r="34" hidden="1" spans="1:18">
      <c r="A34" s="19" t="s">
        <v>201</v>
      </c>
      <c r="B34" s="21" t="s">
        <v>202</v>
      </c>
      <c r="C34" s="2" t="str">
        <f t="shared" ref="C34:C65" si="3">IF(Report_Language=$A$1,A34,B34)</f>
        <v>MT/LT</v>
      </c>
      <c r="J34" s="47" t="s">
        <v>1304</v>
      </c>
      <c r="K34" s="52" t="s">
        <v>1305</v>
      </c>
      <c r="L34" s="160" t="str">
        <f t="shared" si="2"/>
        <v>Spot</v>
      </c>
      <c r="O34" s="161"/>
      <c r="P34" s="162"/>
      <c r="Q34" s="170"/>
      <c r="R34" s="168"/>
    </row>
    <row r="35" hidden="1" spans="1:18">
      <c r="A35" s="17" t="s">
        <v>206</v>
      </c>
      <c r="B35" s="18" t="s">
        <v>207</v>
      </c>
      <c r="C35" s="2" t="str">
        <f t="shared" si="3"/>
        <v>WCF MT(in air)/bbls@60℉ [T-13]</v>
      </c>
      <c r="J35" s="47" t="s">
        <v>1306</v>
      </c>
      <c r="K35" s="47" t="s">
        <v>1307</v>
      </c>
      <c r="L35" s="160" t="str">
        <f t="shared" si="2"/>
        <v>Upper</v>
      </c>
      <c r="O35" s="28"/>
      <c r="P35" s="165"/>
      <c r="Q35" s="168"/>
      <c r="R35" s="168"/>
    </row>
    <row r="36" hidden="1" spans="1:18">
      <c r="A36" s="17" t="s">
        <v>210</v>
      </c>
      <c r="B36" s="18" t="s">
        <v>211</v>
      </c>
      <c r="C36" s="2" t="str">
        <f t="shared" si="3"/>
        <v>WCF MT(in air)/bbls@60℉</v>
      </c>
      <c r="J36" s="47" t="s">
        <v>1308</v>
      </c>
      <c r="K36" s="47" t="s">
        <v>1309</v>
      </c>
      <c r="L36" s="160" t="str">
        <f t="shared" si="2"/>
        <v>Middle</v>
      </c>
      <c r="O36" s="28"/>
      <c r="P36" s="165"/>
      <c r="Q36" s="168"/>
      <c r="R36" s="168"/>
    </row>
    <row r="37" hidden="1" spans="1:18">
      <c r="A37" s="14" t="s">
        <v>214</v>
      </c>
      <c r="B37" s="14" t="s">
        <v>215</v>
      </c>
      <c r="C37" s="2" t="str">
        <f t="shared" si="3"/>
        <v>Density@15℃ MT(Vacuo)/m³</v>
      </c>
      <c r="J37" s="47" t="s">
        <v>1310</v>
      </c>
      <c r="K37" s="47" t="s">
        <v>1311</v>
      </c>
      <c r="L37" s="160" t="str">
        <f t="shared" si="2"/>
        <v>Lower</v>
      </c>
      <c r="O37" s="28"/>
      <c r="P37" s="165"/>
      <c r="Q37" s="168"/>
      <c r="R37" s="168"/>
    </row>
    <row r="38" hidden="1" spans="1:18">
      <c r="A38" s="14" t="s">
        <v>218</v>
      </c>
      <c r="B38" s="14" t="s">
        <v>219</v>
      </c>
      <c r="C38" s="2" t="str">
        <f t="shared" si="3"/>
        <v>Density@20℃ MT(Vacuo)/m³</v>
      </c>
      <c r="J38" s="47" t="s">
        <v>1312</v>
      </c>
      <c r="K38" s="47" t="s">
        <v>1313</v>
      </c>
      <c r="L38" s="160" t="str">
        <f t="shared" si="2"/>
        <v>Bottom</v>
      </c>
      <c r="O38" s="28"/>
      <c r="P38" s="165"/>
      <c r="Q38" s="168"/>
      <c r="R38" s="168"/>
    </row>
    <row r="39" ht="15" hidden="1" customHeight="1" spans="1:18">
      <c r="A39" s="17" t="s">
        <v>222</v>
      </c>
      <c r="B39" s="18" t="s">
        <v>223</v>
      </c>
      <c r="C39" s="2" t="str">
        <f t="shared" si="3"/>
        <v>WCF MT(in vacuo)/bbls@60℉ [T-13]</v>
      </c>
      <c r="J39" s="47" t="s">
        <v>1314</v>
      </c>
      <c r="K39" s="47" t="s">
        <v>1315</v>
      </c>
      <c r="L39" s="160" t="str">
        <f t="shared" si="2"/>
        <v>1st Foot</v>
      </c>
      <c r="O39" s="28"/>
      <c r="P39" s="165"/>
      <c r="Q39" s="168"/>
      <c r="R39" s="168"/>
    </row>
    <row r="40" hidden="1" spans="1:18">
      <c r="A40" s="17" t="s">
        <v>226</v>
      </c>
      <c r="B40" s="18" t="s">
        <v>227</v>
      </c>
      <c r="C40" s="2" t="str">
        <f t="shared" si="3"/>
        <v>WCF MT(in vacuo)/bbls@60℉</v>
      </c>
      <c r="J40" s="47" t="s">
        <v>1316</v>
      </c>
      <c r="K40" s="52" t="s">
        <v>1317</v>
      </c>
      <c r="L40" s="160" t="str">
        <f t="shared" si="2"/>
        <v>For Client Retention</v>
      </c>
      <c r="O40" s="28"/>
      <c r="P40" s="165"/>
      <c r="Q40" s="168"/>
      <c r="R40" s="168"/>
    </row>
    <row r="41" hidden="1" spans="1:18">
      <c r="A41" s="19" t="s">
        <v>196</v>
      </c>
      <c r="B41" s="20" t="s">
        <v>197</v>
      </c>
      <c r="C41" s="2" t="str">
        <f t="shared" si="3"/>
        <v>MT/LT [T-1] </v>
      </c>
      <c r="J41" s="47" t="s">
        <v>1318</v>
      </c>
      <c r="K41" s="52" t="s">
        <v>1319</v>
      </c>
      <c r="L41" s="160" t="str">
        <f t="shared" si="2"/>
        <v>For Vessel Retention</v>
      </c>
      <c r="O41" s="28"/>
      <c r="P41" s="165"/>
      <c r="Q41" s="168"/>
      <c r="R41" s="168"/>
    </row>
    <row r="42" hidden="1" spans="1:18">
      <c r="A42" s="19" t="s">
        <v>201</v>
      </c>
      <c r="B42" s="21" t="s">
        <v>202</v>
      </c>
      <c r="C42" s="2" t="str">
        <f t="shared" si="3"/>
        <v>MT/LT</v>
      </c>
      <c r="J42" s="47" t="s">
        <v>1320</v>
      </c>
      <c r="K42" s="52" t="s">
        <v>1321</v>
      </c>
      <c r="L42" s="160" t="str">
        <f t="shared" si="2"/>
        <v>For Receiver Retention</v>
      </c>
      <c r="O42" s="28"/>
      <c r="P42" s="165"/>
      <c r="Q42" s="168"/>
      <c r="R42" s="168"/>
    </row>
    <row r="43" hidden="1" spans="1:18">
      <c r="A43" s="17" t="s">
        <v>233</v>
      </c>
      <c r="B43" s="18" t="s">
        <v>234</v>
      </c>
      <c r="C43" s="2" t="str">
        <f t="shared" si="3"/>
        <v>WCF LT(in air)/m³@15℃ [T-57]</v>
      </c>
      <c r="J43" s="47" t="s">
        <v>1322</v>
      </c>
      <c r="K43" s="52" t="s">
        <v>1323</v>
      </c>
      <c r="L43" s="160" t="str">
        <f t="shared" si="2"/>
        <v>For Terminal Retention</v>
      </c>
      <c r="O43" s="28"/>
      <c r="P43" s="165"/>
      <c r="Q43" s="168"/>
      <c r="R43" s="168"/>
    </row>
    <row r="44" ht="15" hidden="1" customHeight="1" spans="1:18">
      <c r="A44" s="17" t="s">
        <v>236</v>
      </c>
      <c r="B44" s="18" t="s">
        <v>237</v>
      </c>
      <c r="C44" s="2" t="str">
        <f t="shared" si="3"/>
        <v>WCF LT(in air)/m³@15℃</v>
      </c>
      <c r="J44" s="47" t="s">
        <v>1324</v>
      </c>
      <c r="K44" s="52" t="s">
        <v>1325</v>
      </c>
      <c r="L44" s="160" t="str">
        <f t="shared" si="2"/>
        <v>For Analysis</v>
      </c>
      <c r="O44" s="28"/>
      <c r="P44" s="165"/>
      <c r="Q44" s="168"/>
      <c r="R44" s="168"/>
    </row>
    <row r="45" hidden="1" spans="1:18">
      <c r="A45" s="19" t="s">
        <v>240</v>
      </c>
      <c r="B45" s="20" t="s">
        <v>241</v>
      </c>
      <c r="C45" s="2" t="str">
        <f t="shared" si="3"/>
        <v>LT/MT [T-1] </v>
      </c>
      <c r="J45" s="47" t="s">
        <v>1326</v>
      </c>
      <c r="K45" s="166" t="s">
        <v>1327</v>
      </c>
      <c r="L45" s="160" t="str">
        <f t="shared" si="2"/>
        <v>For CCIC Retention</v>
      </c>
      <c r="M45" s="25"/>
      <c r="N45" s="28"/>
      <c r="O45" s="28"/>
      <c r="P45" s="165"/>
      <c r="Q45" s="168"/>
      <c r="R45" s="168"/>
    </row>
    <row r="46" ht="16.4" hidden="1" spans="1:18">
      <c r="A46" s="19" t="s">
        <v>244</v>
      </c>
      <c r="B46" s="20" t="s">
        <v>245</v>
      </c>
      <c r="C46" s="2" t="str">
        <f t="shared" si="3"/>
        <v>LT/MT</v>
      </c>
      <c r="J46" s="796" t="s">
        <v>1328</v>
      </c>
      <c r="K46" s="797" t="s">
        <v>1329</v>
      </c>
      <c r="L46" s="160" t="str">
        <f t="shared" si="2"/>
        <v>- Reference Standards: API MPMS Chapter 8.1 (2013).</v>
      </c>
      <c r="M46" s="25"/>
      <c r="N46" s="28"/>
      <c r="O46" s="28"/>
      <c r="P46" s="165"/>
      <c r="Q46" s="168"/>
      <c r="R46" s="168"/>
    </row>
    <row r="47" hidden="1" spans="1:18">
      <c r="A47" s="17" t="s">
        <v>248</v>
      </c>
      <c r="B47" s="18" t="s">
        <v>249</v>
      </c>
      <c r="C47" s="2" t="str">
        <f t="shared" si="3"/>
        <v>WCF LT(in air)/bbls@60℉ [T-29] </v>
      </c>
      <c r="J47" s="47" t="s">
        <v>447</v>
      </c>
      <c r="K47" t="s">
        <v>448</v>
      </c>
      <c r="L47" s="160" t="str">
        <f t="shared" si="2"/>
        <v>Remark:</v>
      </c>
      <c r="M47" s="25"/>
      <c r="N47" s="28"/>
      <c r="O47" s="28"/>
      <c r="P47" s="165"/>
      <c r="Q47" s="168"/>
      <c r="R47" s="168"/>
    </row>
    <row r="48" hidden="1" spans="1:18">
      <c r="A48" s="17" t="s">
        <v>253</v>
      </c>
      <c r="B48" s="18" t="s">
        <v>254</v>
      </c>
      <c r="C48" s="2" t="str">
        <f t="shared" si="3"/>
        <v>WCF LT(in air)/bbls@60℉</v>
      </c>
      <c r="J48" s="798" t="s">
        <v>1330</v>
      </c>
      <c r="K48" t="s">
        <v>1331</v>
      </c>
      <c r="L48" s="160" t="str">
        <f t="shared" si="2"/>
        <v>Weather condition during sampling:</v>
      </c>
      <c r="M48" s="25"/>
      <c r="N48" s="28"/>
      <c r="O48" s="28"/>
      <c r="P48" s="165"/>
      <c r="Q48" s="168"/>
      <c r="R48" s="168"/>
    </row>
    <row r="49" hidden="1" spans="1:18">
      <c r="A49" s="17" t="s">
        <v>259</v>
      </c>
      <c r="B49" s="18" t="s">
        <v>260</v>
      </c>
      <c r="C49" s="2" t="str">
        <f t="shared" si="3"/>
        <v>WCF LT(in air)/bbls@60℉ [T-11] </v>
      </c>
      <c r="J49" s="798" t="s">
        <v>1332</v>
      </c>
      <c r="K49" s="799" t="s">
        <v>1333</v>
      </c>
      <c r="L49" s="160" t="str">
        <f t="shared" si="2"/>
        <v>- Unless otherwise instructed, the above CCIC retention samples will be retained only for three months.</v>
      </c>
      <c r="M49" s="25"/>
      <c r="N49" s="28"/>
      <c r="O49" s="28"/>
      <c r="P49" s="165"/>
      <c r="Q49" s="168"/>
      <c r="R49" s="168"/>
    </row>
    <row r="50" hidden="1" spans="1:26">
      <c r="A50" s="17" t="s">
        <v>253</v>
      </c>
      <c r="B50" s="18" t="s">
        <v>254</v>
      </c>
      <c r="C50" s="2" t="str">
        <f t="shared" si="3"/>
        <v>WCF LT(in air)/bbls@60℉</v>
      </c>
      <c r="I50" s="47"/>
      <c r="J50" s="47"/>
      <c r="L50" s="160"/>
      <c r="M50" s="25"/>
      <c r="N50" s="28"/>
      <c r="O50" s="28"/>
      <c r="P50" s="165"/>
      <c r="Q50" s="168"/>
      <c r="R50" s="168"/>
      <c r="Y50" s="47"/>
      <c r="Z50" s="47"/>
    </row>
    <row r="51" hidden="1" spans="1:27">
      <c r="A51" s="17" t="s">
        <v>265</v>
      </c>
      <c r="B51" s="18" t="s">
        <v>266</v>
      </c>
      <c r="C51" s="2" t="str">
        <f t="shared" si="3"/>
        <v>WCF LT(in vacuo)/m³@15℃ [T-57]</v>
      </c>
      <c r="J51" s="47"/>
      <c r="K51" s="166"/>
      <c r="L51" s="160"/>
      <c r="M51" s="25"/>
      <c r="N51" s="28"/>
      <c r="O51" s="28"/>
      <c r="P51" s="165"/>
      <c r="Q51" s="168"/>
      <c r="R51" s="168"/>
      <c r="X51" s="47" t="s">
        <v>1334</v>
      </c>
      <c r="Y51" s="47"/>
      <c r="Z51" s="47"/>
      <c r="AA51" t="s">
        <v>1335</v>
      </c>
    </row>
    <row r="52" hidden="1" spans="1:27">
      <c r="A52" s="17" t="s">
        <v>268</v>
      </c>
      <c r="B52" s="18" t="s">
        <v>269</v>
      </c>
      <c r="C52" s="2" t="str">
        <f t="shared" si="3"/>
        <v>WCF LT(in vacuo)/m³@15℃</v>
      </c>
      <c r="J52" s="47"/>
      <c r="K52" s="166"/>
      <c r="L52" s="160"/>
      <c r="M52" s="25"/>
      <c r="N52" s="28"/>
      <c r="O52" s="28"/>
      <c r="P52" s="165"/>
      <c r="Q52" s="168"/>
      <c r="R52" s="168"/>
      <c r="X52" s="47" t="s">
        <v>1336</v>
      </c>
      <c r="Y52" s="47"/>
      <c r="Z52" s="47"/>
      <c r="AA52" t="s">
        <v>1337</v>
      </c>
    </row>
    <row r="53" hidden="1" spans="1:18">
      <c r="A53" s="19" t="s">
        <v>240</v>
      </c>
      <c r="B53" s="20" t="s">
        <v>241</v>
      </c>
      <c r="C53" s="2" t="str">
        <f t="shared" si="3"/>
        <v>LT/MT [T-1] </v>
      </c>
      <c r="J53" s="47"/>
      <c r="K53" s="166"/>
      <c r="L53" s="160"/>
      <c r="M53" s="25"/>
      <c r="N53" s="28"/>
      <c r="O53" s="28"/>
      <c r="P53" s="165"/>
      <c r="Q53" s="168"/>
      <c r="R53" s="168"/>
    </row>
    <row r="54" hidden="1" spans="1:26">
      <c r="A54" s="19" t="s">
        <v>244</v>
      </c>
      <c r="B54" s="20" t="s">
        <v>245</v>
      </c>
      <c r="C54" s="2" t="str">
        <f t="shared" si="3"/>
        <v>LT/MT</v>
      </c>
      <c r="J54" s="47"/>
      <c r="K54" s="166"/>
      <c r="L54" s="160"/>
      <c r="M54" s="25"/>
      <c r="N54" s="28"/>
      <c r="O54" s="28"/>
      <c r="P54" s="165"/>
      <c r="Q54" s="168"/>
      <c r="R54" s="168"/>
      <c r="Y54" s="47"/>
      <c r="Z54" s="47"/>
    </row>
    <row r="55" hidden="1" spans="1:18">
      <c r="A55" s="17" t="s">
        <v>273</v>
      </c>
      <c r="B55" s="18" t="s">
        <v>274</v>
      </c>
      <c r="C55" s="2" t="str">
        <f t="shared" si="3"/>
        <v>WCF LT(in vacuo)/bbls@60℉ [T-29]</v>
      </c>
      <c r="L55" s="168"/>
      <c r="M55" s="25"/>
      <c r="N55" s="169"/>
      <c r="O55" s="169"/>
      <c r="P55" s="165"/>
      <c r="Q55" s="168"/>
      <c r="R55" s="168"/>
    </row>
    <row r="56" hidden="1" spans="1:18">
      <c r="A56" s="17" t="s">
        <v>276</v>
      </c>
      <c r="B56" s="18" t="s">
        <v>277</v>
      </c>
      <c r="C56" s="2" t="str">
        <f t="shared" si="3"/>
        <v>WCF LT(in vacuo)/bbls@60℉</v>
      </c>
      <c r="L56" s="168"/>
      <c r="M56" s="25"/>
      <c r="N56" s="28"/>
      <c r="O56" s="28"/>
      <c r="P56" s="165"/>
      <c r="Q56" s="168"/>
      <c r="R56" s="168"/>
    </row>
    <row r="57" hidden="1" spans="1:18">
      <c r="A57" s="17" t="s">
        <v>279</v>
      </c>
      <c r="B57" s="18" t="s">
        <v>280</v>
      </c>
      <c r="C57" s="2" t="str">
        <f t="shared" si="3"/>
        <v>WCF LT(in vacuo)/bbls@60℉ [T-11]</v>
      </c>
      <c r="L57" s="168"/>
      <c r="M57" s="25"/>
      <c r="N57" s="28"/>
      <c r="O57" s="28"/>
      <c r="P57" s="165"/>
      <c r="Q57" s="168"/>
      <c r="R57" s="168"/>
    </row>
    <row r="58" hidden="1" spans="1:18">
      <c r="A58" s="17" t="s">
        <v>276</v>
      </c>
      <c r="B58" s="18" t="s">
        <v>277</v>
      </c>
      <c r="C58" s="2" t="str">
        <f t="shared" si="3"/>
        <v>WCF LT(in vacuo)/bbls@60℉</v>
      </c>
      <c r="L58" s="168"/>
      <c r="M58" s="25"/>
      <c r="N58" s="28"/>
      <c r="O58" s="28"/>
      <c r="P58" s="165"/>
      <c r="Q58" s="168"/>
      <c r="R58" s="168"/>
    </row>
    <row r="59" hidden="1" spans="1:18">
      <c r="A59" s="22" t="s">
        <v>283</v>
      </c>
      <c r="B59" s="21" t="s">
        <v>284</v>
      </c>
      <c r="C59" s="2" t="str">
        <f t="shared" si="3"/>
        <v>bbls@60℉/m³@15℃ [T-52]</v>
      </c>
      <c r="L59" s="168"/>
      <c r="M59" s="25"/>
      <c r="N59" s="28"/>
      <c r="O59" s="28"/>
      <c r="P59" s="165"/>
      <c r="Q59" s="168"/>
      <c r="R59" s="168"/>
    </row>
    <row r="60" hidden="1" spans="1:18">
      <c r="A60" s="22" t="s">
        <v>286</v>
      </c>
      <c r="B60" s="21" t="s">
        <v>287</v>
      </c>
      <c r="C60" s="2" t="str">
        <f t="shared" si="3"/>
        <v>bbls@60℉/m³@15℃</v>
      </c>
      <c r="L60" s="168"/>
      <c r="M60" s="25"/>
      <c r="N60" s="28"/>
      <c r="O60" s="28"/>
      <c r="P60" s="165"/>
      <c r="Q60" s="168"/>
      <c r="R60" s="168"/>
    </row>
    <row r="61" hidden="1" spans="1:18">
      <c r="A61" s="23" t="s">
        <v>290</v>
      </c>
      <c r="B61" s="24" t="s">
        <v>291</v>
      </c>
      <c r="C61" s="2" t="str">
        <f t="shared" si="3"/>
        <v>bbls@60℉/MT(in air)</v>
      </c>
      <c r="L61" s="168"/>
      <c r="M61" s="25"/>
      <c r="N61" s="28"/>
      <c r="O61" s="28"/>
      <c r="P61" s="165"/>
      <c r="Q61" s="168"/>
      <c r="R61" s="168"/>
    </row>
    <row r="62" hidden="1" spans="1:18">
      <c r="A62" s="2" t="s">
        <v>294</v>
      </c>
      <c r="B62" s="9" t="s">
        <v>295</v>
      </c>
      <c r="C62" s="2" t="str">
        <f t="shared" si="3"/>
        <v>Standard Volume</v>
      </c>
      <c r="L62" s="168"/>
      <c r="M62" s="25"/>
      <c r="N62" s="28"/>
      <c r="O62" s="28"/>
      <c r="P62" s="165"/>
      <c r="Q62" s="168"/>
      <c r="R62" s="168"/>
    </row>
    <row r="63" ht="16.5" hidden="1" spans="1:18">
      <c r="A63" s="2" t="s">
        <v>298</v>
      </c>
      <c r="B63" s="2" t="s">
        <v>299</v>
      </c>
      <c r="C63" s="2" t="str">
        <f t="shared" si="3"/>
        <v>m³@15℃/m³@20℃ [1/VCF(15℃)]</v>
      </c>
      <c r="L63" s="168"/>
      <c r="M63" s="25"/>
      <c r="N63" s="28"/>
      <c r="O63" s="28"/>
      <c r="P63" s="165"/>
      <c r="Q63" s="168"/>
      <c r="R63" s="168"/>
    </row>
    <row r="64" hidden="1" spans="1:18">
      <c r="A64" s="22" t="s">
        <v>302</v>
      </c>
      <c r="B64" s="21" t="s">
        <v>303</v>
      </c>
      <c r="C64" s="2" t="str">
        <f t="shared" si="3"/>
        <v>m³@15℃/bbls@60℉ [T-22]</v>
      </c>
      <c r="L64" s="168"/>
      <c r="M64" s="25"/>
      <c r="N64" s="28"/>
      <c r="O64" s="28"/>
      <c r="P64" s="165"/>
      <c r="Q64" s="168"/>
      <c r="R64" s="168"/>
    </row>
    <row r="65" ht="15" hidden="1" customHeight="1" spans="1:18">
      <c r="A65" s="22" t="s">
        <v>306</v>
      </c>
      <c r="B65" s="19" t="s">
        <v>307</v>
      </c>
      <c r="C65" s="2" t="str">
        <f t="shared" si="3"/>
        <v>m³@15℃/bbls@60℉</v>
      </c>
      <c r="L65" s="168"/>
      <c r="M65" s="25"/>
      <c r="N65" s="28"/>
      <c r="O65" s="28"/>
      <c r="P65" s="165"/>
      <c r="Q65" s="168"/>
      <c r="R65" s="168"/>
    </row>
    <row r="66" hidden="1" spans="1:18">
      <c r="A66" s="22" t="s">
        <v>310</v>
      </c>
      <c r="B66" s="21" t="s">
        <v>311</v>
      </c>
      <c r="C66" s="2" t="str">
        <f t="shared" ref="C66:C85" si="4">IF(Report_Language=$A$1,A66,B66)</f>
        <v>m³@15℃/bbls@60℉ [T-4] </v>
      </c>
      <c r="L66" s="168"/>
      <c r="M66" s="25"/>
      <c r="N66" s="28"/>
      <c r="O66" s="28"/>
      <c r="P66" s="165"/>
      <c r="Q66" s="168"/>
      <c r="R66" s="168"/>
    </row>
    <row r="67" hidden="1" spans="1:16">
      <c r="A67" s="22" t="s">
        <v>306</v>
      </c>
      <c r="B67" s="21" t="s">
        <v>314</v>
      </c>
      <c r="C67" s="2" t="str">
        <f t="shared" si="4"/>
        <v>m³@15℃/bbls@60℉</v>
      </c>
      <c r="M67" s="25"/>
      <c r="N67" s="28"/>
      <c r="O67" s="28"/>
      <c r="P67" s="29"/>
    </row>
    <row r="68" hidden="1" spans="1:16">
      <c r="A68" s="19" t="s">
        <v>317</v>
      </c>
      <c r="B68" s="19" t="s">
        <v>318</v>
      </c>
      <c r="C68" s="2" t="str">
        <f t="shared" si="4"/>
        <v>m³@20℃/m³@15℃ [1/VCF(20℃)]</v>
      </c>
      <c r="M68" s="25"/>
      <c r="N68" s="28"/>
      <c r="O68" s="28"/>
      <c r="P68" s="29"/>
    </row>
    <row r="69" hidden="1" spans="1:16">
      <c r="A69" s="17" t="s">
        <v>321</v>
      </c>
      <c r="B69" s="17" t="s">
        <v>322</v>
      </c>
      <c r="C69" s="2" t="str">
        <f t="shared" si="4"/>
        <v>m³@20℃/bbls@60℉ [T-4] x VCF(59℉)/VCF(68℉)</v>
      </c>
      <c r="M69" s="25"/>
      <c r="N69" s="28"/>
      <c r="O69" s="28"/>
      <c r="P69" s="29"/>
    </row>
    <row r="70" hidden="1" spans="1:16">
      <c r="A70" s="17" t="s">
        <v>325</v>
      </c>
      <c r="B70" s="17" t="s">
        <v>326</v>
      </c>
      <c r="C70" s="2" t="str">
        <f t="shared" si="4"/>
        <v>m³@20℃/bbls@60℉</v>
      </c>
      <c r="M70" s="25"/>
      <c r="N70" s="28"/>
      <c r="O70" s="28"/>
      <c r="P70" s="29"/>
    </row>
    <row r="71" hidden="1" spans="1:16">
      <c r="A71" s="17" t="s">
        <v>329</v>
      </c>
      <c r="B71" s="17" t="s">
        <v>330</v>
      </c>
      <c r="C71" s="2" t="str">
        <f t="shared" si="4"/>
        <v>m³@20℃/bbls@60℉ [T-22] x VCF(59℉)/VCF(68℉)</v>
      </c>
      <c r="M71" s="25"/>
      <c r="N71" s="28"/>
      <c r="O71" s="28"/>
      <c r="P71" s="29"/>
    </row>
    <row r="72" hidden="1" spans="1:16">
      <c r="A72" s="17" t="s">
        <v>325</v>
      </c>
      <c r="B72" s="17" t="s">
        <v>333</v>
      </c>
      <c r="C72" s="2" t="str">
        <f t="shared" si="4"/>
        <v>m³@20℃/bbls@60℉</v>
      </c>
      <c r="M72" s="25"/>
      <c r="N72" s="28"/>
      <c r="O72" s="28"/>
      <c r="P72" s="29"/>
    </row>
    <row r="73" hidden="1" spans="1:16">
      <c r="A73" s="19" t="s">
        <v>336</v>
      </c>
      <c r="B73" s="21" t="s">
        <v>337</v>
      </c>
      <c r="C73" s="2" t="str">
        <f t="shared" si="4"/>
        <v>m³@30℃/m³@15℃ [1/VCF(30℃)]</v>
      </c>
      <c r="M73" s="25"/>
      <c r="N73" s="28"/>
      <c r="O73" s="28"/>
      <c r="P73" s="29"/>
    </row>
    <row r="74" hidden="1" spans="1:16">
      <c r="A74" s="19" t="s">
        <v>340</v>
      </c>
      <c r="B74" s="21" t="s">
        <v>341</v>
      </c>
      <c r="C74" s="2" t="str">
        <f t="shared" si="4"/>
        <v>m³@30℃/m³@20℃ [1/VCF(30℃)]</v>
      </c>
      <c r="M74" s="25"/>
      <c r="N74" s="28"/>
      <c r="O74" s="28"/>
      <c r="P74" s="29"/>
    </row>
    <row r="75" hidden="1" spans="1:16">
      <c r="A75" s="17" t="s">
        <v>344</v>
      </c>
      <c r="B75" s="17" t="s">
        <v>345</v>
      </c>
      <c r="C75" s="2" t="str">
        <f t="shared" si="4"/>
        <v>m³@30℃/bbls@60℉ [T-4] x VCF(59℉)/VCF(86℉)</v>
      </c>
      <c r="M75" s="25"/>
      <c r="N75" s="28"/>
      <c r="O75" s="28"/>
      <c r="P75" s="29"/>
    </row>
    <row r="76" hidden="1" spans="1:16">
      <c r="A76" s="17" t="s">
        <v>348</v>
      </c>
      <c r="B76" s="17" t="s">
        <v>349</v>
      </c>
      <c r="C76" s="2" t="str">
        <f t="shared" si="4"/>
        <v>m³@30℃/bbls@60℉</v>
      </c>
      <c r="M76" s="25"/>
      <c r="N76" s="28"/>
      <c r="O76" s="28"/>
      <c r="P76" s="29"/>
    </row>
    <row r="77" ht="15" hidden="1" customHeight="1" spans="1:3">
      <c r="A77" s="17" t="s">
        <v>350</v>
      </c>
      <c r="B77" s="17" t="s">
        <v>351</v>
      </c>
      <c r="C77" s="2" t="str">
        <f t="shared" si="4"/>
        <v>m³@30℃/bbls@60℉ [T-22] x VCF(59℉)/VCF(86℉)</v>
      </c>
    </row>
    <row r="78" hidden="1" spans="1:3">
      <c r="A78" s="17" t="s">
        <v>348</v>
      </c>
      <c r="B78" s="17" t="s">
        <v>352</v>
      </c>
      <c r="C78" s="2" t="str">
        <f t="shared" si="4"/>
        <v>m³@30℃/bbls@60℉</v>
      </c>
    </row>
    <row r="79" hidden="1" spans="1:3">
      <c r="A79" s="5" t="s">
        <v>353</v>
      </c>
      <c r="B79" s="32" t="s">
        <v>354</v>
      </c>
      <c r="C79" s="2" t="str">
        <f t="shared" si="4"/>
        <v>US Gallon/US Barrels [T-1]</v>
      </c>
    </row>
    <row r="80" hidden="1" spans="1:3">
      <c r="A80" s="33" t="s">
        <v>355</v>
      </c>
      <c r="B80" s="33" t="s">
        <v>356</v>
      </c>
      <c r="C80" s="2" t="str">
        <f t="shared" si="4"/>
        <v>Master/Chief Officer</v>
      </c>
    </row>
    <row r="81" hidden="1" spans="1:3">
      <c r="A81" s="34" t="s">
        <v>357</v>
      </c>
      <c r="B81" s="34" t="s">
        <v>358</v>
      </c>
      <c r="C81" s="2" t="str">
        <f t="shared" si="4"/>
        <v>CCIC Surveyor</v>
      </c>
    </row>
    <row r="82" hidden="1" spans="1:3">
      <c r="A82" s="33" t="s">
        <v>359</v>
      </c>
      <c r="B82" s="33" t="s">
        <v>360</v>
      </c>
      <c r="C82" s="2" t="str">
        <f t="shared" si="4"/>
        <v>Name</v>
      </c>
    </row>
    <row r="83" hidden="1" spans="1:3">
      <c r="A83" s="34" t="s">
        <v>361</v>
      </c>
      <c r="B83" s="34" t="s">
        <v>362</v>
      </c>
      <c r="C83" s="2" t="str">
        <f t="shared" si="4"/>
        <v>Signature</v>
      </c>
    </row>
    <row r="84" hidden="1" spans="1:3">
      <c r="A84" s="33" t="s">
        <v>363</v>
      </c>
      <c r="B84" s="33" t="s">
        <v>364</v>
      </c>
      <c r="C84" s="2" t="str">
        <f t="shared" si="4"/>
        <v>Authorized Signature (S)</v>
      </c>
    </row>
    <row r="85" hidden="1" spans="1:3">
      <c r="A85" s="34" t="s">
        <v>74</v>
      </c>
      <c r="B85" s="34" t="s">
        <v>75</v>
      </c>
      <c r="C85" s="2" t="str">
        <f t="shared" si="4"/>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hidden="1" spans="1:3">
      <c r="A86" s="28"/>
      <c r="B86" s="28"/>
      <c r="C86" s="29"/>
    </row>
    <row r="87" hidden="1" spans="1:3">
      <c r="A87" s="28"/>
      <c r="B87" s="28"/>
      <c r="C87" s="29"/>
    </row>
    <row r="88" hidden="1"/>
    <row r="89" spans="2:13">
      <c r="B89" s="47"/>
      <c r="C89" s="117"/>
      <c r="D89" s="117"/>
      <c r="E89" s="117"/>
      <c r="F89" s="117"/>
      <c r="G89" s="117"/>
      <c r="H89" s="117"/>
      <c r="I89" s="117"/>
      <c r="J89" s="117"/>
      <c r="K89" s="46" t="str">
        <f>$C$2</f>
        <v>JOB NO.</v>
      </c>
      <c r="L89" s="47" t="str">
        <f>单号</f>
        <v>这就是爱</v>
      </c>
      <c r="M89" s="117"/>
    </row>
    <row r="90" spans="2:13">
      <c r="B90" s="47"/>
      <c r="C90" s="117"/>
      <c r="D90" s="117"/>
      <c r="E90" s="117"/>
      <c r="F90" s="117"/>
      <c r="G90" s="117"/>
      <c r="H90" s="117"/>
      <c r="I90" s="117"/>
      <c r="J90" s="117"/>
      <c r="K90" s="46" t="str">
        <f>$C$3</f>
        <v>DATE OF REPORT</v>
      </c>
      <c r="L90" s="47" t="str">
        <f>报告日期</f>
        <v>YYYY-MM-DD</v>
      </c>
      <c r="M90" s="117"/>
    </row>
    <row r="91" ht="6.6" customHeight="1" spans="2:13">
      <c r="B91" s="47"/>
      <c r="C91" s="117"/>
      <c r="D91" s="117"/>
      <c r="E91" s="117"/>
      <c r="F91" s="117"/>
      <c r="G91" s="117"/>
      <c r="H91" s="117"/>
      <c r="I91" s="117"/>
      <c r="J91" s="117"/>
      <c r="K91" s="47"/>
      <c r="L91" s="47"/>
      <c r="M91" s="117"/>
    </row>
    <row r="92" ht="6.6" customHeight="1" spans="2:13">
      <c r="B92" s="47"/>
      <c r="C92" s="117"/>
      <c r="D92" s="117"/>
      <c r="E92" s="117"/>
      <c r="F92" s="117"/>
      <c r="G92" s="117"/>
      <c r="H92" s="117"/>
      <c r="I92" s="117"/>
      <c r="J92" s="117"/>
      <c r="K92" s="47"/>
      <c r="L92" s="47"/>
      <c r="M92" s="117"/>
    </row>
    <row r="93" spans="1:13">
      <c r="A93" t="b">
        <v>0</v>
      </c>
      <c r="B93" s="118" t="str">
        <f>L1</f>
        <v>SAMPLE REPORT</v>
      </c>
      <c r="C93" s="118"/>
      <c r="D93" s="118"/>
      <c r="E93" s="118"/>
      <c r="F93" s="119"/>
      <c r="G93" s="75" t="str">
        <f t="shared" ref="G93:G99" si="5">C4</f>
        <v>APPLICANT</v>
      </c>
      <c r="H93" s="76"/>
      <c r="I93" s="88" t="str">
        <f>客户名</f>
        <v>PETROCHINA </v>
      </c>
      <c r="J93" s="89"/>
      <c r="K93" s="89"/>
      <c r="L93" s="89"/>
      <c r="M93" s="90"/>
    </row>
    <row r="94" ht="15" customHeight="1" spans="1:13">
      <c r="A94" t="b">
        <v>0</v>
      </c>
      <c r="B94" s="118"/>
      <c r="C94" s="118"/>
      <c r="D94" s="118"/>
      <c r="E94" s="118"/>
      <c r="F94" s="119"/>
      <c r="G94" s="75" t="str">
        <f t="shared" si="5"/>
        <v>CLIENT'S REF. NO.</v>
      </c>
      <c r="H94" s="76"/>
      <c r="I94" s="91" t="str">
        <f>客户编号</f>
        <v>说也说不清楚</v>
      </c>
      <c r="J94" s="92"/>
      <c r="K94" s="92"/>
      <c r="L94" s="92"/>
      <c r="M94" s="93"/>
    </row>
    <row r="95" spans="2:13">
      <c r="B95" s="118"/>
      <c r="C95" s="118"/>
      <c r="D95" s="118"/>
      <c r="E95" s="118"/>
      <c r="F95" s="119"/>
      <c r="G95" s="75" t="str">
        <f t="shared" si="5"/>
        <v>COMMODITY</v>
      </c>
      <c r="H95" s="76"/>
      <c r="I95" s="91" t="str">
        <f>品名</f>
        <v>Crude Oil6658</v>
      </c>
      <c r="J95" s="92"/>
      <c r="K95" s="92"/>
      <c r="L95" s="92"/>
      <c r="M95" s="93"/>
    </row>
    <row r="96" spans="1:13">
      <c r="A96" t="b">
        <v>0</v>
      </c>
      <c r="B96" s="118"/>
      <c r="C96" s="118"/>
      <c r="D96" s="118"/>
      <c r="E96" s="118"/>
      <c r="F96" s="119"/>
      <c r="G96" s="75" t="str">
        <f t="shared" si="5"/>
        <v>VESSEL</v>
      </c>
      <c r="H96" s="76"/>
      <c r="I96" s="91" t="str">
        <f>船名</f>
        <v>MT ZhenYuanefdasdf</v>
      </c>
      <c r="J96" s="92"/>
      <c r="K96" s="92"/>
      <c r="L96" s="92"/>
      <c r="M96" s="93"/>
    </row>
    <row r="97" spans="1:13">
      <c r="A97" t="b">
        <v>0</v>
      </c>
      <c r="B97" s="118"/>
      <c r="C97" s="118"/>
      <c r="D97" s="118"/>
      <c r="E97" s="118"/>
      <c r="F97" s="119"/>
      <c r="G97" s="75" t="str">
        <f t="shared" si="5"/>
        <v>PORT</v>
      </c>
      <c r="H97" s="76"/>
      <c r="I97" s="91" t="str">
        <f>港口名</f>
        <v>Dalian, Chinafsadfa</v>
      </c>
      <c r="J97" s="92"/>
      <c r="K97" s="92"/>
      <c r="L97" s="92"/>
      <c r="M97" s="93"/>
    </row>
    <row r="98" spans="1:13">
      <c r="A98" t="b">
        <v>0</v>
      </c>
      <c r="B98" s="118"/>
      <c r="C98" s="118"/>
      <c r="D98" s="118"/>
      <c r="E98" s="118"/>
      <c r="F98" s="119"/>
      <c r="G98" s="75" t="str">
        <f t="shared" si="5"/>
        <v>TERMINAL</v>
      </c>
      <c r="H98" s="76"/>
      <c r="I98" s="91" t="str">
        <f>油库名</f>
        <v>Dalian Chinaoil, China1325415</v>
      </c>
      <c r="J98" s="92"/>
      <c r="K98" s="92"/>
      <c r="L98" s="92"/>
      <c r="M98" s="93"/>
    </row>
    <row r="99" spans="2:13">
      <c r="B99" s="118"/>
      <c r="C99" s="118"/>
      <c r="D99" s="118"/>
      <c r="E99" s="118"/>
      <c r="F99" s="119"/>
      <c r="G99" s="75" t="str">
        <f t="shared" si="5"/>
        <v>DATE OF INSPECTION</v>
      </c>
      <c r="H99" s="76"/>
      <c r="I99" s="91" t="str">
        <f>检验日期</f>
        <v>YYYY-MM-DD To YYYY-MM-DD</v>
      </c>
      <c r="J99" s="92"/>
      <c r="K99" s="92"/>
      <c r="L99" s="92"/>
      <c r="M99" s="93"/>
    </row>
    <row r="100" ht="8.4" customHeight="1" spans="2:13">
      <c r="B100" s="47"/>
      <c r="C100" s="47"/>
      <c r="D100" s="47"/>
      <c r="E100" s="47"/>
      <c r="F100" s="47"/>
      <c r="G100" s="47"/>
      <c r="H100" s="47"/>
      <c r="I100" s="47"/>
      <c r="J100" s="47"/>
      <c r="K100" s="47"/>
      <c r="L100" s="47"/>
      <c r="M100" s="117"/>
    </row>
    <row r="101" ht="16.5" spans="2:33">
      <c r="B101" s="171" t="str">
        <f>IF(Cover!检验种类序号=1,Sample!L12,IF(Cover!检验种类序号=2,Sample!L11,IF(Cover!检验种类序号=3,Sample!L13,IF(Cover!检验种类序号=4,Sample!L12,Sample!L16))))</f>
        <v>Nominated Shore Tank(s) Number :</v>
      </c>
      <c r="C101" s="171"/>
      <c r="D101" s="171"/>
      <c r="E101" s="172" t="s">
        <v>1338</v>
      </c>
      <c r="F101" s="47"/>
      <c r="G101" s="47"/>
      <c r="H101" s="47"/>
      <c r="I101" s="47"/>
      <c r="J101" s="47"/>
      <c r="K101" s="47"/>
      <c r="L101" s="47"/>
      <c r="M101" s="117"/>
      <c r="AA101" s="198" t="s">
        <v>1339</v>
      </c>
      <c r="AG101" s="216" t="s">
        <v>1340</v>
      </c>
    </row>
    <row r="102" ht="15" spans="2:19">
      <c r="B102" s="173" t="str">
        <f>IF(Cover!检验种类序号=1,L11,IF(Cover!检验种类序号=2,L12,IF(Cover!检验种类序号=3,L14,IF(Cover!检验种类序号=4,L15,L16))))</f>
        <v>Nominated Vessel Tank(s) Number :</v>
      </c>
      <c r="C102" s="173"/>
      <c r="D102" s="173"/>
      <c r="E102" s="172" t="s">
        <v>1341</v>
      </c>
      <c r="F102" s="47"/>
      <c r="G102" s="47"/>
      <c r="H102" s="47"/>
      <c r="I102" s="47"/>
      <c r="J102" s="47"/>
      <c r="K102" s="47"/>
      <c r="L102" s="47"/>
      <c r="M102" s="117"/>
      <c r="O102" s="163"/>
      <c r="S102" s="50"/>
    </row>
    <row r="103" spans="2:33">
      <c r="B103" s="174" t="str">
        <f>L2</f>
        <v>SAMPLE DESCRIPTION</v>
      </c>
      <c r="C103" s="175"/>
      <c r="D103" s="175"/>
      <c r="E103" s="175"/>
      <c r="F103" s="175"/>
      <c r="G103" s="175"/>
      <c r="H103" s="175" t="str">
        <f>L6</f>
        <v>SIZE</v>
      </c>
      <c r="I103" s="175"/>
      <c r="J103" s="175" t="str">
        <f>L9</f>
        <v>DISTRIBUTION</v>
      </c>
      <c r="K103" s="175"/>
      <c r="L103" s="175" t="str">
        <f>L10</f>
        <v>SEAL NUMBERS</v>
      </c>
      <c r="M103" s="186"/>
      <c r="N103" s="27"/>
      <c r="O103" s="164"/>
      <c r="X103" s="193" t="s">
        <v>1342</v>
      </c>
      <c r="Y103" s="199"/>
      <c r="AA103" s="200" t="str">
        <f>B103</f>
        <v>SAMPLE DESCRIPTION</v>
      </c>
      <c r="AB103" s="201"/>
      <c r="AC103" s="201"/>
      <c r="AD103" s="201" t="str">
        <f>H103</f>
        <v>SIZE</v>
      </c>
      <c r="AE103" s="201"/>
      <c r="AF103" s="201" t="str">
        <f>J103</f>
        <v>DISTRIBUTION</v>
      </c>
      <c r="AG103" s="217" t="str">
        <f>L103</f>
        <v>SEAL NUMBERS</v>
      </c>
    </row>
    <row r="104" ht="15" spans="2:33">
      <c r="B104" s="176" t="str">
        <f>L3</f>
        <v>STATUS</v>
      </c>
      <c r="C104" s="177"/>
      <c r="D104" s="177" t="str">
        <f>L4</f>
        <v>SOURCE</v>
      </c>
      <c r="E104" s="177"/>
      <c r="F104" s="177" t="str">
        <f>L5</f>
        <v>SAMPLE TYPE</v>
      </c>
      <c r="G104" s="177"/>
      <c r="H104" s="177" t="str">
        <f>L7</f>
        <v>QTY</v>
      </c>
      <c r="I104" s="177" t="str">
        <f>L8</f>
        <v>CAPACITY</v>
      </c>
      <c r="J104" s="177"/>
      <c r="K104" s="177"/>
      <c r="L104" s="177"/>
      <c r="M104" s="187"/>
      <c r="N104" t="s">
        <v>1343</v>
      </c>
      <c r="O104" t="s">
        <v>1344</v>
      </c>
      <c r="X104" s="194" t="s">
        <v>1290</v>
      </c>
      <c r="Y104" s="202" t="s">
        <v>1291</v>
      </c>
      <c r="AA104" s="203" t="str">
        <f>B104</f>
        <v>STATUS</v>
      </c>
      <c r="AB104" s="204" t="str">
        <f>D104</f>
        <v>SOURCE</v>
      </c>
      <c r="AC104" s="204" t="str">
        <f>F104</f>
        <v>SAMPLE TYPE</v>
      </c>
      <c r="AD104" s="204" t="str">
        <f>H104</f>
        <v>QTY</v>
      </c>
      <c r="AE104" s="204" t="str">
        <f>I104</f>
        <v>CAPACITY</v>
      </c>
      <c r="AF104" s="204"/>
      <c r="AG104" s="218"/>
    </row>
    <row r="105" spans="2:33">
      <c r="B105" s="178" t="str">
        <f t="shared" ref="B105:B138" si="6">IF(AA105="","",INDEX($L$17:$L$26,P105,0))</f>
        <v>Before Discharge</v>
      </c>
      <c r="C105" s="179"/>
      <c r="D105" s="179" t="str">
        <f t="shared" ref="D105:D138" si="7">IF(AB105="","",AB105)</f>
        <v>Shore Tank T0101</v>
      </c>
      <c r="E105" s="179"/>
      <c r="F105" s="179" t="str">
        <f>IF(AC105="","",INDEX($L$27:$L$39,S105,0))</f>
        <v>Tank Composite</v>
      </c>
      <c r="G105" s="179"/>
      <c r="H105" s="180">
        <f>IF(AD105="","",AD105)</f>
        <v>1</v>
      </c>
      <c r="I105" s="180" t="str">
        <f>IF(AE105="","",AE105)</f>
        <v>1 Callon</v>
      </c>
      <c r="J105" s="180" t="str">
        <f t="shared" ref="J105:J138" si="8">IF(AF105="","",INDEX($L$40:$L$45,V105,0))</f>
        <v>For Analysis</v>
      </c>
      <c r="K105" s="180"/>
      <c r="L105" s="188" t="str">
        <f>IF(AG105="","",$X$119&amp;" "&amp;AG105)</f>
        <v>CCIC LN 90075432</v>
      </c>
      <c r="M105" s="189"/>
      <c r="N105" s="190" t="e">
        <f t="shared" ref="N105:N138" si="9">MATCH(AA105,$J$17:$J$26,FALSE)</f>
        <v>#N/A</v>
      </c>
      <c r="O105" s="190">
        <f t="shared" ref="O105:O138" si="10">MATCH(AA105,$K$17:$K$26,FALSE)</f>
        <v>1</v>
      </c>
      <c r="P105" s="190">
        <f>SUMIF(N105:O105,"&lt;9.9E+307")</f>
        <v>1</v>
      </c>
      <c r="Q105" s="190">
        <f>MATCH(AC105,$J$27:$J$39,FALSE)</f>
        <v>1</v>
      </c>
      <c r="R105" s="190" t="e">
        <f>MATCH(AC105,$K$27:$K$39,FALSE)</f>
        <v>#N/A</v>
      </c>
      <c r="S105" s="190">
        <f>SUMIF(Q105:R105,"&lt;9.9E+307")</f>
        <v>1</v>
      </c>
      <c r="T105" s="190">
        <f t="shared" ref="T105:T138" si="11">MATCH(AF105,$J$40:$J$45,FALSE)</f>
        <v>5</v>
      </c>
      <c r="U105" s="190" t="e">
        <f t="shared" ref="U105:U138" si="12">MATCH(AF105,$K$40:$K$45,FALSE)</f>
        <v>#N/A</v>
      </c>
      <c r="V105" s="190">
        <f>SUMIF(T105:U105,"&lt;9.9E+307")</f>
        <v>5</v>
      </c>
      <c r="X105" s="195" t="s">
        <v>1292</v>
      </c>
      <c r="Y105" s="205" t="s">
        <v>1293</v>
      </c>
      <c r="AA105" s="206" t="s">
        <v>651</v>
      </c>
      <c r="AB105" s="207" t="s">
        <v>1345</v>
      </c>
      <c r="AC105" s="208" t="s">
        <v>1290</v>
      </c>
      <c r="AD105" s="209">
        <v>1</v>
      </c>
      <c r="AE105" s="209" t="s">
        <v>1346</v>
      </c>
      <c r="AF105" s="208" t="s">
        <v>1324</v>
      </c>
      <c r="AG105" s="219" t="s">
        <v>1347</v>
      </c>
    </row>
    <row r="106" ht="16.2" customHeight="1" spans="2:33">
      <c r="B106" s="181" t="str">
        <f t="shared" si="6"/>
        <v>During Discharge</v>
      </c>
      <c r="C106" s="182"/>
      <c r="D106" s="183" t="str">
        <f t="shared" si="7"/>
        <v>Shore Tank T0101</v>
      </c>
      <c r="E106" s="184"/>
      <c r="F106" s="182" t="str">
        <f t="shared" ref="F106:F138" si="13">IF(AC106="","",INDEX($L$27:$L$39,S106,0))</f>
        <v>Tank Composite</v>
      </c>
      <c r="G106" s="182"/>
      <c r="H106" s="185">
        <f t="shared" ref="H106:H138" si="14">IF(AD106="","",AD106)</f>
        <v>1</v>
      </c>
      <c r="I106" s="185" t="str">
        <f>IF(AE106="","",AE106)</f>
        <v>1 Callon</v>
      </c>
      <c r="J106" s="185" t="str">
        <f t="shared" si="8"/>
        <v>For CCIC Retention</v>
      </c>
      <c r="K106" s="185"/>
      <c r="L106" s="191" t="str">
        <f t="shared" ref="L106:L138" si="15">IF(AG106="","",$X$119&amp;" "&amp;AG106)</f>
        <v>CCIC LN 12345678</v>
      </c>
      <c r="M106" s="192"/>
      <c r="N106" s="190" t="e">
        <f t="shared" si="9"/>
        <v>#N/A</v>
      </c>
      <c r="O106" s="190">
        <f t="shared" si="10"/>
        <v>2</v>
      </c>
      <c r="P106" s="190">
        <f t="shared" ref="P106:P138" si="16">SUMIF(N106:O106,"&lt;9.9E+307")</f>
        <v>2</v>
      </c>
      <c r="Q106" s="190">
        <f t="shared" ref="Q106:Q138" si="17">MATCH(AC106,$J$27:$J$39,FALSE)</f>
        <v>1</v>
      </c>
      <c r="R106" s="190" t="e">
        <f t="shared" ref="R106:R138" si="18">MATCH(AC106,$K$27:$K$39,FALSE)</f>
        <v>#N/A</v>
      </c>
      <c r="S106" s="190">
        <f t="shared" ref="S106:S138" si="19">SUMIF(Q106:R106,"&lt;9.9E+307")</f>
        <v>1</v>
      </c>
      <c r="T106" s="190">
        <f t="shared" si="11"/>
        <v>6</v>
      </c>
      <c r="U106" s="190" t="e">
        <f t="shared" si="12"/>
        <v>#N/A</v>
      </c>
      <c r="V106" s="190">
        <f t="shared" ref="V106:V138" si="20">SUMIF(T106:U106,"&lt;9.9E+307")</f>
        <v>6</v>
      </c>
      <c r="X106" s="194" t="s">
        <v>1294</v>
      </c>
      <c r="Y106" s="202" t="s">
        <v>1348</v>
      </c>
      <c r="AA106" s="210" t="s">
        <v>1349</v>
      </c>
      <c r="AB106" s="207" t="s">
        <v>1345</v>
      </c>
      <c r="AC106" s="208" t="s">
        <v>1290</v>
      </c>
      <c r="AD106" s="211">
        <v>1</v>
      </c>
      <c r="AE106" s="211" t="s">
        <v>1346</v>
      </c>
      <c r="AF106" s="212" t="s">
        <v>1326</v>
      </c>
      <c r="AG106" s="220" t="s">
        <v>1350</v>
      </c>
    </row>
    <row r="107" spans="2:33">
      <c r="B107" s="181" t="str">
        <f t="shared" si="6"/>
        <v>Before Load</v>
      </c>
      <c r="C107" s="182"/>
      <c r="D107" s="183" t="str">
        <f t="shared" si="7"/>
        <v>Shore Tank T0101</v>
      </c>
      <c r="E107" s="184"/>
      <c r="F107" s="182" t="str">
        <f t="shared" si="13"/>
        <v>Tank Composite</v>
      </c>
      <c r="G107" s="182"/>
      <c r="H107" s="185">
        <f t="shared" si="14"/>
        <v>1</v>
      </c>
      <c r="I107" s="185" t="str">
        <f>IF(AE107="","",AE107)</f>
        <v>1 Callon</v>
      </c>
      <c r="J107" s="185" t="str">
        <f t="shared" si="8"/>
        <v>For Terminal Retention</v>
      </c>
      <c r="K107" s="185"/>
      <c r="L107" s="191" t="str">
        <f t="shared" si="15"/>
        <v>CCIC LN 12345679</v>
      </c>
      <c r="M107" s="192"/>
      <c r="N107" s="190">
        <f t="shared" si="9"/>
        <v>4</v>
      </c>
      <c r="O107" s="190" t="e">
        <f t="shared" si="10"/>
        <v>#N/A</v>
      </c>
      <c r="P107" s="190">
        <f t="shared" si="16"/>
        <v>4</v>
      </c>
      <c r="Q107" s="190">
        <f t="shared" si="17"/>
        <v>1</v>
      </c>
      <c r="R107" s="190" t="e">
        <f t="shared" si="18"/>
        <v>#N/A</v>
      </c>
      <c r="S107" s="190">
        <f t="shared" si="19"/>
        <v>1</v>
      </c>
      <c r="T107" s="190">
        <f t="shared" si="11"/>
        <v>4</v>
      </c>
      <c r="U107" s="190" t="e">
        <f t="shared" si="12"/>
        <v>#N/A</v>
      </c>
      <c r="V107" s="190">
        <f t="shared" si="20"/>
        <v>4</v>
      </c>
      <c r="X107" s="195" t="s">
        <v>1296</v>
      </c>
      <c r="Y107" s="205" t="s">
        <v>1351</v>
      </c>
      <c r="AA107" s="210" t="s">
        <v>1276</v>
      </c>
      <c r="AB107" s="207" t="s">
        <v>1345</v>
      </c>
      <c r="AC107" s="208" t="s">
        <v>1290</v>
      </c>
      <c r="AD107" s="211">
        <v>1</v>
      </c>
      <c r="AE107" s="211" t="s">
        <v>1346</v>
      </c>
      <c r="AF107" s="212" t="s">
        <v>1322</v>
      </c>
      <c r="AG107" s="220" t="s">
        <v>1352</v>
      </c>
    </row>
    <row r="108" spans="2:33">
      <c r="B108" s="181" t="str">
        <f t="shared" si="6"/>
        <v>Before Load</v>
      </c>
      <c r="C108" s="182"/>
      <c r="D108" s="183" t="str">
        <f t="shared" si="7"/>
        <v>Shore Tank T0101</v>
      </c>
      <c r="E108" s="184"/>
      <c r="F108" s="182" t="str">
        <f t="shared" si="13"/>
        <v>Tank Composite</v>
      </c>
      <c r="G108" s="182"/>
      <c r="H108" s="185">
        <f t="shared" si="14"/>
        <v>1</v>
      </c>
      <c r="I108" s="185" t="str">
        <f>IF(AE108="","",AE108)</f>
        <v>1 Callon</v>
      </c>
      <c r="J108" s="185" t="str">
        <f t="shared" si="8"/>
        <v>For Receiver Retention</v>
      </c>
      <c r="K108" s="185"/>
      <c r="L108" s="191" t="str">
        <f t="shared" si="15"/>
        <v>CCIC LN 12345680</v>
      </c>
      <c r="M108" s="192"/>
      <c r="N108" s="190">
        <f t="shared" si="9"/>
        <v>4</v>
      </c>
      <c r="O108" s="190" t="e">
        <f t="shared" si="10"/>
        <v>#N/A</v>
      </c>
      <c r="P108" s="190">
        <f t="shared" si="16"/>
        <v>4</v>
      </c>
      <c r="Q108" s="190">
        <f t="shared" si="17"/>
        <v>1</v>
      </c>
      <c r="R108" s="190" t="e">
        <f t="shared" si="18"/>
        <v>#N/A</v>
      </c>
      <c r="S108" s="190">
        <f t="shared" si="19"/>
        <v>1</v>
      </c>
      <c r="T108" s="190">
        <f t="shared" si="11"/>
        <v>3</v>
      </c>
      <c r="U108" s="190" t="e">
        <f t="shared" si="12"/>
        <v>#N/A</v>
      </c>
      <c r="V108" s="190">
        <f t="shared" si="20"/>
        <v>3</v>
      </c>
      <c r="X108" s="194" t="s">
        <v>1298</v>
      </c>
      <c r="Y108" s="202" t="s">
        <v>1353</v>
      </c>
      <c r="AA108" s="210" t="s">
        <v>1276</v>
      </c>
      <c r="AB108" s="207" t="s">
        <v>1345</v>
      </c>
      <c r="AC108" s="208" t="s">
        <v>1290</v>
      </c>
      <c r="AD108" s="211">
        <v>1</v>
      </c>
      <c r="AE108" s="211" t="s">
        <v>1346</v>
      </c>
      <c r="AF108" s="212" t="s">
        <v>1320</v>
      </c>
      <c r="AG108" s="220" t="s">
        <v>1354</v>
      </c>
    </row>
    <row r="109" spans="2:33">
      <c r="B109" s="181" t="str">
        <f t="shared" si="6"/>
        <v>Before Load</v>
      </c>
      <c r="C109" s="182"/>
      <c r="D109" s="183" t="str">
        <f t="shared" si="7"/>
        <v>Shore Tank T0101</v>
      </c>
      <c r="E109" s="184"/>
      <c r="F109" s="182" t="str">
        <f t="shared" si="13"/>
        <v>Tank Composite</v>
      </c>
      <c r="G109" s="182"/>
      <c r="H109" s="185">
        <f t="shared" si="14"/>
        <v>1</v>
      </c>
      <c r="I109" s="185" t="str">
        <f t="shared" ref="I109:I138" si="21">IF(AE109="","",AE109)</f>
        <v>1 Callon</v>
      </c>
      <c r="J109" s="185" t="str">
        <f t="shared" si="8"/>
        <v>For Vessel Retention</v>
      </c>
      <c r="K109" s="185"/>
      <c r="L109" s="191" t="str">
        <f t="shared" si="15"/>
        <v>CCIC LN 12345681</v>
      </c>
      <c r="M109" s="192"/>
      <c r="N109" s="190">
        <f t="shared" si="9"/>
        <v>4</v>
      </c>
      <c r="O109" s="190" t="e">
        <f t="shared" si="10"/>
        <v>#N/A</v>
      </c>
      <c r="P109" s="190">
        <f t="shared" si="16"/>
        <v>4</v>
      </c>
      <c r="Q109" s="190">
        <f t="shared" si="17"/>
        <v>1</v>
      </c>
      <c r="R109" s="190" t="e">
        <f t="shared" si="18"/>
        <v>#N/A</v>
      </c>
      <c r="S109" s="190">
        <f t="shared" si="19"/>
        <v>1</v>
      </c>
      <c r="T109" s="190">
        <f t="shared" si="11"/>
        <v>2</v>
      </c>
      <c r="U109" s="190" t="e">
        <f t="shared" si="12"/>
        <v>#N/A</v>
      </c>
      <c r="V109" s="190">
        <f t="shared" si="20"/>
        <v>2</v>
      </c>
      <c r="X109" s="195" t="s">
        <v>1300</v>
      </c>
      <c r="Y109" s="205" t="s">
        <v>1301</v>
      </c>
      <c r="AA109" s="210" t="s">
        <v>1276</v>
      </c>
      <c r="AB109" s="207" t="s">
        <v>1345</v>
      </c>
      <c r="AC109" s="208" t="s">
        <v>1290</v>
      </c>
      <c r="AD109" s="211">
        <v>1</v>
      </c>
      <c r="AE109" s="211" t="s">
        <v>1346</v>
      </c>
      <c r="AF109" s="212" t="s">
        <v>1318</v>
      </c>
      <c r="AG109" s="220" t="s">
        <v>1355</v>
      </c>
    </row>
    <row r="110" spans="2:33">
      <c r="B110" s="181" t="str">
        <f t="shared" si="6"/>
        <v>Before Load</v>
      </c>
      <c r="C110" s="182"/>
      <c r="D110" s="183" t="str">
        <f t="shared" si="7"/>
        <v>Shore Tank T0102</v>
      </c>
      <c r="E110" s="184"/>
      <c r="F110" s="182" t="str">
        <f t="shared" si="13"/>
        <v>Tank Composite</v>
      </c>
      <c r="G110" s="182"/>
      <c r="H110" s="185">
        <f t="shared" si="14"/>
        <v>1</v>
      </c>
      <c r="I110" s="185" t="str">
        <f t="shared" si="21"/>
        <v>1 Callon</v>
      </c>
      <c r="J110" s="185" t="str">
        <f t="shared" si="8"/>
        <v>For Analysis</v>
      </c>
      <c r="K110" s="185"/>
      <c r="L110" s="191" t="str">
        <f t="shared" si="15"/>
        <v>CCIC LN 12345682</v>
      </c>
      <c r="M110" s="192"/>
      <c r="N110" s="190">
        <f t="shared" si="9"/>
        <v>4</v>
      </c>
      <c r="O110" s="190" t="e">
        <f t="shared" si="10"/>
        <v>#N/A</v>
      </c>
      <c r="P110" s="190">
        <f t="shared" si="16"/>
        <v>4</v>
      </c>
      <c r="Q110" s="190">
        <f t="shared" si="17"/>
        <v>1</v>
      </c>
      <c r="R110" s="190" t="e">
        <f t="shared" si="18"/>
        <v>#N/A</v>
      </c>
      <c r="S110" s="190">
        <f t="shared" si="19"/>
        <v>1</v>
      </c>
      <c r="T110" s="190">
        <f t="shared" si="11"/>
        <v>5</v>
      </c>
      <c r="U110" s="190" t="e">
        <f t="shared" si="12"/>
        <v>#N/A</v>
      </c>
      <c r="V110" s="190">
        <f t="shared" si="20"/>
        <v>5</v>
      </c>
      <c r="X110" s="194" t="s">
        <v>1302</v>
      </c>
      <c r="Y110" s="202" t="s">
        <v>1356</v>
      </c>
      <c r="AA110" s="210" t="s">
        <v>1276</v>
      </c>
      <c r="AB110" s="207" t="s">
        <v>1357</v>
      </c>
      <c r="AC110" s="208" t="s">
        <v>1290</v>
      </c>
      <c r="AD110" s="211">
        <v>1</v>
      </c>
      <c r="AE110" s="211" t="s">
        <v>1346</v>
      </c>
      <c r="AF110" s="208" t="s">
        <v>1324</v>
      </c>
      <c r="AG110" s="220" t="s">
        <v>1358</v>
      </c>
    </row>
    <row r="111" spans="2:33">
      <c r="B111" s="181" t="str">
        <f t="shared" si="6"/>
        <v>Before Load</v>
      </c>
      <c r="C111" s="182"/>
      <c r="D111" s="183" t="str">
        <f t="shared" si="7"/>
        <v>Shore Tank T0102</v>
      </c>
      <c r="E111" s="184"/>
      <c r="F111" s="182" t="str">
        <f t="shared" si="13"/>
        <v>Tank Composite</v>
      </c>
      <c r="G111" s="182"/>
      <c r="H111" s="185">
        <f t="shared" si="14"/>
        <v>1</v>
      </c>
      <c r="I111" s="185" t="str">
        <f t="shared" si="21"/>
        <v>1 Callon</v>
      </c>
      <c r="J111" s="185" t="str">
        <f t="shared" si="8"/>
        <v>For CCIC Retention</v>
      </c>
      <c r="K111" s="185"/>
      <c r="L111" s="191" t="str">
        <f t="shared" si="15"/>
        <v>CCIC LN 12345683</v>
      </c>
      <c r="M111" s="192"/>
      <c r="N111" s="190">
        <f t="shared" si="9"/>
        <v>4</v>
      </c>
      <c r="O111" s="190" t="e">
        <f t="shared" si="10"/>
        <v>#N/A</v>
      </c>
      <c r="P111" s="190">
        <f t="shared" si="16"/>
        <v>4</v>
      </c>
      <c r="Q111" s="190">
        <f t="shared" si="17"/>
        <v>1</v>
      </c>
      <c r="R111" s="190" t="e">
        <f t="shared" si="18"/>
        <v>#N/A</v>
      </c>
      <c r="S111" s="190">
        <f t="shared" si="19"/>
        <v>1</v>
      </c>
      <c r="T111" s="190">
        <f t="shared" si="11"/>
        <v>6</v>
      </c>
      <c r="U111" s="190" t="e">
        <f t="shared" si="12"/>
        <v>#N/A</v>
      </c>
      <c r="V111" s="190">
        <f t="shared" si="20"/>
        <v>6</v>
      </c>
      <c r="X111" s="195" t="s">
        <v>1304</v>
      </c>
      <c r="Y111" s="205" t="s">
        <v>1305</v>
      </c>
      <c r="AA111" s="210" t="s">
        <v>1276</v>
      </c>
      <c r="AB111" s="207" t="s">
        <v>1357</v>
      </c>
      <c r="AC111" s="208" t="s">
        <v>1290</v>
      </c>
      <c r="AD111" s="211">
        <v>1</v>
      </c>
      <c r="AE111" s="211" t="s">
        <v>1346</v>
      </c>
      <c r="AF111" s="212" t="s">
        <v>1326</v>
      </c>
      <c r="AG111" s="220" t="s">
        <v>1359</v>
      </c>
    </row>
    <row r="112" spans="2:33">
      <c r="B112" s="181" t="str">
        <f t="shared" si="6"/>
        <v>Before Load</v>
      </c>
      <c r="C112" s="182"/>
      <c r="D112" s="183" t="str">
        <f t="shared" si="7"/>
        <v>Shore Tank T0102</v>
      </c>
      <c r="E112" s="184"/>
      <c r="F112" s="182" t="str">
        <f t="shared" si="13"/>
        <v>Tank Composite</v>
      </c>
      <c r="G112" s="182"/>
      <c r="H112" s="185">
        <f t="shared" si="14"/>
        <v>1</v>
      </c>
      <c r="I112" s="185" t="str">
        <f t="shared" si="21"/>
        <v>1 Callon</v>
      </c>
      <c r="J112" s="185" t="str">
        <f t="shared" si="8"/>
        <v>For Terminal Retention</v>
      </c>
      <c r="K112" s="185"/>
      <c r="L112" s="191" t="str">
        <f t="shared" si="15"/>
        <v>CCIC LN 12345684</v>
      </c>
      <c r="M112" s="192"/>
      <c r="N112" s="190">
        <f t="shared" si="9"/>
        <v>4</v>
      </c>
      <c r="O112" s="190" t="e">
        <f t="shared" si="10"/>
        <v>#N/A</v>
      </c>
      <c r="P112" s="190">
        <f t="shared" si="16"/>
        <v>4</v>
      </c>
      <c r="Q112" s="190">
        <f t="shared" si="17"/>
        <v>1</v>
      </c>
      <c r="R112" s="190" t="e">
        <f t="shared" si="18"/>
        <v>#N/A</v>
      </c>
      <c r="S112" s="190">
        <f t="shared" si="19"/>
        <v>1</v>
      </c>
      <c r="T112" s="190">
        <f t="shared" si="11"/>
        <v>4</v>
      </c>
      <c r="U112" s="190" t="e">
        <f t="shared" si="12"/>
        <v>#N/A</v>
      </c>
      <c r="V112" s="190">
        <f t="shared" si="20"/>
        <v>4</v>
      </c>
      <c r="X112" s="194" t="s">
        <v>1306</v>
      </c>
      <c r="Y112" s="202" t="s">
        <v>1360</v>
      </c>
      <c r="AA112" s="210" t="s">
        <v>1276</v>
      </c>
      <c r="AB112" s="207" t="s">
        <v>1357</v>
      </c>
      <c r="AC112" s="208" t="s">
        <v>1290</v>
      </c>
      <c r="AD112" s="211">
        <v>1</v>
      </c>
      <c r="AE112" s="211" t="s">
        <v>1346</v>
      </c>
      <c r="AF112" s="212" t="s">
        <v>1322</v>
      </c>
      <c r="AG112" s="220" t="s">
        <v>1361</v>
      </c>
    </row>
    <row r="113" spans="2:33">
      <c r="B113" s="181" t="str">
        <f t="shared" si="6"/>
        <v>Before Load</v>
      </c>
      <c r="C113" s="182"/>
      <c r="D113" s="183" t="str">
        <f t="shared" si="7"/>
        <v>Shore Tank T0102</v>
      </c>
      <c r="E113" s="184"/>
      <c r="F113" s="182" t="str">
        <f t="shared" si="13"/>
        <v>Tank Composite</v>
      </c>
      <c r="G113" s="182"/>
      <c r="H113" s="185">
        <f t="shared" si="14"/>
        <v>1</v>
      </c>
      <c r="I113" s="185" t="str">
        <f t="shared" si="21"/>
        <v>1 Callon</v>
      </c>
      <c r="J113" s="185" t="str">
        <f t="shared" si="8"/>
        <v>For Receiver Retention</v>
      </c>
      <c r="K113" s="185"/>
      <c r="L113" s="191" t="str">
        <f t="shared" si="15"/>
        <v>CCIC LN 12345685</v>
      </c>
      <c r="M113" s="192"/>
      <c r="N113" s="190">
        <f t="shared" si="9"/>
        <v>4</v>
      </c>
      <c r="O113" s="190" t="e">
        <f t="shared" si="10"/>
        <v>#N/A</v>
      </c>
      <c r="P113" s="190">
        <f t="shared" si="16"/>
        <v>4</v>
      </c>
      <c r="Q113" s="190">
        <f t="shared" si="17"/>
        <v>1</v>
      </c>
      <c r="R113" s="190" t="e">
        <f t="shared" si="18"/>
        <v>#N/A</v>
      </c>
      <c r="S113" s="190">
        <f t="shared" si="19"/>
        <v>1</v>
      </c>
      <c r="T113" s="190">
        <f t="shared" si="11"/>
        <v>3</v>
      </c>
      <c r="U113" s="190" t="e">
        <f t="shared" si="12"/>
        <v>#N/A</v>
      </c>
      <c r="V113" s="190">
        <f t="shared" si="20"/>
        <v>3</v>
      </c>
      <c r="X113" s="195" t="s">
        <v>1308</v>
      </c>
      <c r="Y113" s="205" t="s">
        <v>1362</v>
      </c>
      <c r="AA113" s="210" t="s">
        <v>1276</v>
      </c>
      <c r="AB113" s="207" t="s">
        <v>1357</v>
      </c>
      <c r="AC113" s="208" t="s">
        <v>1290</v>
      </c>
      <c r="AD113" s="211">
        <v>1</v>
      </c>
      <c r="AE113" s="211" t="s">
        <v>1346</v>
      </c>
      <c r="AF113" s="212" t="s">
        <v>1320</v>
      </c>
      <c r="AG113" s="220" t="s">
        <v>1363</v>
      </c>
    </row>
    <row r="114" spans="2:33">
      <c r="B114" s="181" t="str">
        <f t="shared" si="6"/>
        <v>Before Load</v>
      </c>
      <c r="C114" s="182"/>
      <c r="D114" s="183" t="str">
        <f t="shared" si="7"/>
        <v>Shore Tank T0102</v>
      </c>
      <c r="E114" s="184"/>
      <c r="F114" s="182" t="str">
        <f t="shared" si="13"/>
        <v>Tank Composite</v>
      </c>
      <c r="G114" s="182"/>
      <c r="H114" s="185">
        <f t="shared" si="14"/>
        <v>1</v>
      </c>
      <c r="I114" s="185" t="str">
        <f t="shared" si="21"/>
        <v>1 Callon</v>
      </c>
      <c r="J114" s="185" t="str">
        <f t="shared" si="8"/>
        <v>For Vessel Retention</v>
      </c>
      <c r="K114" s="185"/>
      <c r="L114" s="191" t="str">
        <f t="shared" si="15"/>
        <v>CCIC LN 12345686</v>
      </c>
      <c r="M114" s="192"/>
      <c r="N114" s="190">
        <f t="shared" si="9"/>
        <v>4</v>
      </c>
      <c r="O114" s="190" t="e">
        <f t="shared" si="10"/>
        <v>#N/A</v>
      </c>
      <c r="P114" s="190">
        <f t="shared" si="16"/>
        <v>4</v>
      </c>
      <c r="Q114" s="190">
        <f t="shared" si="17"/>
        <v>1</v>
      </c>
      <c r="R114" s="190" t="e">
        <f t="shared" si="18"/>
        <v>#N/A</v>
      </c>
      <c r="S114" s="190">
        <f t="shared" si="19"/>
        <v>1</v>
      </c>
      <c r="T114" s="190">
        <f t="shared" si="11"/>
        <v>2</v>
      </c>
      <c r="U114" s="190" t="e">
        <f t="shared" si="12"/>
        <v>#N/A</v>
      </c>
      <c r="V114" s="190">
        <f t="shared" si="20"/>
        <v>2</v>
      </c>
      <c r="X114" s="194" t="s">
        <v>1310</v>
      </c>
      <c r="Y114" s="202" t="s">
        <v>1364</v>
      </c>
      <c r="AA114" s="210" t="s">
        <v>1276</v>
      </c>
      <c r="AB114" s="207" t="s">
        <v>1357</v>
      </c>
      <c r="AC114" s="208" t="s">
        <v>1290</v>
      </c>
      <c r="AD114" s="211">
        <v>1</v>
      </c>
      <c r="AE114" s="211" t="s">
        <v>1346</v>
      </c>
      <c r="AF114" s="212" t="s">
        <v>1318</v>
      </c>
      <c r="AG114" s="220" t="s">
        <v>1365</v>
      </c>
    </row>
    <row r="115" spans="2:33">
      <c r="B115" s="181" t="str">
        <f t="shared" si="6"/>
        <v>Before Load</v>
      </c>
      <c r="C115" s="182"/>
      <c r="D115" s="183" t="str">
        <f t="shared" si="7"/>
        <v>Shore Tank T0105</v>
      </c>
      <c r="E115" s="184"/>
      <c r="F115" s="182" t="str">
        <f t="shared" si="13"/>
        <v>Tank Composite</v>
      </c>
      <c r="G115" s="182"/>
      <c r="H115" s="185">
        <f t="shared" si="14"/>
        <v>1</v>
      </c>
      <c r="I115" s="185" t="str">
        <f t="shared" si="21"/>
        <v>1 Callon</v>
      </c>
      <c r="J115" s="185" t="str">
        <f t="shared" si="8"/>
        <v>For Analysis</v>
      </c>
      <c r="K115" s="185"/>
      <c r="L115" s="191" t="str">
        <f t="shared" si="15"/>
        <v>CCIC LN 12345687</v>
      </c>
      <c r="M115" s="192"/>
      <c r="N115" s="190">
        <f t="shared" si="9"/>
        <v>4</v>
      </c>
      <c r="O115" s="190" t="e">
        <f t="shared" si="10"/>
        <v>#N/A</v>
      </c>
      <c r="P115" s="190">
        <f t="shared" si="16"/>
        <v>4</v>
      </c>
      <c r="Q115" s="190">
        <f t="shared" si="17"/>
        <v>1</v>
      </c>
      <c r="R115" s="190" t="e">
        <f t="shared" si="18"/>
        <v>#N/A</v>
      </c>
      <c r="S115" s="190">
        <f t="shared" si="19"/>
        <v>1</v>
      </c>
      <c r="T115" s="190">
        <f t="shared" si="11"/>
        <v>5</v>
      </c>
      <c r="U115" s="190" t="e">
        <f t="shared" si="12"/>
        <v>#N/A</v>
      </c>
      <c r="V115" s="190">
        <f t="shared" si="20"/>
        <v>5</v>
      </c>
      <c r="X115" s="196" t="s">
        <v>1312</v>
      </c>
      <c r="Y115" s="213" t="s">
        <v>1366</v>
      </c>
      <c r="AA115" s="210" t="s">
        <v>1276</v>
      </c>
      <c r="AB115" s="207" t="s">
        <v>1367</v>
      </c>
      <c r="AC115" s="208" t="s">
        <v>1290</v>
      </c>
      <c r="AD115" s="211">
        <v>1</v>
      </c>
      <c r="AE115" s="211" t="s">
        <v>1346</v>
      </c>
      <c r="AF115" s="208" t="s">
        <v>1324</v>
      </c>
      <c r="AG115" s="220" t="s">
        <v>1368</v>
      </c>
    </row>
    <row r="116" spans="2:33">
      <c r="B116" s="181" t="str">
        <f t="shared" si="6"/>
        <v>Before Load</v>
      </c>
      <c r="C116" s="182"/>
      <c r="D116" s="183" t="str">
        <f t="shared" si="7"/>
        <v>Shore Tank T0105</v>
      </c>
      <c r="E116" s="184"/>
      <c r="F116" s="182" t="str">
        <f t="shared" si="13"/>
        <v>Tank Composite</v>
      </c>
      <c r="G116" s="182"/>
      <c r="H116" s="185">
        <f t="shared" ref="H116:H122" si="22">IF(AD116="","",AD116)</f>
        <v>1</v>
      </c>
      <c r="I116" s="185" t="str">
        <f t="shared" ref="I116:I122" si="23">IF(AE116="","",AE116)</f>
        <v>1 Callon</v>
      </c>
      <c r="J116" s="185" t="str">
        <f t="shared" si="8"/>
        <v>For CCIC Retention</v>
      </c>
      <c r="K116" s="185"/>
      <c r="L116" s="191" t="str">
        <f t="shared" si="15"/>
        <v>CCIC LN 12345688</v>
      </c>
      <c r="M116" s="192"/>
      <c r="N116" s="190">
        <f t="shared" si="9"/>
        <v>4</v>
      </c>
      <c r="O116" s="190" t="e">
        <f t="shared" si="10"/>
        <v>#N/A</v>
      </c>
      <c r="P116" s="190">
        <f t="shared" ref="P116:P122" si="24">SUMIF(N116:O116,"&lt;9.9E+307")</f>
        <v>4</v>
      </c>
      <c r="Q116" s="190">
        <f t="shared" si="17"/>
        <v>1</v>
      </c>
      <c r="R116" s="190" t="e">
        <f t="shared" si="18"/>
        <v>#N/A</v>
      </c>
      <c r="S116" s="190">
        <f t="shared" ref="S116:S122" si="25">SUMIF(Q116:R116,"&lt;9.9E+307")</f>
        <v>1</v>
      </c>
      <c r="T116" s="190">
        <f t="shared" si="11"/>
        <v>6</v>
      </c>
      <c r="U116" s="190" t="e">
        <f t="shared" si="12"/>
        <v>#N/A</v>
      </c>
      <c r="V116" s="190">
        <f t="shared" ref="V116:V122" si="26">SUMIF(T116:U116,"&lt;9.9E+307")</f>
        <v>6</v>
      </c>
      <c r="X116" s="194" t="str">
        <f>J39</f>
        <v>1st Foot</v>
      </c>
      <c r="Y116" s="202" t="str">
        <f>K39</f>
        <v>一英尺样</v>
      </c>
      <c r="AA116" s="210" t="s">
        <v>1276</v>
      </c>
      <c r="AB116" s="207" t="s">
        <v>1367</v>
      </c>
      <c r="AC116" s="208" t="s">
        <v>1290</v>
      </c>
      <c r="AD116" s="211">
        <v>1</v>
      </c>
      <c r="AE116" s="211" t="s">
        <v>1346</v>
      </c>
      <c r="AF116" s="212" t="s">
        <v>1326</v>
      </c>
      <c r="AG116" s="220" t="s">
        <v>1369</v>
      </c>
    </row>
    <row r="117" spans="2:33">
      <c r="B117" s="181" t="str">
        <f t="shared" si="6"/>
        <v>Before Load</v>
      </c>
      <c r="C117" s="182"/>
      <c r="D117" s="183" t="str">
        <f t="shared" si="7"/>
        <v>Shore Tank T0105</v>
      </c>
      <c r="E117" s="184"/>
      <c r="F117" s="182" t="str">
        <f t="shared" si="13"/>
        <v>Tank Composite</v>
      </c>
      <c r="G117" s="182"/>
      <c r="H117" s="185">
        <f t="shared" si="22"/>
        <v>1</v>
      </c>
      <c r="I117" s="185" t="str">
        <f t="shared" si="23"/>
        <v>1 Callon</v>
      </c>
      <c r="J117" s="185" t="str">
        <f t="shared" si="8"/>
        <v>For Terminal Retention</v>
      </c>
      <c r="K117" s="185"/>
      <c r="L117" s="191" t="str">
        <f t="shared" si="15"/>
        <v>CCIC LN 12345689</v>
      </c>
      <c r="M117" s="192"/>
      <c r="N117" s="190">
        <f t="shared" si="9"/>
        <v>4</v>
      </c>
      <c r="O117" s="190" t="e">
        <f t="shared" si="10"/>
        <v>#N/A</v>
      </c>
      <c r="P117" s="190">
        <f t="shared" si="24"/>
        <v>4</v>
      </c>
      <c r="Q117" s="190">
        <f t="shared" si="17"/>
        <v>1</v>
      </c>
      <c r="R117" s="190" t="e">
        <f t="shared" si="18"/>
        <v>#N/A</v>
      </c>
      <c r="S117" s="190">
        <f t="shared" si="25"/>
        <v>1</v>
      </c>
      <c r="T117" s="190">
        <f t="shared" si="11"/>
        <v>4</v>
      </c>
      <c r="U117" s="190" t="e">
        <f t="shared" si="12"/>
        <v>#N/A</v>
      </c>
      <c r="V117" s="190">
        <f t="shared" si="26"/>
        <v>4</v>
      </c>
      <c r="AA117" s="210" t="s">
        <v>1276</v>
      </c>
      <c r="AB117" s="207" t="s">
        <v>1367</v>
      </c>
      <c r="AC117" s="208" t="s">
        <v>1290</v>
      </c>
      <c r="AD117" s="211">
        <v>1</v>
      </c>
      <c r="AE117" s="211" t="s">
        <v>1346</v>
      </c>
      <c r="AF117" s="212" t="s">
        <v>1322</v>
      </c>
      <c r="AG117" s="220" t="s">
        <v>1370</v>
      </c>
    </row>
    <row r="118" spans="2:33">
      <c r="B118" s="181" t="str">
        <f t="shared" si="6"/>
        <v>Before Load</v>
      </c>
      <c r="C118" s="182"/>
      <c r="D118" s="183" t="str">
        <f t="shared" si="7"/>
        <v>Shore Tank T0105</v>
      </c>
      <c r="E118" s="184"/>
      <c r="F118" s="182" t="str">
        <f t="shared" si="13"/>
        <v>Tank Composite</v>
      </c>
      <c r="G118" s="182"/>
      <c r="H118" s="185">
        <f t="shared" si="22"/>
        <v>1</v>
      </c>
      <c r="I118" s="185" t="str">
        <f t="shared" si="23"/>
        <v>1 Callon</v>
      </c>
      <c r="J118" s="185" t="str">
        <f t="shared" si="8"/>
        <v>For Receiver Retention</v>
      </c>
      <c r="K118" s="185"/>
      <c r="L118" s="191" t="str">
        <f t="shared" si="15"/>
        <v>CCIC LN 12345690</v>
      </c>
      <c r="M118" s="192"/>
      <c r="N118" s="190">
        <f t="shared" si="9"/>
        <v>4</v>
      </c>
      <c r="O118" s="190" t="e">
        <f t="shared" si="10"/>
        <v>#N/A</v>
      </c>
      <c r="P118" s="190">
        <f t="shared" si="24"/>
        <v>4</v>
      </c>
      <c r="Q118" s="190">
        <f t="shared" si="17"/>
        <v>1</v>
      </c>
      <c r="R118" s="190" t="e">
        <f t="shared" si="18"/>
        <v>#N/A</v>
      </c>
      <c r="S118" s="190">
        <f t="shared" si="25"/>
        <v>1</v>
      </c>
      <c r="T118" s="190">
        <f t="shared" si="11"/>
        <v>3</v>
      </c>
      <c r="U118" s="190" t="e">
        <f t="shared" si="12"/>
        <v>#N/A</v>
      </c>
      <c r="V118" s="190">
        <f t="shared" si="26"/>
        <v>3</v>
      </c>
      <c r="X118" s="193" t="s">
        <v>1371</v>
      </c>
      <c r="Y118" s="214"/>
      <c r="AA118" s="210" t="s">
        <v>1276</v>
      </c>
      <c r="AB118" s="207" t="s">
        <v>1367</v>
      </c>
      <c r="AC118" s="208" t="s">
        <v>1290</v>
      </c>
      <c r="AD118" s="211">
        <v>1</v>
      </c>
      <c r="AE118" s="211" t="s">
        <v>1346</v>
      </c>
      <c r="AF118" s="212" t="s">
        <v>1320</v>
      </c>
      <c r="AG118" s="220" t="s">
        <v>1372</v>
      </c>
    </row>
    <row r="119" spans="2:33">
      <c r="B119" s="181" t="str">
        <f t="shared" si="6"/>
        <v>Before Load</v>
      </c>
      <c r="C119" s="182"/>
      <c r="D119" s="183" t="str">
        <f t="shared" si="7"/>
        <v>Shore Tank T0105</v>
      </c>
      <c r="E119" s="184"/>
      <c r="F119" s="182" t="str">
        <f t="shared" si="13"/>
        <v>Tank Composite</v>
      </c>
      <c r="G119" s="182"/>
      <c r="H119" s="185">
        <f t="shared" si="22"/>
        <v>1</v>
      </c>
      <c r="I119" s="185" t="str">
        <f t="shared" si="23"/>
        <v>1 Callon</v>
      </c>
      <c r="J119" s="185" t="str">
        <f t="shared" si="8"/>
        <v>For Vessel Retention</v>
      </c>
      <c r="K119" s="185"/>
      <c r="L119" s="191" t="str">
        <f t="shared" si="15"/>
        <v>CCIC LN 12345691</v>
      </c>
      <c r="M119" s="192"/>
      <c r="N119" s="190">
        <f t="shared" si="9"/>
        <v>4</v>
      </c>
      <c r="O119" s="190" t="e">
        <f t="shared" si="10"/>
        <v>#N/A</v>
      </c>
      <c r="P119" s="190">
        <f t="shared" si="24"/>
        <v>4</v>
      </c>
      <c r="Q119" s="190">
        <f t="shared" si="17"/>
        <v>1</v>
      </c>
      <c r="R119" s="190" t="e">
        <f t="shared" si="18"/>
        <v>#N/A</v>
      </c>
      <c r="S119" s="190">
        <f t="shared" si="25"/>
        <v>1</v>
      </c>
      <c r="T119" s="190">
        <f t="shared" si="11"/>
        <v>2</v>
      </c>
      <c r="U119" s="190" t="e">
        <f t="shared" si="12"/>
        <v>#N/A</v>
      </c>
      <c r="V119" s="190">
        <f t="shared" si="26"/>
        <v>2</v>
      </c>
      <c r="X119" s="197" t="s">
        <v>1373</v>
      </c>
      <c r="AA119" s="210" t="s">
        <v>1276</v>
      </c>
      <c r="AB119" s="207" t="s">
        <v>1367</v>
      </c>
      <c r="AC119" s="208" t="s">
        <v>1290</v>
      </c>
      <c r="AD119" s="211">
        <v>1</v>
      </c>
      <c r="AE119" s="211" t="s">
        <v>1346</v>
      </c>
      <c r="AF119" s="212" t="s">
        <v>1318</v>
      </c>
      <c r="AG119" s="220" t="s">
        <v>1374</v>
      </c>
    </row>
    <row r="120" spans="2:33">
      <c r="B120" s="181" t="str">
        <f t="shared" si="6"/>
        <v>Before Load</v>
      </c>
      <c r="C120" s="182"/>
      <c r="D120" s="183" t="str">
        <f t="shared" si="7"/>
        <v>All Nominated Shore Tanks</v>
      </c>
      <c r="E120" s="184"/>
      <c r="F120" s="182" t="str">
        <f t="shared" si="13"/>
        <v>Multiple Tank Composite</v>
      </c>
      <c r="G120" s="182"/>
      <c r="H120" s="185">
        <f t="shared" si="22"/>
        <v>1</v>
      </c>
      <c r="I120" s="185" t="str">
        <f t="shared" si="23"/>
        <v>1 Callon</v>
      </c>
      <c r="J120" s="185" t="str">
        <f t="shared" si="8"/>
        <v>For Analysis</v>
      </c>
      <c r="K120" s="185"/>
      <c r="L120" s="191" t="str">
        <f t="shared" si="15"/>
        <v>CCIC LN 12345692</v>
      </c>
      <c r="M120" s="192"/>
      <c r="N120" s="190">
        <f t="shared" si="9"/>
        <v>4</v>
      </c>
      <c r="O120" s="190" t="e">
        <f t="shared" si="10"/>
        <v>#N/A</v>
      </c>
      <c r="P120" s="190">
        <f t="shared" si="24"/>
        <v>4</v>
      </c>
      <c r="Q120" s="190">
        <f t="shared" si="17"/>
        <v>2</v>
      </c>
      <c r="R120" s="190" t="e">
        <f t="shared" si="18"/>
        <v>#N/A</v>
      </c>
      <c r="S120" s="190">
        <f t="shared" si="25"/>
        <v>2</v>
      </c>
      <c r="T120" s="190">
        <f t="shared" si="11"/>
        <v>5</v>
      </c>
      <c r="U120" s="190" t="e">
        <f t="shared" si="12"/>
        <v>#N/A</v>
      </c>
      <c r="V120" s="190">
        <f t="shared" si="26"/>
        <v>5</v>
      </c>
      <c r="AA120" s="210" t="s">
        <v>1276</v>
      </c>
      <c r="AB120" s="215" t="s">
        <v>1375</v>
      </c>
      <c r="AC120" s="212" t="s">
        <v>1292</v>
      </c>
      <c r="AD120" s="211">
        <v>1</v>
      </c>
      <c r="AE120" s="211" t="s">
        <v>1346</v>
      </c>
      <c r="AF120" s="208" t="s">
        <v>1324</v>
      </c>
      <c r="AG120" s="220" t="s">
        <v>1376</v>
      </c>
    </row>
    <row r="121" spans="2:33">
      <c r="B121" s="181" t="str">
        <f t="shared" si="6"/>
        <v>Before Load</v>
      </c>
      <c r="C121" s="182"/>
      <c r="D121" s="183" t="str">
        <f t="shared" si="7"/>
        <v>All Nominated Shore Tanks</v>
      </c>
      <c r="E121" s="184"/>
      <c r="F121" s="182" t="str">
        <f t="shared" si="13"/>
        <v>Multiple Tank Composite</v>
      </c>
      <c r="G121" s="182"/>
      <c r="H121" s="185">
        <f t="shared" si="22"/>
        <v>1</v>
      </c>
      <c r="I121" s="185" t="str">
        <f t="shared" si="23"/>
        <v>1 Callon</v>
      </c>
      <c r="J121" s="185" t="str">
        <f t="shared" si="8"/>
        <v>For CCIC Retention</v>
      </c>
      <c r="K121" s="185"/>
      <c r="L121" s="191" t="str">
        <f t="shared" si="15"/>
        <v>CCIC LN 12345693</v>
      </c>
      <c r="M121" s="192"/>
      <c r="N121" s="190">
        <f t="shared" si="9"/>
        <v>4</v>
      </c>
      <c r="O121" s="190" t="e">
        <f t="shared" si="10"/>
        <v>#N/A</v>
      </c>
      <c r="P121" s="190">
        <f t="shared" si="24"/>
        <v>4</v>
      </c>
      <c r="Q121" s="190">
        <f t="shared" si="17"/>
        <v>2</v>
      </c>
      <c r="R121" s="190" t="e">
        <f t="shared" si="18"/>
        <v>#N/A</v>
      </c>
      <c r="S121" s="190">
        <f t="shared" si="25"/>
        <v>2</v>
      </c>
      <c r="T121" s="190">
        <f t="shared" si="11"/>
        <v>6</v>
      </c>
      <c r="U121" s="190" t="e">
        <f t="shared" si="12"/>
        <v>#N/A</v>
      </c>
      <c r="V121" s="190">
        <f t="shared" si="26"/>
        <v>6</v>
      </c>
      <c r="AA121" s="210" t="s">
        <v>1276</v>
      </c>
      <c r="AB121" s="215" t="s">
        <v>1375</v>
      </c>
      <c r="AC121" s="212" t="s">
        <v>1292</v>
      </c>
      <c r="AD121" s="211">
        <v>1</v>
      </c>
      <c r="AE121" s="211" t="s">
        <v>1346</v>
      </c>
      <c r="AF121" s="212" t="s">
        <v>1326</v>
      </c>
      <c r="AG121" s="220" t="s">
        <v>1377</v>
      </c>
    </row>
    <row r="122" spans="2:33">
      <c r="B122" s="181" t="str">
        <f t="shared" si="6"/>
        <v>Before Load</v>
      </c>
      <c r="C122" s="182"/>
      <c r="D122" s="183" t="str">
        <f t="shared" si="7"/>
        <v>All Nominated Shore Tanks</v>
      </c>
      <c r="E122" s="184"/>
      <c r="F122" s="182" t="str">
        <f t="shared" si="13"/>
        <v>Multiple Tank Composite</v>
      </c>
      <c r="G122" s="182"/>
      <c r="H122" s="185">
        <f t="shared" si="22"/>
        <v>1</v>
      </c>
      <c r="I122" s="185" t="str">
        <f t="shared" si="23"/>
        <v>1 Callon</v>
      </c>
      <c r="J122" s="185" t="str">
        <f t="shared" si="8"/>
        <v>For Terminal Retention</v>
      </c>
      <c r="K122" s="185"/>
      <c r="L122" s="191" t="str">
        <f t="shared" si="15"/>
        <v>CCIC LN 12345694</v>
      </c>
      <c r="M122" s="192"/>
      <c r="N122" s="190">
        <f t="shared" si="9"/>
        <v>4</v>
      </c>
      <c r="O122" s="190" t="e">
        <f t="shared" si="10"/>
        <v>#N/A</v>
      </c>
      <c r="P122" s="190">
        <f t="shared" si="24"/>
        <v>4</v>
      </c>
      <c r="Q122" s="190">
        <f t="shared" si="17"/>
        <v>2</v>
      </c>
      <c r="R122" s="190" t="e">
        <f t="shared" si="18"/>
        <v>#N/A</v>
      </c>
      <c r="S122" s="190">
        <f t="shared" si="25"/>
        <v>2</v>
      </c>
      <c r="T122" s="190">
        <f t="shared" si="11"/>
        <v>4</v>
      </c>
      <c r="U122" s="190" t="e">
        <f t="shared" si="12"/>
        <v>#N/A</v>
      </c>
      <c r="V122" s="190">
        <f t="shared" si="26"/>
        <v>4</v>
      </c>
      <c r="AA122" s="210" t="s">
        <v>1276</v>
      </c>
      <c r="AB122" s="215" t="s">
        <v>1375</v>
      </c>
      <c r="AC122" s="212" t="s">
        <v>1292</v>
      </c>
      <c r="AD122" s="211">
        <v>1</v>
      </c>
      <c r="AE122" s="211" t="s">
        <v>1346</v>
      </c>
      <c r="AF122" s="212" t="s">
        <v>1322</v>
      </c>
      <c r="AG122" s="220" t="s">
        <v>1378</v>
      </c>
    </row>
    <row r="123" spans="2:33">
      <c r="B123" s="181" t="str">
        <f t="shared" si="6"/>
        <v>Before Load</v>
      </c>
      <c r="C123" s="182"/>
      <c r="D123" s="183" t="str">
        <f t="shared" si="7"/>
        <v>All Nominated Shore Tanks</v>
      </c>
      <c r="E123" s="184"/>
      <c r="F123" s="182" t="str">
        <f t="shared" si="13"/>
        <v>Multiple Tank Composite</v>
      </c>
      <c r="G123" s="182"/>
      <c r="H123" s="185">
        <f t="shared" ref="H123:H129" si="27">IF(AD123="","",AD123)</f>
        <v>1</v>
      </c>
      <c r="I123" s="185" t="str">
        <f t="shared" ref="I123:I129" si="28">IF(AE123="","",AE123)</f>
        <v>1 Callon</v>
      </c>
      <c r="J123" s="185" t="str">
        <f t="shared" si="8"/>
        <v>For Receiver Retention</v>
      </c>
      <c r="K123" s="185"/>
      <c r="L123" s="191" t="str">
        <f t="shared" si="15"/>
        <v>CCIC LN 12345695</v>
      </c>
      <c r="M123" s="192"/>
      <c r="N123" s="190">
        <f t="shared" si="9"/>
        <v>4</v>
      </c>
      <c r="O123" s="190" t="e">
        <f t="shared" si="10"/>
        <v>#N/A</v>
      </c>
      <c r="P123" s="190">
        <f t="shared" ref="P123:P129" si="29">SUMIF(N123:O123,"&lt;9.9E+307")</f>
        <v>4</v>
      </c>
      <c r="Q123" s="190">
        <f t="shared" si="17"/>
        <v>2</v>
      </c>
      <c r="R123" s="190" t="e">
        <f t="shared" si="18"/>
        <v>#N/A</v>
      </c>
      <c r="S123" s="190">
        <f t="shared" ref="S123:S129" si="30">SUMIF(Q123:R123,"&lt;9.9E+307")</f>
        <v>2</v>
      </c>
      <c r="T123" s="190">
        <f t="shared" si="11"/>
        <v>3</v>
      </c>
      <c r="U123" s="190" t="e">
        <f t="shared" si="12"/>
        <v>#N/A</v>
      </c>
      <c r="V123" s="190">
        <f t="shared" ref="V123:V129" si="31">SUMIF(T123:U123,"&lt;9.9E+307")</f>
        <v>3</v>
      </c>
      <c r="AA123" s="210" t="s">
        <v>1276</v>
      </c>
      <c r="AB123" s="215" t="s">
        <v>1375</v>
      </c>
      <c r="AC123" s="212" t="s">
        <v>1292</v>
      </c>
      <c r="AD123" s="211">
        <v>1</v>
      </c>
      <c r="AE123" s="211" t="s">
        <v>1346</v>
      </c>
      <c r="AF123" s="212" t="s">
        <v>1320</v>
      </c>
      <c r="AG123" s="220" t="s">
        <v>1379</v>
      </c>
    </row>
    <row r="124" spans="2:33">
      <c r="B124" s="181" t="str">
        <f t="shared" si="6"/>
        <v>Before Load</v>
      </c>
      <c r="C124" s="182"/>
      <c r="D124" s="183" t="str">
        <f t="shared" si="7"/>
        <v>All Nominated Shore Tanks</v>
      </c>
      <c r="E124" s="184"/>
      <c r="F124" s="182" t="str">
        <f t="shared" si="13"/>
        <v>Multiple Tank Composite</v>
      </c>
      <c r="G124" s="182"/>
      <c r="H124" s="185">
        <f t="shared" si="27"/>
        <v>1</v>
      </c>
      <c r="I124" s="185" t="str">
        <f t="shared" si="28"/>
        <v>1 Callon</v>
      </c>
      <c r="J124" s="185" t="str">
        <f t="shared" si="8"/>
        <v>For Vessel Retention</v>
      </c>
      <c r="K124" s="185"/>
      <c r="L124" s="191" t="str">
        <f t="shared" si="15"/>
        <v>CCIC LN 12345696</v>
      </c>
      <c r="M124" s="192"/>
      <c r="N124" s="190">
        <f t="shared" si="9"/>
        <v>4</v>
      </c>
      <c r="O124" s="190" t="e">
        <f t="shared" si="10"/>
        <v>#N/A</v>
      </c>
      <c r="P124" s="190">
        <f t="shared" si="29"/>
        <v>4</v>
      </c>
      <c r="Q124" s="190">
        <f t="shared" si="17"/>
        <v>2</v>
      </c>
      <c r="R124" s="190" t="e">
        <f t="shared" si="18"/>
        <v>#N/A</v>
      </c>
      <c r="S124" s="190">
        <f t="shared" si="30"/>
        <v>2</v>
      </c>
      <c r="T124" s="190">
        <f t="shared" si="11"/>
        <v>2</v>
      </c>
      <c r="U124" s="190" t="e">
        <f t="shared" si="12"/>
        <v>#N/A</v>
      </c>
      <c r="V124" s="190">
        <f t="shared" si="31"/>
        <v>2</v>
      </c>
      <c r="AA124" s="210" t="s">
        <v>1276</v>
      </c>
      <c r="AB124" s="215" t="s">
        <v>1375</v>
      </c>
      <c r="AC124" s="212" t="s">
        <v>1292</v>
      </c>
      <c r="AD124" s="211">
        <v>1</v>
      </c>
      <c r="AE124" s="211" t="s">
        <v>1346</v>
      </c>
      <c r="AF124" s="212" t="s">
        <v>1318</v>
      </c>
      <c r="AG124" s="220" t="s">
        <v>1380</v>
      </c>
    </row>
    <row r="125" spans="2:33">
      <c r="B125" s="181" t="str">
        <f t="shared" si="6"/>
        <v>Before Load</v>
      </c>
      <c r="C125" s="182"/>
      <c r="D125" s="183" t="str">
        <f t="shared" si="7"/>
        <v>Vessel Manifold</v>
      </c>
      <c r="E125" s="184"/>
      <c r="F125" s="182" t="str">
        <f t="shared" si="13"/>
        <v>Spot</v>
      </c>
      <c r="G125" s="182"/>
      <c r="H125" s="185">
        <f t="shared" si="27"/>
        <v>1</v>
      </c>
      <c r="I125" s="185" t="str">
        <f t="shared" si="28"/>
        <v>1 Callon</v>
      </c>
      <c r="J125" s="185" t="str">
        <f t="shared" si="8"/>
        <v>For Analysis</v>
      </c>
      <c r="K125" s="185"/>
      <c r="L125" s="191" t="str">
        <f t="shared" si="15"/>
        <v>CCIC LN 12345697</v>
      </c>
      <c r="M125" s="192"/>
      <c r="N125" s="190">
        <f t="shared" si="9"/>
        <v>4</v>
      </c>
      <c r="O125" s="190" t="e">
        <f t="shared" si="10"/>
        <v>#N/A</v>
      </c>
      <c r="P125" s="190">
        <f t="shared" si="29"/>
        <v>4</v>
      </c>
      <c r="Q125" s="190">
        <f t="shared" si="17"/>
        <v>8</v>
      </c>
      <c r="R125" s="190" t="e">
        <f t="shared" si="18"/>
        <v>#N/A</v>
      </c>
      <c r="S125" s="190">
        <f t="shared" si="30"/>
        <v>8</v>
      </c>
      <c r="T125" s="190">
        <f t="shared" si="11"/>
        <v>5</v>
      </c>
      <c r="U125" s="190" t="e">
        <f t="shared" si="12"/>
        <v>#N/A</v>
      </c>
      <c r="V125" s="190">
        <f t="shared" si="31"/>
        <v>5</v>
      </c>
      <c r="AA125" s="210" t="s">
        <v>1276</v>
      </c>
      <c r="AB125" s="215" t="s">
        <v>1381</v>
      </c>
      <c r="AC125" s="212" t="s">
        <v>1304</v>
      </c>
      <c r="AD125" s="211">
        <v>1</v>
      </c>
      <c r="AE125" s="211" t="s">
        <v>1346</v>
      </c>
      <c r="AF125" s="208" t="s">
        <v>1324</v>
      </c>
      <c r="AG125" s="220" t="s">
        <v>1382</v>
      </c>
    </row>
    <row r="126" spans="2:33">
      <c r="B126" s="181" t="str">
        <f t="shared" si="6"/>
        <v>Before Load</v>
      </c>
      <c r="C126" s="182"/>
      <c r="D126" s="183" t="str">
        <f t="shared" si="7"/>
        <v>Vessel Manifold</v>
      </c>
      <c r="E126" s="184"/>
      <c r="F126" s="182" t="str">
        <f t="shared" si="13"/>
        <v>Spot</v>
      </c>
      <c r="G126" s="182"/>
      <c r="H126" s="185">
        <f t="shared" si="27"/>
        <v>1</v>
      </c>
      <c r="I126" s="185" t="str">
        <f t="shared" si="28"/>
        <v>1 Callon</v>
      </c>
      <c r="J126" s="185" t="str">
        <f t="shared" si="8"/>
        <v>For CCIC Retention</v>
      </c>
      <c r="K126" s="185"/>
      <c r="L126" s="191" t="str">
        <f t="shared" si="15"/>
        <v>CCIC LN 12345698</v>
      </c>
      <c r="M126" s="192"/>
      <c r="N126" s="190">
        <f t="shared" si="9"/>
        <v>4</v>
      </c>
      <c r="O126" s="190" t="e">
        <f t="shared" si="10"/>
        <v>#N/A</v>
      </c>
      <c r="P126" s="190">
        <f t="shared" si="29"/>
        <v>4</v>
      </c>
      <c r="Q126" s="190">
        <f t="shared" si="17"/>
        <v>8</v>
      </c>
      <c r="R126" s="190" t="e">
        <f t="shared" si="18"/>
        <v>#N/A</v>
      </c>
      <c r="S126" s="190">
        <f t="shared" si="30"/>
        <v>8</v>
      </c>
      <c r="T126" s="190">
        <f t="shared" si="11"/>
        <v>6</v>
      </c>
      <c r="U126" s="190" t="e">
        <f t="shared" si="12"/>
        <v>#N/A</v>
      </c>
      <c r="V126" s="190">
        <f t="shared" si="31"/>
        <v>6</v>
      </c>
      <c r="AA126" s="210" t="s">
        <v>1276</v>
      </c>
      <c r="AB126" s="215" t="s">
        <v>1381</v>
      </c>
      <c r="AC126" s="212" t="s">
        <v>1304</v>
      </c>
      <c r="AD126" s="211">
        <v>1</v>
      </c>
      <c r="AE126" s="211" t="s">
        <v>1346</v>
      </c>
      <c r="AF126" s="212" t="s">
        <v>1326</v>
      </c>
      <c r="AG126" s="220" t="s">
        <v>1383</v>
      </c>
    </row>
    <row r="127" spans="2:33">
      <c r="B127" s="181" t="str">
        <f t="shared" si="6"/>
        <v>Before Load</v>
      </c>
      <c r="C127" s="182"/>
      <c r="D127" s="183" t="str">
        <f t="shared" si="7"/>
        <v>Vessel Manifold</v>
      </c>
      <c r="E127" s="184"/>
      <c r="F127" s="182" t="str">
        <f t="shared" si="13"/>
        <v>Spot</v>
      </c>
      <c r="G127" s="182"/>
      <c r="H127" s="185">
        <f t="shared" si="27"/>
        <v>1</v>
      </c>
      <c r="I127" s="185" t="str">
        <f t="shared" si="28"/>
        <v>1 Callon</v>
      </c>
      <c r="J127" s="185" t="str">
        <f t="shared" si="8"/>
        <v>For Terminal Retention</v>
      </c>
      <c r="K127" s="185"/>
      <c r="L127" s="191" t="str">
        <f t="shared" si="15"/>
        <v>CCIC LN 12345699</v>
      </c>
      <c r="M127" s="192"/>
      <c r="N127" s="190">
        <f t="shared" si="9"/>
        <v>4</v>
      </c>
      <c r="O127" s="190" t="e">
        <f t="shared" si="10"/>
        <v>#N/A</v>
      </c>
      <c r="P127" s="190">
        <f t="shared" si="29"/>
        <v>4</v>
      </c>
      <c r="Q127" s="190">
        <f t="shared" si="17"/>
        <v>8</v>
      </c>
      <c r="R127" s="190" t="e">
        <f t="shared" si="18"/>
        <v>#N/A</v>
      </c>
      <c r="S127" s="190">
        <f t="shared" si="30"/>
        <v>8</v>
      </c>
      <c r="T127" s="190">
        <f t="shared" si="11"/>
        <v>4</v>
      </c>
      <c r="U127" s="190" t="e">
        <f t="shared" si="12"/>
        <v>#N/A</v>
      </c>
      <c r="V127" s="190">
        <f t="shared" si="31"/>
        <v>4</v>
      </c>
      <c r="AA127" s="210" t="s">
        <v>1276</v>
      </c>
      <c r="AB127" s="215" t="s">
        <v>1381</v>
      </c>
      <c r="AC127" s="212" t="s">
        <v>1304</v>
      </c>
      <c r="AD127" s="211">
        <v>1</v>
      </c>
      <c r="AE127" s="211" t="s">
        <v>1346</v>
      </c>
      <c r="AF127" s="212" t="s">
        <v>1322</v>
      </c>
      <c r="AG127" s="220" t="s">
        <v>1384</v>
      </c>
    </row>
    <row r="128" spans="2:33">
      <c r="B128" s="181" t="str">
        <f t="shared" si="6"/>
        <v>Before Load</v>
      </c>
      <c r="C128" s="182"/>
      <c r="D128" s="183" t="str">
        <f t="shared" si="7"/>
        <v>Vessel Manifold</v>
      </c>
      <c r="E128" s="184"/>
      <c r="F128" s="182" t="str">
        <f t="shared" si="13"/>
        <v>Spot</v>
      </c>
      <c r="G128" s="182"/>
      <c r="H128" s="185">
        <f t="shared" si="27"/>
        <v>1</v>
      </c>
      <c r="I128" s="185" t="str">
        <f t="shared" si="28"/>
        <v>1 Callon</v>
      </c>
      <c r="J128" s="185" t="str">
        <f t="shared" si="8"/>
        <v>For Receiver Retention</v>
      </c>
      <c r="K128" s="185"/>
      <c r="L128" s="191" t="str">
        <f t="shared" si="15"/>
        <v>CCIC LN 12345700</v>
      </c>
      <c r="M128" s="192"/>
      <c r="N128" s="190">
        <f t="shared" si="9"/>
        <v>4</v>
      </c>
      <c r="O128" s="190" t="e">
        <f t="shared" si="10"/>
        <v>#N/A</v>
      </c>
      <c r="P128" s="190">
        <f t="shared" si="29"/>
        <v>4</v>
      </c>
      <c r="Q128" s="190">
        <f t="shared" si="17"/>
        <v>8</v>
      </c>
      <c r="R128" s="190" t="e">
        <f t="shared" si="18"/>
        <v>#N/A</v>
      </c>
      <c r="S128" s="190">
        <f t="shared" si="30"/>
        <v>8</v>
      </c>
      <c r="T128" s="190">
        <f t="shared" si="11"/>
        <v>3</v>
      </c>
      <c r="U128" s="190" t="e">
        <f t="shared" si="12"/>
        <v>#N/A</v>
      </c>
      <c r="V128" s="190">
        <f t="shared" si="31"/>
        <v>3</v>
      </c>
      <c r="AA128" s="210" t="s">
        <v>1276</v>
      </c>
      <c r="AB128" s="215" t="s">
        <v>1381</v>
      </c>
      <c r="AC128" s="212" t="s">
        <v>1304</v>
      </c>
      <c r="AD128" s="211">
        <v>1</v>
      </c>
      <c r="AE128" s="211" t="s">
        <v>1346</v>
      </c>
      <c r="AF128" s="212" t="s">
        <v>1320</v>
      </c>
      <c r="AG128" s="220" t="s">
        <v>1385</v>
      </c>
    </row>
    <row r="129" spans="2:33">
      <c r="B129" s="181" t="str">
        <f t="shared" si="6"/>
        <v>Before Load</v>
      </c>
      <c r="C129" s="182"/>
      <c r="D129" s="183" t="str">
        <f t="shared" si="7"/>
        <v>Vessel Manifold</v>
      </c>
      <c r="E129" s="184"/>
      <c r="F129" s="182" t="str">
        <f t="shared" si="13"/>
        <v>Spot</v>
      </c>
      <c r="G129" s="182"/>
      <c r="H129" s="185">
        <f t="shared" si="27"/>
        <v>1</v>
      </c>
      <c r="I129" s="185" t="str">
        <f t="shared" si="28"/>
        <v>1 Callon</v>
      </c>
      <c r="J129" s="185" t="str">
        <f t="shared" si="8"/>
        <v>For Vessel Retention</v>
      </c>
      <c r="K129" s="185"/>
      <c r="L129" s="191" t="str">
        <f t="shared" si="15"/>
        <v>CCIC LN 12345701</v>
      </c>
      <c r="M129" s="192"/>
      <c r="N129" s="190">
        <f t="shared" si="9"/>
        <v>4</v>
      </c>
      <c r="O129" s="190" t="e">
        <f t="shared" si="10"/>
        <v>#N/A</v>
      </c>
      <c r="P129" s="190">
        <f t="shared" si="29"/>
        <v>4</v>
      </c>
      <c r="Q129" s="190">
        <f t="shared" si="17"/>
        <v>8</v>
      </c>
      <c r="R129" s="190" t="e">
        <f t="shared" si="18"/>
        <v>#N/A</v>
      </c>
      <c r="S129" s="190">
        <f t="shared" si="30"/>
        <v>8</v>
      </c>
      <c r="T129" s="190">
        <f t="shared" si="11"/>
        <v>2</v>
      </c>
      <c r="U129" s="190" t="e">
        <f t="shared" si="12"/>
        <v>#N/A</v>
      </c>
      <c r="V129" s="190">
        <f t="shared" si="31"/>
        <v>2</v>
      </c>
      <c r="AA129" s="210" t="s">
        <v>1276</v>
      </c>
      <c r="AB129" s="215" t="s">
        <v>1381</v>
      </c>
      <c r="AC129" s="212" t="s">
        <v>1304</v>
      </c>
      <c r="AD129" s="211">
        <v>1</v>
      </c>
      <c r="AE129" s="211" t="s">
        <v>1346</v>
      </c>
      <c r="AF129" s="212" t="s">
        <v>1318</v>
      </c>
      <c r="AG129" s="220" t="s">
        <v>1386</v>
      </c>
    </row>
    <row r="130" spans="2:33">
      <c r="B130" s="181" t="str">
        <f t="shared" si="6"/>
        <v>During Load</v>
      </c>
      <c r="C130" s="182"/>
      <c r="D130" s="183" t="str">
        <f t="shared" si="7"/>
        <v>All Nominated Vessel Tanks</v>
      </c>
      <c r="E130" s="184"/>
      <c r="F130" s="182" t="str">
        <f t="shared" si="13"/>
        <v>1st Foot</v>
      </c>
      <c r="G130" s="182"/>
      <c r="H130" s="185">
        <f t="shared" si="14"/>
        <v>1</v>
      </c>
      <c r="I130" s="185" t="str">
        <f t="shared" si="21"/>
        <v>1 Callon</v>
      </c>
      <c r="J130" s="185" t="str">
        <f t="shared" si="8"/>
        <v>For CCIC Retention</v>
      </c>
      <c r="K130" s="185"/>
      <c r="L130" s="191" t="str">
        <f t="shared" si="15"/>
        <v/>
      </c>
      <c r="M130" s="192"/>
      <c r="N130" s="190">
        <f t="shared" si="9"/>
        <v>5</v>
      </c>
      <c r="O130" s="190" t="e">
        <f t="shared" si="10"/>
        <v>#N/A</v>
      </c>
      <c r="P130" s="190">
        <f t="shared" si="16"/>
        <v>5</v>
      </c>
      <c r="Q130" s="190">
        <f t="shared" si="17"/>
        <v>13</v>
      </c>
      <c r="R130" s="190" t="e">
        <f t="shared" si="18"/>
        <v>#N/A</v>
      </c>
      <c r="S130" s="190">
        <f t="shared" si="19"/>
        <v>13</v>
      </c>
      <c r="T130" s="190" t="e">
        <f t="shared" si="11"/>
        <v>#N/A</v>
      </c>
      <c r="U130" s="190">
        <f t="shared" si="12"/>
        <v>6</v>
      </c>
      <c r="V130" s="190">
        <f t="shared" si="20"/>
        <v>6</v>
      </c>
      <c r="AA130" s="210" t="s">
        <v>1278</v>
      </c>
      <c r="AB130" s="215" t="s">
        <v>1387</v>
      </c>
      <c r="AC130" s="212" t="s">
        <v>1314</v>
      </c>
      <c r="AD130" s="211">
        <v>1</v>
      </c>
      <c r="AE130" s="211" t="s">
        <v>1346</v>
      </c>
      <c r="AF130" s="212" t="s">
        <v>1327</v>
      </c>
      <c r="AG130" s="220"/>
    </row>
    <row r="131" spans="2:33">
      <c r="B131" s="181" t="str">
        <f t="shared" si="6"/>
        <v>During Load</v>
      </c>
      <c r="C131" s="182"/>
      <c r="D131" s="183" t="str">
        <f t="shared" si="7"/>
        <v>All Nominated Vessel Tanks</v>
      </c>
      <c r="E131" s="184"/>
      <c r="F131" s="182" t="str">
        <f t="shared" si="13"/>
        <v>Compartment Composite</v>
      </c>
      <c r="G131" s="182"/>
      <c r="H131" s="185">
        <f t="shared" si="14"/>
        <v>12</v>
      </c>
      <c r="I131" s="185" t="str">
        <f t="shared" si="21"/>
        <v>1 Callon</v>
      </c>
      <c r="J131" s="185" t="str">
        <f t="shared" si="8"/>
        <v>For CCIC Retention</v>
      </c>
      <c r="K131" s="185"/>
      <c r="L131" s="191" t="str">
        <f t="shared" si="15"/>
        <v>CCIC LN 7885399</v>
      </c>
      <c r="M131" s="192"/>
      <c r="N131" s="190">
        <f t="shared" si="9"/>
        <v>5</v>
      </c>
      <c r="O131" s="190" t="e">
        <f t="shared" si="10"/>
        <v>#N/A</v>
      </c>
      <c r="P131" s="190">
        <f t="shared" si="16"/>
        <v>5</v>
      </c>
      <c r="Q131" s="190" t="e">
        <f t="shared" si="17"/>
        <v>#N/A</v>
      </c>
      <c r="R131" s="190">
        <f t="shared" si="18"/>
        <v>3</v>
      </c>
      <c r="S131" s="190">
        <f t="shared" si="19"/>
        <v>3</v>
      </c>
      <c r="T131" s="190" t="e">
        <f t="shared" si="11"/>
        <v>#N/A</v>
      </c>
      <c r="U131" s="190">
        <f t="shared" si="12"/>
        <v>6</v>
      </c>
      <c r="V131" s="190">
        <f t="shared" si="20"/>
        <v>6</v>
      </c>
      <c r="AA131" s="210" t="s">
        <v>1278</v>
      </c>
      <c r="AB131" s="215" t="s">
        <v>1387</v>
      </c>
      <c r="AC131" s="212" t="s">
        <v>1348</v>
      </c>
      <c r="AD131" s="211">
        <v>12</v>
      </c>
      <c r="AE131" s="211" t="s">
        <v>1346</v>
      </c>
      <c r="AF131" s="212" t="s">
        <v>1327</v>
      </c>
      <c r="AG131" s="220" t="s">
        <v>1388</v>
      </c>
    </row>
    <row r="132" spans="2:33">
      <c r="B132" s="181" t="str">
        <f t="shared" si="6"/>
        <v>During Load</v>
      </c>
      <c r="C132" s="182"/>
      <c r="D132" s="183" t="str">
        <f t="shared" si="7"/>
        <v>All Nominated Vessel Tanks</v>
      </c>
      <c r="E132" s="184"/>
      <c r="F132" s="182" t="str">
        <f t="shared" si="13"/>
        <v>Spot</v>
      </c>
      <c r="G132" s="182"/>
      <c r="H132" s="185">
        <f t="shared" si="14"/>
        <v>1</v>
      </c>
      <c r="I132" s="185" t="str">
        <f t="shared" si="21"/>
        <v>1 Callon</v>
      </c>
      <c r="J132" s="185" t="str">
        <f t="shared" si="8"/>
        <v>For CCIC Retention</v>
      </c>
      <c r="K132" s="185"/>
      <c r="L132" s="191" t="str">
        <f t="shared" si="15"/>
        <v/>
      </c>
      <c r="M132" s="192"/>
      <c r="N132" s="190">
        <f t="shared" si="9"/>
        <v>5</v>
      </c>
      <c r="O132" s="190" t="e">
        <f t="shared" si="10"/>
        <v>#N/A</v>
      </c>
      <c r="P132" s="190">
        <f t="shared" si="16"/>
        <v>5</v>
      </c>
      <c r="Q132" s="190">
        <f t="shared" si="17"/>
        <v>8</v>
      </c>
      <c r="R132" s="190" t="e">
        <f t="shared" si="18"/>
        <v>#N/A</v>
      </c>
      <c r="S132" s="190">
        <f t="shared" si="19"/>
        <v>8</v>
      </c>
      <c r="T132" s="190" t="e">
        <f t="shared" si="11"/>
        <v>#N/A</v>
      </c>
      <c r="U132" s="190">
        <f t="shared" si="12"/>
        <v>6</v>
      </c>
      <c r="V132" s="190">
        <f t="shared" si="20"/>
        <v>6</v>
      </c>
      <c r="AA132" s="210" t="s">
        <v>1278</v>
      </c>
      <c r="AB132" s="215" t="s">
        <v>1387</v>
      </c>
      <c r="AC132" s="212" t="s">
        <v>1304</v>
      </c>
      <c r="AD132" s="211">
        <v>1</v>
      </c>
      <c r="AE132" s="211" t="s">
        <v>1346</v>
      </c>
      <c r="AF132" s="212" t="s">
        <v>1327</v>
      </c>
      <c r="AG132" s="220"/>
    </row>
    <row r="133" spans="2:33">
      <c r="B133" s="181" t="str">
        <f t="shared" si="6"/>
        <v>During Load</v>
      </c>
      <c r="C133" s="182"/>
      <c r="D133" s="183" t="str">
        <f t="shared" si="7"/>
        <v>All Nominated Vessel Tanks</v>
      </c>
      <c r="E133" s="184"/>
      <c r="F133" s="182" t="str">
        <f t="shared" si="13"/>
        <v>Spot</v>
      </c>
      <c r="G133" s="182"/>
      <c r="H133" s="185">
        <f t="shared" si="14"/>
        <v>1</v>
      </c>
      <c r="I133" s="185" t="str">
        <f t="shared" si="21"/>
        <v>1 Callon</v>
      </c>
      <c r="J133" s="185" t="str">
        <f t="shared" si="8"/>
        <v>For CCIC Retention</v>
      </c>
      <c r="K133" s="185"/>
      <c r="L133" s="191" t="str">
        <f t="shared" si="15"/>
        <v/>
      </c>
      <c r="M133" s="192"/>
      <c r="N133" s="190">
        <f t="shared" si="9"/>
        <v>5</v>
      </c>
      <c r="O133" s="190" t="e">
        <f t="shared" si="10"/>
        <v>#N/A</v>
      </c>
      <c r="P133" s="190">
        <f t="shared" si="16"/>
        <v>5</v>
      </c>
      <c r="Q133" s="190">
        <f t="shared" si="17"/>
        <v>8</v>
      </c>
      <c r="R133" s="190" t="e">
        <f t="shared" si="18"/>
        <v>#N/A</v>
      </c>
      <c r="S133" s="190">
        <f t="shared" si="19"/>
        <v>8</v>
      </c>
      <c r="T133" s="190" t="e">
        <f t="shared" si="11"/>
        <v>#N/A</v>
      </c>
      <c r="U133" s="190">
        <f t="shared" si="12"/>
        <v>6</v>
      </c>
      <c r="V133" s="190">
        <f t="shared" si="20"/>
        <v>6</v>
      </c>
      <c r="AA133" s="210" t="s">
        <v>1278</v>
      </c>
      <c r="AB133" s="215" t="s">
        <v>1387</v>
      </c>
      <c r="AC133" s="212" t="s">
        <v>1304</v>
      </c>
      <c r="AD133" s="211">
        <v>1</v>
      </c>
      <c r="AE133" s="211" t="s">
        <v>1346</v>
      </c>
      <c r="AF133" s="212" t="s">
        <v>1327</v>
      </c>
      <c r="AG133" s="220"/>
    </row>
    <row r="134" spans="2:33">
      <c r="B134" s="181" t="str">
        <f t="shared" si="6"/>
        <v>After Load</v>
      </c>
      <c r="C134" s="182"/>
      <c r="D134" s="183" t="str">
        <f t="shared" si="7"/>
        <v/>
      </c>
      <c r="E134" s="184"/>
      <c r="F134" s="182" t="str">
        <f t="shared" si="13"/>
        <v>Spot</v>
      </c>
      <c r="G134" s="182"/>
      <c r="H134" s="185" t="str">
        <f t="shared" si="14"/>
        <v/>
      </c>
      <c r="I134" s="185" t="str">
        <f t="shared" si="21"/>
        <v/>
      </c>
      <c r="J134" s="185" t="str">
        <f t="shared" si="8"/>
        <v>For CCIC Retention</v>
      </c>
      <c r="K134" s="185"/>
      <c r="L134" s="191" t="str">
        <f t="shared" si="15"/>
        <v/>
      </c>
      <c r="M134" s="192"/>
      <c r="N134" s="190">
        <f t="shared" si="9"/>
        <v>6</v>
      </c>
      <c r="O134" s="190" t="e">
        <f t="shared" si="10"/>
        <v>#N/A</v>
      </c>
      <c r="P134" s="190">
        <f t="shared" si="16"/>
        <v>6</v>
      </c>
      <c r="Q134" s="190">
        <f t="shared" si="17"/>
        <v>8</v>
      </c>
      <c r="R134" s="190" t="e">
        <f t="shared" si="18"/>
        <v>#N/A</v>
      </c>
      <c r="S134" s="190">
        <f t="shared" si="19"/>
        <v>8</v>
      </c>
      <c r="T134" s="190" t="e">
        <f t="shared" si="11"/>
        <v>#N/A</v>
      </c>
      <c r="U134" s="190">
        <f t="shared" si="12"/>
        <v>6</v>
      </c>
      <c r="V134" s="190">
        <f t="shared" si="20"/>
        <v>6</v>
      </c>
      <c r="AA134" s="210" t="s">
        <v>1280</v>
      </c>
      <c r="AB134" s="215"/>
      <c r="AC134" s="212" t="s">
        <v>1304</v>
      </c>
      <c r="AD134" s="211"/>
      <c r="AE134" s="211"/>
      <c r="AF134" s="212" t="s">
        <v>1327</v>
      </c>
      <c r="AG134" s="220"/>
    </row>
    <row r="135" spans="2:33">
      <c r="B135" s="181" t="str">
        <f t="shared" si="6"/>
        <v>After Load</v>
      </c>
      <c r="C135" s="182"/>
      <c r="D135" s="183" t="str">
        <f t="shared" si="7"/>
        <v/>
      </c>
      <c r="E135" s="184"/>
      <c r="F135" s="182" t="str">
        <f t="shared" si="13"/>
        <v>Spot</v>
      </c>
      <c r="G135" s="182"/>
      <c r="H135" s="185" t="str">
        <f t="shared" si="14"/>
        <v/>
      </c>
      <c r="I135" s="185" t="str">
        <f t="shared" si="21"/>
        <v/>
      </c>
      <c r="J135" s="185" t="str">
        <f t="shared" si="8"/>
        <v>For CCIC Retention</v>
      </c>
      <c r="K135" s="185"/>
      <c r="L135" s="191" t="str">
        <f t="shared" si="15"/>
        <v/>
      </c>
      <c r="M135" s="192"/>
      <c r="N135" s="190">
        <f t="shared" si="9"/>
        <v>6</v>
      </c>
      <c r="O135" s="190" t="e">
        <f t="shared" si="10"/>
        <v>#N/A</v>
      </c>
      <c r="P135" s="190">
        <f t="shared" si="16"/>
        <v>6</v>
      </c>
      <c r="Q135" s="190">
        <f t="shared" si="17"/>
        <v>8</v>
      </c>
      <c r="R135" s="190" t="e">
        <f t="shared" si="18"/>
        <v>#N/A</v>
      </c>
      <c r="S135" s="190">
        <f t="shared" si="19"/>
        <v>8</v>
      </c>
      <c r="T135" s="190" t="e">
        <f t="shared" si="11"/>
        <v>#N/A</v>
      </c>
      <c r="U135" s="190">
        <f t="shared" si="12"/>
        <v>6</v>
      </c>
      <c r="V135" s="190">
        <f t="shared" si="20"/>
        <v>6</v>
      </c>
      <c r="AA135" s="210" t="s">
        <v>1280</v>
      </c>
      <c r="AB135" s="215"/>
      <c r="AC135" s="212" t="s">
        <v>1304</v>
      </c>
      <c r="AD135" s="211"/>
      <c r="AE135" s="211"/>
      <c r="AF135" s="212" t="s">
        <v>1327</v>
      </c>
      <c r="AG135" s="220"/>
    </row>
    <row r="136" spans="2:33">
      <c r="B136" s="181" t="str">
        <f t="shared" si="6"/>
        <v>After Load</v>
      </c>
      <c r="C136" s="182"/>
      <c r="D136" s="183" t="str">
        <f t="shared" si="7"/>
        <v/>
      </c>
      <c r="E136" s="184"/>
      <c r="F136" s="182" t="str">
        <f t="shared" si="13"/>
        <v>Spot</v>
      </c>
      <c r="G136" s="182"/>
      <c r="H136" s="185" t="str">
        <f t="shared" si="14"/>
        <v/>
      </c>
      <c r="I136" s="185" t="str">
        <f t="shared" si="21"/>
        <v/>
      </c>
      <c r="J136" s="185" t="str">
        <f t="shared" si="8"/>
        <v>For CCIC Retention</v>
      </c>
      <c r="K136" s="185"/>
      <c r="L136" s="191" t="str">
        <f t="shared" si="15"/>
        <v/>
      </c>
      <c r="M136" s="192"/>
      <c r="N136" s="190">
        <f t="shared" si="9"/>
        <v>6</v>
      </c>
      <c r="O136" s="190" t="e">
        <f t="shared" si="10"/>
        <v>#N/A</v>
      </c>
      <c r="P136" s="190">
        <f t="shared" si="16"/>
        <v>6</v>
      </c>
      <c r="Q136" s="190">
        <f t="shared" si="17"/>
        <v>8</v>
      </c>
      <c r="R136" s="190" t="e">
        <f t="shared" si="18"/>
        <v>#N/A</v>
      </c>
      <c r="S136" s="190">
        <f t="shared" si="19"/>
        <v>8</v>
      </c>
      <c r="T136" s="190" t="e">
        <f t="shared" si="11"/>
        <v>#N/A</v>
      </c>
      <c r="U136" s="190">
        <f t="shared" si="12"/>
        <v>6</v>
      </c>
      <c r="V136" s="190">
        <f t="shared" si="20"/>
        <v>6</v>
      </c>
      <c r="AA136" s="210" t="s">
        <v>1280</v>
      </c>
      <c r="AB136" s="215"/>
      <c r="AC136" s="212" t="s">
        <v>1304</v>
      </c>
      <c r="AD136" s="211"/>
      <c r="AE136" s="211"/>
      <c r="AF136" s="212" t="s">
        <v>1327</v>
      </c>
      <c r="AG136" s="220"/>
    </row>
    <row r="137" spans="2:33">
      <c r="B137" s="181" t="str">
        <f t="shared" si="6"/>
        <v>Before Discharge</v>
      </c>
      <c r="C137" s="182"/>
      <c r="D137" s="183" t="str">
        <f t="shared" si="7"/>
        <v/>
      </c>
      <c r="E137" s="184"/>
      <c r="F137" s="182" t="str">
        <f t="shared" si="13"/>
        <v>Spot</v>
      </c>
      <c r="G137" s="182"/>
      <c r="H137" s="185" t="str">
        <f t="shared" si="14"/>
        <v/>
      </c>
      <c r="I137" s="185" t="str">
        <f t="shared" si="21"/>
        <v/>
      </c>
      <c r="J137" s="185" t="str">
        <f t="shared" si="8"/>
        <v>For CCIC Retention</v>
      </c>
      <c r="K137" s="185"/>
      <c r="L137" s="191" t="str">
        <f t="shared" si="15"/>
        <v/>
      </c>
      <c r="M137" s="192"/>
      <c r="N137" s="190">
        <f t="shared" si="9"/>
        <v>1</v>
      </c>
      <c r="O137" s="190" t="e">
        <f t="shared" si="10"/>
        <v>#N/A</v>
      </c>
      <c r="P137" s="190">
        <f t="shared" si="16"/>
        <v>1</v>
      </c>
      <c r="Q137" s="190">
        <f t="shared" si="17"/>
        <v>8</v>
      </c>
      <c r="R137" s="190" t="e">
        <f t="shared" si="18"/>
        <v>#N/A</v>
      </c>
      <c r="S137" s="190">
        <f t="shared" si="19"/>
        <v>8</v>
      </c>
      <c r="T137" s="190" t="e">
        <f t="shared" si="11"/>
        <v>#N/A</v>
      </c>
      <c r="U137" s="190">
        <f t="shared" si="12"/>
        <v>6</v>
      </c>
      <c r="V137" s="190">
        <f t="shared" si="20"/>
        <v>6</v>
      </c>
      <c r="AA137" s="210" t="s">
        <v>1270</v>
      </c>
      <c r="AB137" s="215"/>
      <c r="AC137" s="212" t="s">
        <v>1304</v>
      </c>
      <c r="AD137" s="211"/>
      <c r="AE137" s="211"/>
      <c r="AF137" s="212" t="s">
        <v>1327</v>
      </c>
      <c r="AG137" s="220"/>
    </row>
    <row r="138" ht="15" spans="2:33">
      <c r="B138" s="221" t="str">
        <f t="shared" si="6"/>
        <v>Before Discharge</v>
      </c>
      <c r="C138" s="222"/>
      <c r="D138" s="223" t="str">
        <f t="shared" si="7"/>
        <v/>
      </c>
      <c r="E138" s="224"/>
      <c r="F138" s="222" t="str">
        <f t="shared" si="13"/>
        <v>Spot</v>
      </c>
      <c r="G138" s="222"/>
      <c r="H138" s="225" t="str">
        <f t="shared" si="14"/>
        <v/>
      </c>
      <c r="I138" s="225" t="str">
        <f t="shared" si="21"/>
        <v/>
      </c>
      <c r="J138" s="225" t="str">
        <f t="shared" si="8"/>
        <v>For CCIC Retention</v>
      </c>
      <c r="K138" s="225"/>
      <c r="L138" s="226" t="str">
        <f t="shared" si="15"/>
        <v/>
      </c>
      <c r="M138" s="227"/>
      <c r="N138" s="190">
        <f t="shared" si="9"/>
        <v>1</v>
      </c>
      <c r="O138" s="190" t="e">
        <f t="shared" si="10"/>
        <v>#N/A</v>
      </c>
      <c r="P138" s="190">
        <f t="shared" si="16"/>
        <v>1</v>
      </c>
      <c r="Q138" s="190">
        <f t="shared" si="17"/>
        <v>8</v>
      </c>
      <c r="R138" s="190" t="e">
        <f t="shared" si="18"/>
        <v>#N/A</v>
      </c>
      <c r="S138" s="190">
        <f t="shared" si="19"/>
        <v>8</v>
      </c>
      <c r="T138" s="190" t="e">
        <f t="shared" si="11"/>
        <v>#N/A</v>
      </c>
      <c r="U138" s="190">
        <f t="shared" si="12"/>
        <v>6</v>
      </c>
      <c r="V138" s="190">
        <f t="shared" si="20"/>
        <v>6</v>
      </c>
      <c r="AA138" s="228" t="s">
        <v>1270</v>
      </c>
      <c r="AB138" s="229"/>
      <c r="AC138" s="212" t="s">
        <v>1304</v>
      </c>
      <c r="AD138" s="230"/>
      <c r="AE138" s="230"/>
      <c r="AF138" s="231" t="s">
        <v>1327</v>
      </c>
      <c r="AG138" s="232"/>
    </row>
    <row r="139" spans="2:15">
      <c r="B139" s="47" t="str">
        <f>L48</f>
        <v>Weather condition during sampling:</v>
      </c>
      <c r="C139" s="47"/>
      <c r="D139" s="47"/>
      <c r="E139" s="47"/>
      <c r="F139" s="47"/>
      <c r="G139" s="47"/>
      <c r="H139" s="47"/>
      <c r="I139" s="47"/>
      <c r="J139" s="47"/>
      <c r="K139" s="47"/>
      <c r="L139" s="47"/>
      <c r="M139" s="47"/>
      <c r="O139" s="47"/>
    </row>
    <row r="140" spans="2:15">
      <c r="B140" s="47" t="str">
        <f>L47</f>
        <v>Remark:</v>
      </c>
      <c r="C140" s="47"/>
      <c r="D140" s="47"/>
      <c r="E140" s="47"/>
      <c r="F140" s="47"/>
      <c r="G140" s="47"/>
      <c r="H140" s="47"/>
      <c r="I140" s="47"/>
      <c r="J140" s="47"/>
      <c r="K140" s="47"/>
      <c r="L140" s="47"/>
      <c r="M140" s="47"/>
      <c r="O140" s="47"/>
    </row>
    <row r="141" spans="2:15">
      <c r="B141" s="47" t="str">
        <f>L46</f>
        <v>- Reference Standards: API MPMS Chapter 8.1 (2013).</v>
      </c>
      <c r="C141" s="47"/>
      <c r="D141" s="47"/>
      <c r="E141" s="47"/>
      <c r="F141" s="47"/>
      <c r="G141" s="47"/>
      <c r="H141" s="47"/>
      <c r="I141" s="47"/>
      <c r="J141" s="47"/>
      <c r="K141" s="47"/>
      <c r="L141" s="47"/>
      <c r="M141" s="47"/>
      <c r="O141" s="47"/>
    </row>
    <row r="142" spans="2:15">
      <c r="B142" s="47" t="str">
        <f>L49</f>
        <v>- Unless otherwise instructed, the above CCIC retention samples will be retained only for three months.</v>
      </c>
      <c r="C142" s="47"/>
      <c r="D142" s="47"/>
      <c r="E142" s="47"/>
      <c r="F142" s="47"/>
      <c r="G142" s="47"/>
      <c r="H142" s="47"/>
      <c r="I142" s="47"/>
      <c r="J142" s="47"/>
      <c r="K142" s="47"/>
      <c r="L142" s="47"/>
      <c r="M142" s="47"/>
      <c r="O142" s="47"/>
    </row>
    <row r="143" spans="2:13">
      <c r="B143" s="47"/>
      <c r="C143" s="47"/>
      <c r="D143" s="47"/>
      <c r="E143" s="47"/>
      <c r="F143" s="47"/>
      <c r="G143" s="47"/>
      <c r="H143" s="47"/>
      <c r="I143" s="47"/>
      <c r="J143" s="47"/>
      <c r="K143" s="47"/>
      <c r="L143" s="47"/>
      <c r="M143" s="47"/>
    </row>
    <row r="144" hidden="1" spans="1:13">
      <c r="A144" t="str">
        <f>IF(Report_type="正式报告 Official Report","隐藏","显示")</f>
        <v>隐藏</v>
      </c>
      <c r="B144" s="47"/>
      <c r="C144" s="47" t="str">
        <f>C80</f>
        <v>Master/Chief Officer</v>
      </c>
      <c r="D144" s="47"/>
      <c r="E144" s="47"/>
      <c r="F144" s="47"/>
      <c r="G144" s="47"/>
      <c r="H144" s="47"/>
      <c r="I144" s="47" t="str">
        <f>C81</f>
        <v>CCIC Surveyor</v>
      </c>
      <c r="J144" s="47"/>
      <c r="K144" s="47"/>
      <c r="L144" s="47"/>
      <c r="M144" s="47"/>
    </row>
    <row r="145" hidden="1" spans="1:13">
      <c r="A145" t="str">
        <f>IF(Report_type="正式报告 Official Report","隐藏","显示")</f>
        <v>隐藏</v>
      </c>
      <c r="B145" s="47"/>
      <c r="C145" s="47" t="str">
        <f>C82</f>
        <v>Name</v>
      </c>
      <c r="D145" s="104"/>
      <c r="E145" s="104"/>
      <c r="F145" s="104"/>
      <c r="G145" s="47"/>
      <c r="H145" s="47"/>
      <c r="I145" s="47" t="str">
        <f>C82</f>
        <v>Name</v>
      </c>
      <c r="J145" s="107" t="s">
        <v>10</v>
      </c>
      <c r="K145" s="107"/>
      <c r="L145" s="107"/>
      <c r="M145" s="47"/>
    </row>
    <row r="146" hidden="1" spans="1:13">
      <c r="A146" t="str">
        <f>IF(Report_type="正式报告 Official Report","隐藏","显示")</f>
        <v>隐藏</v>
      </c>
      <c r="B146" s="47"/>
      <c r="C146" s="47" t="str">
        <f>C83</f>
        <v>Signature</v>
      </c>
      <c r="D146" s="105"/>
      <c r="E146" s="105"/>
      <c r="F146" s="105"/>
      <c r="G146" s="47"/>
      <c r="H146" s="47"/>
      <c r="I146" s="47" t="str">
        <f>C83</f>
        <v>Signature</v>
      </c>
      <c r="J146" s="105"/>
      <c r="K146" s="105"/>
      <c r="L146" s="105"/>
      <c r="M146" s="47"/>
    </row>
    <row r="147" spans="2:13">
      <c r="B147" s="47"/>
      <c r="C147" s="47"/>
      <c r="D147" s="47"/>
      <c r="E147" s="47"/>
      <c r="F147" s="47"/>
      <c r="G147" s="47"/>
      <c r="H147" s="47"/>
      <c r="I147" s="47"/>
      <c r="J147" s="47"/>
      <c r="K147" s="47"/>
      <c r="L147" s="47"/>
      <c r="M147" s="47"/>
    </row>
    <row r="148" spans="2:13">
      <c r="B148" s="47"/>
      <c r="C148" s="47"/>
      <c r="D148" s="47"/>
      <c r="E148" s="47"/>
      <c r="F148" s="47"/>
      <c r="G148" s="47"/>
      <c r="H148" s="47"/>
      <c r="I148" s="47"/>
      <c r="J148" s="47"/>
      <c r="K148" s="47"/>
      <c r="L148" s="47"/>
      <c r="M148" s="47"/>
    </row>
    <row r="149" spans="1:13">
      <c r="A149" t="str">
        <f>IF(Report_type="正式报告 Official Report","显示","隐藏")</f>
        <v>显示</v>
      </c>
      <c r="B149" s="47"/>
      <c r="C149" s="47"/>
      <c r="D149" s="47"/>
      <c r="E149" s="47"/>
      <c r="F149" s="47"/>
      <c r="G149" s="47"/>
      <c r="H149" s="47"/>
      <c r="I149" s="47"/>
      <c r="J149" s="47"/>
      <c r="K149" s="47"/>
      <c r="L149" s="47"/>
      <c r="M149" s="47"/>
    </row>
    <row r="150" spans="1:13">
      <c r="A150" t="str">
        <f>IF(Report_type="正式报告 Official Report","显示","隐藏")</f>
        <v>显示</v>
      </c>
      <c r="B150" s="47"/>
      <c r="C150" s="47"/>
      <c r="D150" s="47"/>
      <c r="E150" s="47"/>
      <c r="F150" s="47"/>
      <c r="G150" s="47"/>
      <c r="H150" s="47"/>
      <c r="I150" s="108" t="str">
        <f>C84</f>
        <v>Authorized Signature (S)</v>
      </c>
      <c r="J150" s="108"/>
      <c r="K150" s="108"/>
      <c r="L150" s="47"/>
      <c r="M150" s="47"/>
    </row>
    <row r="151" spans="2:13">
      <c r="B151" s="47"/>
      <c r="C151" s="47"/>
      <c r="D151" s="47"/>
      <c r="E151" s="47"/>
      <c r="F151" s="47"/>
      <c r="G151" s="47"/>
      <c r="H151" s="47"/>
      <c r="I151" s="47"/>
      <c r="J151" s="47"/>
      <c r="K151" s="47"/>
      <c r="L151" s="47"/>
      <c r="M151" s="47"/>
    </row>
    <row r="152" ht="16.8" customHeight="1" spans="2:13">
      <c r="B152" s="151" t="str">
        <f>C85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52" s="151"/>
      <c r="D152" s="151"/>
      <c r="E152" s="151"/>
      <c r="F152" s="151"/>
      <c r="G152" s="151"/>
      <c r="H152" s="151"/>
      <c r="I152" s="151"/>
      <c r="J152" s="151"/>
      <c r="K152" s="151"/>
      <c r="L152" s="151"/>
      <c r="M152" s="151"/>
    </row>
  </sheetData>
  <mergeCells count="194">
    <mergeCell ref="I93:M93"/>
    <mergeCell ref="I94:M94"/>
    <mergeCell ref="I95:M95"/>
    <mergeCell ref="I96:M96"/>
    <mergeCell ref="I97:M97"/>
    <mergeCell ref="I98:M98"/>
    <mergeCell ref="I99:M99"/>
    <mergeCell ref="B101:D101"/>
    <mergeCell ref="B102:D102"/>
    <mergeCell ref="B103:G103"/>
    <mergeCell ref="H103:I103"/>
    <mergeCell ref="X103:Y103"/>
    <mergeCell ref="AA103:AC103"/>
    <mergeCell ref="AD103:AE103"/>
    <mergeCell ref="B104:C104"/>
    <mergeCell ref="D104:E104"/>
    <mergeCell ref="F104:G104"/>
    <mergeCell ref="B105:C105"/>
    <mergeCell ref="D105:E105"/>
    <mergeCell ref="F105:G105"/>
    <mergeCell ref="J105:K105"/>
    <mergeCell ref="L105:M105"/>
    <mergeCell ref="B106:C106"/>
    <mergeCell ref="D106:E106"/>
    <mergeCell ref="F106:G106"/>
    <mergeCell ref="J106:K106"/>
    <mergeCell ref="L106:M106"/>
    <mergeCell ref="B107:C107"/>
    <mergeCell ref="D107:E107"/>
    <mergeCell ref="F107:G107"/>
    <mergeCell ref="J107:K107"/>
    <mergeCell ref="L107:M107"/>
    <mergeCell ref="B108:C108"/>
    <mergeCell ref="D108:E108"/>
    <mergeCell ref="F108:G108"/>
    <mergeCell ref="J108:K108"/>
    <mergeCell ref="L108:M108"/>
    <mergeCell ref="B109:C109"/>
    <mergeCell ref="D109:E109"/>
    <mergeCell ref="F109:G109"/>
    <mergeCell ref="J109:K109"/>
    <mergeCell ref="L109:M109"/>
    <mergeCell ref="B110:C110"/>
    <mergeCell ref="D110:E110"/>
    <mergeCell ref="F110:G110"/>
    <mergeCell ref="J110:K110"/>
    <mergeCell ref="L110:M110"/>
    <mergeCell ref="B111:C111"/>
    <mergeCell ref="D111:E111"/>
    <mergeCell ref="F111:G111"/>
    <mergeCell ref="J111:K111"/>
    <mergeCell ref="L111:M111"/>
    <mergeCell ref="B112:C112"/>
    <mergeCell ref="D112:E112"/>
    <mergeCell ref="F112:G112"/>
    <mergeCell ref="J112:K112"/>
    <mergeCell ref="L112:M112"/>
    <mergeCell ref="B113:C113"/>
    <mergeCell ref="D113:E113"/>
    <mergeCell ref="F113:G113"/>
    <mergeCell ref="J113:K113"/>
    <mergeCell ref="L113:M113"/>
    <mergeCell ref="B114:C114"/>
    <mergeCell ref="D114:E114"/>
    <mergeCell ref="F114:G114"/>
    <mergeCell ref="J114:K114"/>
    <mergeCell ref="L114:M114"/>
    <mergeCell ref="B115:C115"/>
    <mergeCell ref="D115:E115"/>
    <mergeCell ref="F115:G115"/>
    <mergeCell ref="J115:K115"/>
    <mergeCell ref="L115:M115"/>
    <mergeCell ref="B116:C116"/>
    <mergeCell ref="D116:E116"/>
    <mergeCell ref="F116:G116"/>
    <mergeCell ref="J116:K116"/>
    <mergeCell ref="L116:M116"/>
    <mergeCell ref="B117:C117"/>
    <mergeCell ref="D117:E117"/>
    <mergeCell ref="F117:G117"/>
    <mergeCell ref="J117:K117"/>
    <mergeCell ref="L117:M117"/>
    <mergeCell ref="B118:C118"/>
    <mergeCell ref="D118:E118"/>
    <mergeCell ref="F118:G118"/>
    <mergeCell ref="J118:K118"/>
    <mergeCell ref="L118:M118"/>
    <mergeCell ref="B119:C119"/>
    <mergeCell ref="D119:E119"/>
    <mergeCell ref="F119:G119"/>
    <mergeCell ref="J119:K119"/>
    <mergeCell ref="L119:M119"/>
    <mergeCell ref="B120:C120"/>
    <mergeCell ref="D120:E120"/>
    <mergeCell ref="F120:G120"/>
    <mergeCell ref="J120:K120"/>
    <mergeCell ref="L120:M120"/>
    <mergeCell ref="B121:C121"/>
    <mergeCell ref="D121:E121"/>
    <mergeCell ref="F121:G121"/>
    <mergeCell ref="J121:K121"/>
    <mergeCell ref="L121:M121"/>
    <mergeCell ref="B122:C122"/>
    <mergeCell ref="D122:E122"/>
    <mergeCell ref="F122:G122"/>
    <mergeCell ref="J122:K122"/>
    <mergeCell ref="L122:M122"/>
    <mergeCell ref="B123:C123"/>
    <mergeCell ref="D123:E123"/>
    <mergeCell ref="F123:G123"/>
    <mergeCell ref="J123:K123"/>
    <mergeCell ref="L123:M123"/>
    <mergeCell ref="B124:C124"/>
    <mergeCell ref="D124:E124"/>
    <mergeCell ref="F124:G124"/>
    <mergeCell ref="J124:K124"/>
    <mergeCell ref="L124:M124"/>
    <mergeCell ref="B125:C125"/>
    <mergeCell ref="D125:E125"/>
    <mergeCell ref="F125:G125"/>
    <mergeCell ref="J125:K125"/>
    <mergeCell ref="L125:M125"/>
    <mergeCell ref="B126:C126"/>
    <mergeCell ref="D126:E126"/>
    <mergeCell ref="F126:G126"/>
    <mergeCell ref="J126:K126"/>
    <mergeCell ref="L126:M126"/>
    <mergeCell ref="B127:C127"/>
    <mergeCell ref="D127:E127"/>
    <mergeCell ref="F127:G127"/>
    <mergeCell ref="J127:K127"/>
    <mergeCell ref="L127:M127"/>
    <mergeCell ref="B128:C128"/>
    <mergeCell ref="D128:E128"/>
    <mergeCell ref="F128:G128"/>
    <mergeCell ref="J128:K128"/>
    <mergeCell ref="L128:M128"/>
    <mergeCell ref="B129:C129"/>
    <mergeCell ref="D129:E129"/>
    <mergeCell ref="F129:G129"/>
    <mergeCell ref="J129:K129"/>
    <mergeCell ref="L129:M129"/>
    <mergeCell ref="B130:C130"/>
    <mergeCell ref="D130:E130"/>
    <mergeCell ref="F130:G130"/>
    <mergeCell ref="J130:K130"/>
    <mergeCell ref="L130:M130"/>
    <mergeCell ref="B131:C131"/>
    <mergeCell ref="D131:E131"/>
    <mergeCell ref="F131:G131"/>
    <mergeCell ref="J131:K131"/>
    <mergeCell ref="L131:M131"/>
    <mergeCell ref="B132:C132"/>
    <mergeCell ref="D132:E132"/>
    <mergeCell ref="F132:G132"/>
    <mergeCell ref="J132:K132"/>
    <mergeCell ref="L132:M132"/>
    <mergeCell ref="B133:C133"/>
    <mergeCell ref="D133:E133"/>
    <mergeCell ref="F133:G133"/>
    <mergeCell ref="J133:K133"/>
    <mergeCell ref="L133:M133"/>
    <mergeCell ref="B134:C134"/>
    <mergeCell ref="D134:E134"/>
    <mergeCell ref="F134:G134"/>
    <mergeCell ref="J134:K134"/>
    <mergeCell ref="L134:M134"/>
    <mergeCell ref="B135:C135"/>
    <mergeCell ref="D135:E135"/>
    <mergeCell ref="F135:G135"/>
    <mergeCell ref="J135:K135"/>
    <mergeCell ref="L135:M135"/>
    <mergeCell ref="B136:C136"/>
    <mergeCell ref="D136:E136"/>
    <mergeCell ref="F136:G136"/>
    <mergeCell ref="J136:K136"/>
    <mergeCell ref="L136:M136"/>
    <mergeCell ref="B137:C137"/>
    <mergeCell ref="D137:E137"/>
    <mergeCell ref="F137:G137"/>
    <mergeCell ref="J137:K137"/>
    <mergeCell ref="L137:M137"/>
    <mergeCell ref="B138:C138"/>
    <mergeCell ref="D138:E138"/>
    <mergeCell ref="F138:G138"/>
    <mergeCell ref="J138:K138"/>
    <mergeCell ref="L138:M138"/>
    <mergeCell ref="J145:L145"/>
    <mergeCell ref="B152:M152"/>
    <mergeCell ref="AF103:AF104"/>
    <mergeCell ref="AG103:AG104"/>
    <mergeCell ref="J103:K104"/>
    <mergeCell ref="L103:M104"/>
    <mergeCell ref="B93:F99"/>
  </mergeCells>
  <dataValidations count="3">
    <dataValidation type="list" allowBlank="1" showInputMessage="1" showErrorMessage="1" sqref="AA105:AA138">
      <formula1>$L$17:$L$26</formula1>
    </dataValidation>
    <dataValidation type="list" allowBlank="1" showInputMessage="1" showErrorMessage="1" sqref="AC105:AC138">
      <formula1>$L$27:$L$39</formula1>
    </dataValidation>
    <dataValidation type="list" allowBlank="1" showInputMessage="1" showErrorMessage="1" sqref="AF105:AF138">
      <formula1>$L$40:$L$45</formula1>
    </dataValidation>
  </dataValidations>
  <pageMargins left="0.236220472440945" right="0.236220472440945" top="0.393700787401575" bottom="0.748031496062992" header="0.31496062992126" footer="0.31496062992126"/>
  <pageSetup paperSize="9" orientation="portrait"/>
  <headerFooter>
    <oddHeader>&amp;L&amp;G</oddHeader>
  </headerFooter>
  <drawing r:id="rId1"/>
  <legacyDrawing r:id="rId2"/>
  <legacyDrawingHF r:id="rId6"/>
  <mc:AlternateContent xmlns:mc="http://schemas.openxmlformats.org/markup-compatibility/2006">
    <mc:Choice Requires="x14">
      <controls>
        <mc:AlternateContent xmlns:mc="http://schemas.openxmlformats.org/markup-compatibility/2006">
          <mc:Choice Requires="x14">
            <control shapeId="22543" name="Button 15" r:id="rId3">
              <controlPr print="0" defaultSize="0">
                <anchor moveWithCells="1" sizeWithCells="1">
                  <from>
                    <xdr:col>10</xdr:col>
                    <xdr:colOff>15240</xdr:colOff>
                    <xdr:row>100</xdr:row>
                    <xdr:rowOff>60960</xdr:rowOff>
                  </from>
                  <to>
                    <xdr:col>12</xdr:col>
                    <xdr:colOff>281940</xdr:colOff>
                    <xdr:row>101</xdr:row>
                    <xdr:rowOff>114300</xdr:rowOff>
                  </to>
                </anchor>
              </controlPr>
            </control>
          </mc:Choice>
        </mc:AlternateContent>
        <mc:AlternateContent xmlns:mc="http://schemas.openxmlformats.org/markup-compatibility/2006">
          <mc:Choice Requires="x14">
            <control shapeId="22558" name="Button 30" r:id="rId4">
              <controlPr print="0" defaultSize="0">
                <anchor moveWithCells="1">
                  <from>
                    <xdr:col>22</xdr:col>
                    <xdr:colOff>182880</xdr:colOff>
                    <xdr:row>88</xdr:row>
                    <xdr:rowOff>53340</xdr:rowOff>
                  </from>
                  <to>
                    <xdr:col>25</xdr:col>
                    <xdr:colOff>38100</xdr:colOff>
                    <xdr:row>89</xdr:row>
                    <xdr:rowOff>129540</xdr:rowOff>
                  </to>
                </anchor>
              </controlPr>
            </control>
          </mc:Choice>
        </mc:AlternateContent>
        <mc:AlternateContent xmlns:mc="http://schemas.openxmlformats.org/markup-compatibility/2006">
          <mc:Choice Requires="x14">
            <control shapeId="22564" name="Button 36" r:id="rId5">
              <controlPr print="0" defaultSize="0">
                <anchor moveWithCells="1" sizeWithCells="1">
                  <from>
                    <xdr:col>34</xdr:col>
                    <xdr:colOff>228600</xdr:colOff>
                    <xdr:row>136</xdr:row>
                    <xdr:rowOff>38100</xdr:rowOff>
                  </from>
                  <to>
                    <xdr:col>36</xdr:col>
                    <xdr:colOff>243840</xdr:colOff>
                    <xdr:row>137</xdr:row>
                    <xdr:rowOff>91440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AB164"/>
  <sheetViews>
    <sheetView showGridLines="0" topLeftCell="I116" workbookViewId="0">
      <selection activeCell="X142" sqref="X142"/>
    </sheetView>
  </sheetViews>
  <sheetFormatPr defaultColWidth="9" defaultRowHeight="14.25"/>
  <cols>
    <col min="1" max="7" width="8.88333333333333" hidden="1" customWidth="1"/>
    <col min="8" max="8" width="14.8833333333333" hidden="1" customWidth="1"/>
    <col min="9" max="9" width="5.66666666666667" customWidth="1"/>
    <col min="10" max="13" width="6.775" customWidth="1"/>
    <col min="14" max="15" width="8.88333333333333" customWidth="1"/>
    <col min="16" max="16" width="10.775" customWidth="1"/>
    <col min="17" max="17" width="8.775" customWidth="1"/>
    <col min="18" max="18" width="10.775" customWidth="1"/>
    <col min="19" max="19" width="8.775" customWidth="1"/>
    <col min="20" max="20" width="5.33333333333333" customWidth="1"/>
    <col min="21" max="21" width="7.44166666666667" customWidth="1"/>
    <col min="22" max="16384" width="8.88333333333333"/>
  </cols>
  <sheetData>
    <row r="1" ht="15" hidden="1" customHeight="1" spans="1:28">
      <c r="A1" s="1" t="s">
        <v>13</v>
      </c>
      <c r="B1" s="1" t="s">
        <v>14</v>
      </c>
      <c r="C1" s="2"/>
      <c r="D1" t="s">
        <v>2</v>
      </c>
      <c r="E1">
        <v>1</v>
      </c>
      <c r="F1" t="str">
        <f>INDEX(D1:D2,E1,0)</f>
        <v>英文 English</v>
      </c>
      <c r="L1" s="47" t="s">
        <v>78</v>
      </c>
      <c r="M1" s="52" t="s">
        <v>1389</v>
      </c>
      <c r="N1" s="2" t="str">
        <f t="shared" ref="N1:N43" si="0">IF(Report_Language=$A$1,L1,M1)</f>
        <v>Obtaining shore tank(s) open sample</v>
      </c>
      <c r="Q1" s="109"/>
      <c r="R1" s="109"/>
      <c r="S1" s="109"/>
      <c r="T1" s="110"/>
      <c r="U1" s="111" t="s">
        <v>1390</v>
      </c>
      <c r="V1" s="111" t="s">
        <v>493</v>
      </c>
      <c r="W1" s="112"/>
      <c r="X1" s="109"/>
      <c r="Y1" s="109"/>
      <c r="Z1" s="109"/>
      <c r="AA1" s="109"/>
      <c r="AB1" s="109"/>
    </row>
    <row r="2" hidden="1" spans="1:28">
      <c r="A2" s="3" t="s">
        <v>80</v>
      </c>
      <c r="B2" s="14" t="s">
        <v>1391</v>
      </c>
      <c r="C2" s="2" t="str">
        <f t="shared" ref="C2:C33" si="1">IF(Report_Language=$A$1,A2,B2)</f>
        <v>JOB NO.:</v>
      </c>
      <c r="D2" t="s">
        <v>1</v>
      </c>
      <c r="E2">
        <v>2</v>
      </c>
      <c r="F2" t="str">
        <f>INDEX(D26:D27,E2,0)</f>
        <v>正式报告 Official Report</v>
      </c>
      <c r="L2" s="47" t="s">
        <v>82</v>
      </c>
      <c r="M2" s="52" t="s">
        <v>83</v>
      </c>
      <c r="N2" s="2" t="str">
        <f t="shared" si="0"/>
        <v>Perform shore tank(s) open measurent</v>
      </c>
      <c r="Q2" s="109"/>
      <c r="R2" s="109"/>
      <c r="S2" s="109"/>
      <c r="T2" s="110"/>
      <c r="U2" s="113"/>
      <c r="V2" s="113"/>
      <c r="W2" s="114"/>
      <c r="X2" s="109"/>
      <c r="Y2" s="109"/>
      <c r="Z2" s="109"/>
      <c r="AA2" s="109"/>
      <c r="AB2" s="109"/>
    </row>
    <row r="3" hidden="1" spans="1:28">
      <c r="A3" s="4" t="s">
        <v>84</v>
      </c>
      <c r="B3" s="4" t="s">
        <v>85</v>
      </c>
      <c r="C3" s="2" t="str">
        <f t="shared" si="1"/>
        <v>DATE OF REPORT:</v>
      </c>
      <c r="D3" s="5" t="s">
        <v>88</v>
      </c>
      <c r="E3">
        <v>2</v>
      </c>
      <c r="F3" t="str">
        <f>INDEX(D28:D31,E3,0)</f>
        <v>B--成品油 Refined Products</v>
      </c>
      <c r="G3" t="str">
        <f>LEFT(F3,1)</f>
        <v>B</v>
      </c>
      <c r="L3" s="47" t="s">
        <v>86</v>
      </c>
      <c r="M3" s="52" t="s">
        <v>87</v>
      </c>
      <c r="N3" s="2" t="str">
        <f t="shared" si="0"/>
        <v>Obtaining shore tank(s) close sample</v>
      </c>
      <c r="Q3" s="109"/>
      <c r="R3" s="109"/>
      <c r="S3" s="109"/>
      <c r="T3" s="110"/>
      <c r="U3" s="113"/>
      <c r="V3" s="113"/>
      <c r="W3" s="114"/>
      <c r="X3" s="109"/>
      <c r="Y3" s="109"/>
      <c r="Z3" s="109"/>
      <c r="AA3" s="109"/>
      <c r="AB3" s="109"/>
    </row>
    <row r="4" hidden="1" spans="1:28">
      <c r="A4" s="3" t="s">
        <v>20</v>
      </c>
      <c r="B4" s="3" t="s">
        <v>21</v>
      </c>
      <c r="C4" s="2" t="str">
        <f t="shared" si="1"/>
        <v>APPLICANT</v>
      </c>
      <c r="D4" s="5" t="s">
        <v>91</v>
      </c>
      <c r="E4">
        <v>5</v>
      </c>
      <c r="F4" t="str">
        <f>INDEX(D3:D20,E4,0)</f>
        <v>T-24A</v>
      </c>
      <c r="L4" s="47" t="s">
        <v>89</v>
      </c>
      <c r="M4" s="52" t="s">
        <v>90</v>
      </c>
      <c r="N4" s="2" t="str">
        <f t="shared" si="0"/>
        <v>Perform shore tank(s) close measurent</v>
      </c>
      <c r="Q4" s="109"/>
      <c r="R4" s="109"/>
      <c r="S4" s="109"/>
      <c r="T4" s="110"/>
      <c r="U4" s="113"/>
      <c r="V4" s="113"/>
      <c r="W4" s="114"/>
      <c r="X4" s="109"/>
      <c r="Y4" s="109"/>
      <c r="Z4" s="109"/>
      <c r="AA4" s="109"/>
      <c r="AB4" s="109"/>
    </row>
    <row r="5" hidden="1" spans="1:28">
      <c r="A5" s="4" t="s">
        <v>23</v>
      </c>
      <c r="B5" s="4" t="s">
        <v>24</v>
      </c>
      <c r="C5" s="2" t="str">
        <f t="shared" si="1"/>
        <v>CLIENT'S REF. NO.</v>
      </c>
      <c r="D5" s="5" t="s">
        <v>92</v>
      </c>
      <c r="E5">
        <v>2</v>
      </c>
      <c r="F5">
        <f>INDEX(D23:D25,E5,0)</f>
        <v>1980</v>
      </c>
      <c r="L5" s="47"/>
      <c r="M5" s="47"/>
      <c r="N5" s="2">
        <f t="shared" si="0"/>
        <v>0</v>
      </c>
      <c r="Q5" s="109"/>
      <c r="R5" s="109"/>
      <c r="S5" s="109"/>
      <c r="T5" s="110"/>
      <c r="U5" s="113"/>
      <c r="V5" s="113"/>
      <c r="W5" s="114"/>
      <c r="X5" s="109"/>
      <c r="Y5" s="109"/>
      <c r="Z5" s="109"/>
      <c r="AA5" s="109"/>
      <c r="AB5" s="109"/>
    </row>
    <row r="6" hidden="1" spans="1:28">
      <c r="A6" s="3" t="s">
        <v>25</v>
      </c>
      <c r="B6" s="3" t="s">
        <v>26</v>
      </c>
      <c r="C6" s="2" t="str">
        <f t="shared" si="1"/>
        <v>COMMODITY</v>
      </c>
      <c r="D6" s="5" t="s">
        <v>95</v>
      </c>
      <c r="E6">
        <v>2</v>
      </c>
      <c r="F6" t="str">
        <f>INDEX(D21:D22,E6,0)</f>
        <v>API MPMS 11.5 (2013)</v>
      </c>
      <c r="L6" s="55" t="s">
        <v>93</v>
      </c>
      <c r="M6" s="56" t="s">
        <v>94</v>
      </c>
      <c r="N6" s="2" t="str">
        <f t="shared" si="0"/>
        <v>End of sea passage</v>
      </c>
      <c r="Q6" s="109"/>
      <c r="R6" s="109"/>
      <c r="S6" s="109"/>
      <c r="T6" s="110"/>
      <c r="U6" s="113"/>
      <c r="V6" s="113"/>
      <c r="W6" s="114"/>
      <c r="X6" s="109"/>
      <c r="Y6" s="109"/>
      <c r="Z6" s="109"/>
      <c r="AA6" s="109"/>
      <c r="AB6" s="109"/>
    </row>
    <row r="7" hidden="1" spans="1:28">
      <c r="A7" s="4" t="s">
        <v>28</v>
      </c>
      <c r="B7" s="4" t="s">
        <v>29</v>
      </c>
      <c r="C7" s="2" t="str">
        <f t="shared" si="1"/>
        <v>VESSEL</v>
      </c>
      <c r="D7" s="5" t="s">
        <v>98</v>
      </c>
      <c r="E7">
        <v>4</v>
      </c>
      <c r="F7" t="str">
        <f>IF(E7=1,"Den15",IF(E7=2,"Den20",IF(E7=3,"API","SG")))</f>
        <v>SG</v>
      </c>
      <c r="L7" s="55" t="s">
        <v>96</v>
      </c>
      <c r="M7" s="55" t="s">
        <v>97</v>
      </c>
      <c r="N7" s="2" t="str">
        <f t="shared" si="0"/>
        <v>Notice of readiness tendered</v>
      </c>
      <c r="Q7" s="109"/>
      <c r="R7" s="109"/>
      <c r="S7" s="109"/>
      <c r="T7" s="110"/>
      <c r="U7" s="113"/>
      <c r="V7" s="113"/>
      <c r="W7" s="114"/>
      <c r="X7" s="109"/>
      <c r="Y7" s="109"/>
      <c r="Z7" s="109"/>
      <c r="AA7" s="109"/>
      <c r="AB7" s="109"/>
    </row>
    <row r="8" hidden="1" spans="1:28">
      <c r="A8" s="3" t="s">
        <v>31</v>
      </c>
      <c r="B8" s="3" t="s">
        <v>32</v>
      </c>
      <c r="C8" s="2" t="str">
        <f t="shared" si="1"/>
        <v>PORT</v>
      </c>
      <c r="D8" s="5" t="s">
        <v>101</v>
      </c>
      <c r="E8">
        <v>1</v>
      </c>
      <c r="F8" t="str">
        <f>INDEX(D32:D33,E8,0)</f>
        <v>Discharge</v>
      </c>
      <c r="L8" s="55" t="s">
        <v>99</v>
      </c>
      <c r="M8" s="55" t="s">
        <v>100</v>
      </c>
      <c r="N8" s="2" t="str">
        <f t="shared" si="0"/>
        <v>Notice of readiness accepted</v>
      </c>
      <c r="Q8" s="109"/>
      <c r="R8" s="109"/>
      <c r="S8" s="109"/>
      <c r="T8" s="110"/>
      <c r="U8" s="113"/>
      <c r="V8" s="113"/>
      <c r="W8" s="114"/>
      <c r="X8" s="109"/>
      <c r="Y8" s="109"/>
      <c r="Z8" s="109"/>
      <c r="AA8" s="109"/>
      <c r="AB8" s="109"/>
    </row>
    <row r="9" hidden="1" spans="1:28">
      <c r="A9" s="6" t="s">
        <v>34</v>
      </c>
      <c r="B9" s="4" t="s">
        <v>35</v>
      </c>
      <c r="C9" s="2" t="str">
        <f t="shared" si="1"/>
        <v>TERMINAL</v>
      </c>
      <c r="D9" s="5" t="s">
        <v>104</v>
      </c>
      <c r="L9" s="55" t="s">
        <v>102</v>
      </c>
      <c r="M9" s="55" t="s">
        <v>103</v>
      </c>
      <c r="N9" s="2" t="str">
        <f t="shared" si="0"/>
        <v>Pilot on board</v>
      </c>
      <c r="Q9" s="109"/>
      <c r="R9" s="109"/>
      <c r="S9" s="109"/>
      <c r="T9" s="110"/>
      <c r="U9" s="113"/>
      <c r="V9" s="113"/>
      <c r="W9" s="114"/>
      <c r="X9" s="109"/>
      <c r="Y9" s="109"/>
      <c r="Z9" s="109"/>
      <c r="AA9" s="109"/>
      <c r="AB9" s="109"/>
    </row>
    <row r="10" ht="15" hidden="1" customHeight="1" spans="1:28">
      <c r="A10" s="4" t="s">
        <v>36</v>
      </c>
      <c r="B10" s="4" t="s">
        <v>37</v>
      </c>
      <c r="C10" s="2" t="str">
        <f t="shared" si="1"/>
        <v>DATE OF INSPECTION</v>
      </c>
      <c r="D10" s="5" t="s">
        <v>107</v>
      </c>
      <c r="L10" s="55" t="s">
        <v>105</v>
      </c>
      <c r="M10" s="57" t="s">
        <v>106</v>
      </c>
      <c r="N10" s="2" t="str">
        <f t="shared" si="0"/>
        <v>First line ashore</v>
      </c>
      <c r="Q10" s="109"/>
      <c r="R10" s="109"/>
      <c r="S10" s="109"/>
      <c r="T10" s="110"/>
      <c r="U10" s="113"/>
      <c r="V10" s="113"/>
      <c r="W10" s="114"/>
      <c r="X10" s="109"/>
      <c r="Y10" s="109"/>
      <c r="Z10" s="109"/>
      <c r="AA10" s="109"/>
      <c r="AB10" s="109"/>
    </row>
    <row r="11" hidden="1" spans="1:28">
      <c r="A11" s="7" t="s">
        <v>44</v>
      </c>
      <c r="B11" s="2" t="str">
        <f>A11</f>
        <v>SG0020031202-I</v>
      </c>
      <c r="C11" s="2" t="s">
        <v>45</v>
      </c>
      <c r="D11" s="5" t="s">
        <v>110</v>
      </c>
      <c r="L11" s="47" t="s">
        <v>108</v>
      </c>
      <c r="M11" s="58" t="s">
        <v>109</v>
      </c>
      <c r="N11" s="2" t="str">
        <f t="shared" si="0"/>
        <v>Docked (Gangway in place)</v>
      </c>
      <c r="Q11" s="109"/>
      <c r="R11" s="109"/>
      <c r="S11" s="109"/>
      <c r="T11" s="110"/>
      <c r="U11" s="113"/>
      <c r="V11" s="113"/>
      <c r="W11" s="114"/>
      <c r="X11" s="109"/>
      <c r="Y11" s="109"/>
      <c r="Z11" s="109"/>
      <c r="AA11" s="109"/>
      <c r="AB11" s="109"/>
    </row>
    <row r="12" hidden="1" spans="1:28">
      <c r="A12" s="8" t="s">
        <v>46</v>
      </c>
      <c r="B12" s="2" t="str">
        <f>A12</f>
        <v>YYYY-MM-DD</v>
      </c>
      <c r="C12" s="2" t="s">
        <v>46</v>
      </c>
      <c r="D12" s="5" t="s">
        <v>113</v>
      </c>
      <c r="L12" s="47" t="s">
        <v>111</v>
      </c>
      <c r="M12" s="47" t="s">
        <v>112</v>
      </c>
      <c r="N12" s="2" t="str">
        <f t="shared" si="0"/>
        <v>All fast</v>
      </c>
      <c r="Q12" s="109"/>
      <c r="R12" s="109"/>
      <c r="S12" s="109"/>
      <c r="T12" s="110"/>
      <c r="U12" s="113"/>
      <c r="V12" s="113"/>
      <c r="W12" s="114"/>
      <c r="X12" s="109"/>
      <c r="Y12" s="109"/>
      <c r="Z12" s="109"/>
      <c r="AA12" s="109"/>
      <c r="AB12" s="109"/>
    </row>
    <row r="13" hidden="1" spans="1:28">
      <c r="A13" s="7" t="s">
        <v>48</v>
      </c>
      <c r="B13" s="9" t="s">
        <v>49</v>
      </c>
      <c r="C13" s="2" t="str">
        <f t="shared" si="1"/>
        <v>PETROCHINA </v>
      </c>
      <c r="D13" s="5" t="s">
        <v>116</v>
      </c>
      <c r="L13" s="55" t="s">
        <v>114</v>
      </c>
      <c r="M13" s="58" t="s">
        <v>115</v>
      </c>
      <c r="N13" s="2" t="str">
        <f t="shared" si="0"/>
        <v>Vessel cleared by governmental official</v>
      </c>
      <c r="Q13" s="109"/>
      <c r="R13" s="109"/>
      <c r="S13" s="109"/>
      <c r="T13" s="110"/>
      <c r="U13" s="113"/>
      <c r="V13" s="113"/>
      <c r="W13" s="114"/>
      <c r="X13" s="109"/>
      <c r="Y13" s="109"/>
      <c r="Z13" s="109"/>
      <c r="AA13" s="109"/>
      <c r="AB13" s="109"/>
    </row>
    <row r="14" hidden="1" spans="1:28">
      <c r="A14" s="7" t="s">
        <v>50</v>
      </c>
      <c r="B14" s="7" t="s">
        <v>117</v>
      </c>
      <c r="C14" s="2" t="s">
        <v>51</v>
      </c>
      <c r="D14" s="5" t="s">
        <v>120</v>
      </c>
      <c r="L14" s="47" t="s">
        <v>118</v>
      </c>
      <c r="M14" s="52" t="s">
        <v>119</v>
      </c>
      <c r="N14" s="2" t="str">
        <f t="shared" si="0"/>
        <v>Surveyor on board</v>
      </c>
      <c r="Q14" s="109"/>
      <c r="R14" s="109"/>
      <c r="S14" s="109"/>
      <c r="T14" s="110"/>
      <c r="U14" s="113"/>
      <c r="V14" s="113"/>
      <c r="W14" s="114"/>
      <c r="X14" s="109"/>
      <c r="Y14" s="109"/>
      <c r="Z14" s="109"/>
      <c r="AA14" s="109"/>
      <c r="AB14" s="109"/>
    </row>
    <row r="15" hidden="1" spans="1:28">
      <c r="A15" s="7" t="s">
        <v>52</v>
      </c>
      <c r="B15" s="9" t="s">
        <v>53</v>
      </c>
      <c r="C15" s="2" t="str">
        <f t="shared" si="1"/>
        <v>Crude Oil6658</v>
      </c>
      <c r="D15" s="5" t="s">
        <v>123</v>
      </c>
      <c r="L15" s="47" t="s">
        <v>121</v>
      </c>
      <c r="M15" s="52" t="s">
        <v>122</v>
      </c>
      <c r="N15" s="2" t="str">
        <f t="shared" si="0"/>
        <v>Key meeting held</v>
      </c>
      <c r="Q15" s="109"/>
      <c r="R15" s="109"/>
      <c r="S15" s="109"/>
      <c r="T15" s="110"/>
      <c r="U15" s="113"/>
      <c r="V15" s="113"/>
      <c r="W15" s="114"/>
      <c r="X15" s="109"/>
      <c r="Y15" s="109"/>
      <c r="Z15" s="109"/>
      <c r="AA15" s="109"/>
      <c r="AB15" s="109"/>
    </row>
    <row r="16" hidden="1" spans="1:28">
      <c r="A16" s="7" t="s">
        <v>54</v>
      </c>
      <c r="B16" s="2" t="s">
        <v>55</v>
      </c>
      <c r="C16" s="2" t="str">
        <f t="shared" si="1"/>
        <v>MT ZhenYuanefdasdf</v>
      </c>
      <c r="D16" s="5" t="s">
        <v>126</v>
      </c>
      <c r="L16" s="47" t="s">
        <v>124</v>
      </c>
      <c r="M16" s="52" t="s">
        <v>125</v>
      </c>
      <c r="N16" s="2" t="str">
        <f t="shared" si="0"/>
        <v>Vessel tanks sampling</v>
      </c>
      <c r="Q16" s="109"/>
      <c r="R16" s="109"/>
      <c r="S16" s="109"/>
      <c r="T16" s="110"/>
      <c r="U16" s="113"/>
      <c r="V16" s="113"/>
      <c r="W16" s="114"/>
      <c r="X16" s="109"/>
      <c r="Y16" s="109"/>
      <c r="Z16" s="109"/>
      <c r="AA16" s="109"/>
      <c r="AB16" s="109"/>
    </row>
    <row r="17" ht="15.6" hidden="1" customHeight="1" spans="1:28">
      <c r="A17" s="7" t="s">
        <v>56</v>
      </c>
      <c r="B17" s="9" t="s">
        <v>57</v>
      </c>
      <c r="C17" s="2" t="str">
        <f t="shared" si="1"/>
        <v>Dalian, Chinafsadfa</v>
      </c>
      <c r="D17" s="5" t="s">
        <v>129</v>
      </c>
      <c r="L17" s="47" t="s">
        <v>127</v>
      </c>
      <c r="M17" s="52" t="s">
        <v>128</v>
      </c>
      <c r="N17" s="2" t="str">
        <f t="shared" si="0"/>
        <v>Vessel tanks measurement</v>
      </c>
      <c r="Q17" s="109"/>
      <c r="R17" s="109"/>
      <c r="S17" s="109"/>
      <c r="T17" s="110"/>
      <c r="U17" s="113"/>
      <c r="V17" s="113"/>
      <c r="W17" s="114"/>
      <c r="X17" s="109"/>
      <c r="Y17" s="109"/>
      <c r="Z17" s="109"/>
      <c r="AA17" s="109"/>
      <c r="AB17" s="109"/>
    </row>
    <row r="18" hidden="1" spans="1:28">
      <c r="A18" s="7" t="s">
        <v>58</v>
      </c>
      <c r="B18" s="9" t="s">
        <v>59</v>
      </c>
      <c r="C18" s="2" t="str">
        <f t="shared" si="1"/>
        <v>Dalian Chinaoil, China1325415</v>
      </c>
      <c r="D18" s="5" t="s">
        <v>132</v>
      </c>
      <c r="L18" s="47" t="s">
        <v>130</v>
      </c>
      <c r="M18" s="52" t="s">
        <v>131</v>
      </c>
      <c r="N18" s="2" t="str">
        <f t="shared" si="0"/>
        <v>Calculation and figures agreed</v>
      </c>
      <c r="Q18" s="109"/>
      <c r="R18" s="109"/>
      <c r="S18" s="109"/>
      <c r="T18" s="110"/>
      <c r="U18" s="113"/>
      <c r="V18" s="113"/>
      <c r="W18" s="114"/>
      <c r="X18" s="109"/>
      <c r="Y18" s="109"/>
      <c r="Z18" s="109"/>
      <c r="AA18" s="109"/>
      <c r="AB18" s="109"/>
    </row>
    <row r="19" hidden="1" spans="1:28">
      <c r="A19" s="10" t="s">
        <v>133</v>
      </c>
      <c r="B19" s="11" t="str">
        <f>A19</f>
        <v>YYYY-MM-DD -- YYYY-MM-DD</v>
      </c>
      <c r="C19" s="2" t="s">
        <v>60</v>
      </c>
      <c r="D19" s="12" t="s">
        <v>136</v>
      </c>
      <c r="L19" s="47" t="s">
        <v>1392</v>
      </c>
      <c r="M19" s="47" t="s">
        <v>1393</v>
      </c>
      <c r="N19" s="2" t="str">
        <f t="shared" si="0"/>
        <v>       Arms/          Hoses connecting</v>
      </c>
      <c r="Q19" s="109"/>
      <c r="R19" s="109"/>
      <c r="S19" s="109"/>
      <c r="T19" s="110"/>
      <c r="U19" s="113"/>
      <c r="V19" s="113"/>
      <c r="W19" s="114"/>
      <c r="X19" s="109"/>
      <c r="Y19" s="109"/>
      <c r="Z19" s="109"/>
      <c r="AA19" s="109"/>
      <c r="AB19" s="109"/>
    </row>
    <row r="20" hidden="1" spans="1:28">
      <c r="A20" s="13" t="s">
        <v>137</v>
      </c>
      <c r="B20" s="13" t="s">
        <v>138</v>
      </c>
      <c r="C20" s="2" t="str">
        <f t="shared" si="1"/>
        <v>Density@15℃ (g/cm³)</v>
      </c>
      <c r="D20" s="5" t="s">
        <v>141</v>
      </c>
      <c r="L20" s="47" t="s">
        <v>139</v>
      </c>
      <c r="M20" s="52" t="s">
        <v>140</v>
      </c>
      <c r="N20" s="2" t="str">
        <f t="shared" si="0"/>
        <v>Samples analysis passed</v>
      </c>
      <c r="Q20" s="109"/>
      <c r="R20" s="109"/>
      <c r="S20" s="109"/>
      <c r="T20" s="110"/>
      <c r="U20" s="113"/>
      <c r="V20" s="113"/>
      <c r="W20" s="114"/>
      <c r="X20" s="109"/>
      <c r="Y20" s="109"/>
      <c r="Z20" s="109"/>
      <c r="AA20" s="109"/>
      <c r="AB20" s="109"/>
    </row>
    <row r="21" hidden="1" spans="1:28">
      <c r="A21" s="14" t="s">
        <v>142</v>
      </c>
      <c r="B21" s="14" t="s">
        <v>143</v>
      </c>
      <c r="C21" s="2" t="str">
        <f t="shared" si="1"/>
        <v>Density@20℃ (g/cm³)</v>
      </c>
      <c r="D21" s="5" t="s">
        <v>5</v>
      </c>
      <c r="L21" s="47" t="s">
        <v>144</v>
      </c>
      <c r="M21" s="52" t="s">
        <v>145</v>
      </c>
      <c r="N21" s="2" t="str">
        <f t="shared" si="0"/>
        <v>Commenced discharge</v>
      </c>
      <c r="Q21" s="109"/>
      <c r="R21" s="109"/>
      <c r="S21" s="109"/>
      <c r="T21" s="110"/>
      <c r="U21" s="113"/>
      <c r="V21" s="113"/>
      <c r="W21" s="114"/>
      <c r="X21" s="109"/>
      <c r="Y21" s="109"/>
      <c r="Z21" s="109"/>
      <c r="AA21" s="109"/>
      <c r="AB21" s="109"/>
    </row>
    <row r="22" ht="15" hidden="1" customHeight="1" spans="1:28">
      <c r="A22" s="13" t="s">
        <v>146</v>
      </c>
      <c r="B22" s="13" t="s">
        <v>146</v>
      </c>
      <c r="C22" s="2" t="str">
        <f t="shared" si="1"/>
        <v>API@60℉</v>
      </c>
      <c r="D22" s="5" t="s">
        <v>6</v>
      </c>
      <c r="L22" s="47" t="s">
        <v>147</v>
      </c>
      <c r="M22" s="52" t="s">
        <v>148</v>
      </c>
      <c r="N22" s="2" t="str">
        <f t="shared" si="0"/>
        <v>Suspended discharge for line displacement verification</v>
      </c>
      <c r="Q22" s="109"/>
      <c r="R22" s="109"/>
      <c r="S22" s="109"/>
      <c r="T22" s="110"/>
      <c r="U22" s="113"/>
      <c r="V22" s="113"/>
      <c r="W22" s="114"/>
      <c r="X22" s="109"/>
      <c r="Y22" s="109"/>
      <c r="Z22" s="109"/>
      <c r="AA22" s="109"/>
      <c r="AB22" s="109"/>
    </row>
    <row r="23" hidden="1" spans="1:28">
      <c r="A23" s="14" t="s">
        <v>149</v>
      </c>
      <c r="B23" s="14" t="s">
        <v>150</v>
      </c>
      <c r="C23" s="2" t="str">
        <f t="shared" si="1"/>
        <v>S.G.@60℉/60℉</v>
      </c>
      <c r="D23" s="12">
        <v>1952</v>
      </c>
      <c r="L23" s="47" t="s">
        <v>151</v>
      </c>
      <c r="M23" s="52" t="s">
        <v>152</v>
      </c>
      <c r="N23" s="2" t="str">
        <f t="shared" si="0"/>
        <v>Resumed discharge</v>
      </c>
      <c r="Q23" s="109"/>
      <c r="R23" s="109"/>
      <c r="S23" s="109"/>
      <c r="T23" s="110"/>
      <c r="U23" s="113"/>
      <c r="V23" s="113"/>
      <c r="W23" s="114"/>
      <c r="X23" s="109"/>
      <c r="Y23" s="109"/>
      <c r="Z23" s="109"/>
      <c r="AA23" s="109"/>
      <c r="AB23" s="109"/>
    </row>
    <row r="24" hidden="1" spans="1:28">
      <c r="A24" s="15" t="s">
        <v>153</v>
      </c>
      <c r="B24" s="15" t="s">
        <v>154</v>
      </c>
      <c r="C24" s="2" t="str">
        <f t="shared" si="1"/>
        <v>α60℉ (1/℉)</v>
      </c>
      <c r="D24" s="12">
        <v>1980</v>
      </c>
      <c r="L24" s="47" t="s">
        <v>155</v>
      </c>
      <c r="M24" s="52" t="s">
        <v>156</v>
      </c>
      <c r="N24" s="2" t="str">
        <f t="shared" si="0"/>
        <v>Completed discharge</v>
      </c>
      <c r="Q24" s="109"/>
      <c r="R24" s="109"/>
      <c r="S24" s="109"/>
      <c r="T24" s="110"/>
      <c r="U24" s="113"/>
      <c r="V24" s="113"/>
      <c r="W24" s="114"/>
      <c r="X24" s="109"/>
      <c r="Y24" s="109"/>
      <c r="Z24" s="109"/>
      <c r="AA24" s="109"/>
      <c r="AB24" s="109"/>
    </row>
    <row r="25" hidden="1" spans="1:28">
      <c r="A25" s="15" t="s">
        <v>157</v>
      </c>
      <c r="B25" s="15" t="s">
        <v>158</v>
      </c>
      <c r="C25" s="2" t="str">
        <f t="shared" si="1"/>
        <v>α60℉ (1/℃)</v>
      </c>
      <c r="D25" s="12">
        <v>2004</v>
      </c>
      <c r="L25" s="47" t="s">
        <v>159</v>
      </c>
      <c r="M25" s="52" t="s">
        <v>160</v>
      </c>
      <c r="N25" s="2" t="str">
        <f t="shared" si="0"/>
        <v>Vessel tanks inspection</v>
      </c>
      <c r="Q25" s="109"/>
      <c r="R25" s="109"/>
      <c r="S25" s="109"/>
      <c r="T25" s="110"/>
      <c r="U25" s="113"/>
      <c r="V25" s="113"/>
      <c r="W25" s="114"/>
      <c r="X25" s="109"/>
      <c r="Y25" s="109"/>
      <c r="Z25" s="109"/>
      <c r="AA25" s="109"/>
      <c r="AB25" s="109"/>
    </row>
    <row r="26" hidden="1" spans="1:28">
      <c r="A26" s="14" t="s">
        <v>161</v>
      </c>
      <c r="B26" s="14" t="s">
        <v>162</v>
      </c>
      <c r="C26" s="2" t="str">
        <f t="shared" si="1"/>
        <v>Density@15℃ (kg/m³)</v>
      </c>
      <c r="D26" s="16" t="s">
        <v>165</v>
      </c>
      <c r="L26" s="47" t="s">
        <v>1394</v>
      </c>
      <c r="M26" s="47" t="s">
        <v>164</v>
      </c>
      <c r="N26" s="2" t="str">
        <f t="shared" si="0"/>
        <v>       Arms/          Hoses disconnecting</v>
      </c>
      <c r="Q26" s="109"/>
      <c r="R26" s="109"/>
      <c r="S26" s="109"/>
      <c r="T26" s="110"/>
      <c r="U26" s="113"/>
      <c r="V26" s="113"/>
      <c r="W26" s="114"/>
      <c r="X26" s="109"/>
      <c r="Y26" s="109"/>
      <c r="Z26" s="109"/>
      <c r="AA26" s="109"/>
      <c r="AB26" s="109"/>
    </row>
    <row r="27" hidden="1" spans="1:28">
      <c r="A27" s="13" t="s">
        <v>167</v>
      </c>
      <c r="B27" s="13" t="s">
        <v>168</v>
      </c>
      <c r="C27" s="2" t="str">
        <f t="shared" si="1"/>
        <v>Density@20℃ (kg/m³)</v>
      </c>
      <c r="D27" s="16" t="s">
        <v>171</v>
      </c>
      <c r="L27" s="55" t="s">
        <v>169</v>
      </c>
      <c r="M27" s="58" t="s">
        <v>170</v>
      </c>
      <c r="N27" s="2" t="str">
        <f t="shared" si="0"/>
        <v>Filling out documents and sign</v>
      </c>
      <c r="Q27" s="109"/>
      <c r="R27" s="109"/>
      <c r="S27" s="109"/>
      <c r="T27" s="115"/>
      <c r="U27" s="113"/>
      <c r="V27" s="113"/>
      <c r="W27" s="114"/>
      <c r="X27" s="109"/>
      <c r="Y27" s="109"/>
      <c r="Z27" s="109"/>
      <c r="AA27" s="109"/>
      <c r="AB27" s="109"/>
    </row>
    <row r="28" hidden="1" spans="1:28">
      <c r="A28" s="14" t="s">
        <v>146</v>
      </c>
      <c r="B28" s="14" t="s">
        <v>173</v>
      </c>
      <c r="C28" s="2" t="str">
        <f t="shared" si="1"/>
        <v>API@60℉</v>
      </c>
      <c r="D28" s="5" t="s">
        <v>7</v>
      </c>
      <c r="L28" s="47" t="s">
        <v>174</v>
      </c>
      <c r="M28" s="52" t="s">
        <v>175</v>
      </c>
      <c r="N28" s="2" t="str">
        <f t="shared" si="0"/>
        <v>Commenced load</v>
      </c>
      <c r="Q28" s="109"/>
      <c r="R28" s="109"/>
      <c r="S28" s="109"/>
      <c r="T28" s="115"/>
      <c r="U28" s="113"/>
      <c r="V28" s="113"/>
      <c r="W28" s="114"/>
      <c r="X28" s="109"/>
      <c r="Y28" s="109"/>
      <c r="Z28" s="109"/>
      <c r="AA28" s="109"/>
      <c r="AB28" s="109"/>
    </row>
    <row r="29" ht="15" hidden="1" customHeight="1" spans="1:28">
      <c r="A29" s="13" t="s">
        <v>149</v>
      </c>
      <c r="B29" s="13" t="s">
        <v>177</v>
      </c>
      <c r="C29" s="2" t="str">
        <f t="shared" si="1"/>
        <v>S.G.@60℉/60℉</v>
      </c>
      <c r="D29" s="5" t="s">
        <v>8</v>
      </c>
      <c r="L29" s="47" t="s">
        <v>178</v>
      </c>
      <c r="M29" s="52" t="s">
        <v>179</v>
      </c>
      <c r="N29" s="2" t="str">
        <f t="shared" si="0"/>
        <v>1st foot sampling</v>
      </c>
      <c r="Q29" s="109"/>
      <c r="R29" s="109"/>
      <c r="S29" s="109"/>
      <c r="T29" s="110"/>
      <c r="U29" s="113"/>
      <c r="V29" s="113"/>
      <c r="W29" s="114"/>
      <c r="X29" s="109"/>
      <c r="Y29" s="109"/>
      <c r="Z29" s="109"/>
      <c r="AA29" s="109"/>
      <c r="AB29" s="109"/>
    </row>
    <row r="30" hidden="1" spans="1:28">
      <c r="A30" s="17" t="s">
        <v>181</v>
      </c>
      <c r="B30" s="18" t="s">
        <v>182</v>
      </c>
      <c r="C30" s="2" t="str">
        <f t="shared" si="1"/>
        <v>WCF MT(in air)/m³@15℃ [T-56]</v>
      </c>
      <c r="D30" s="5" t="s">
        <v>11</v>
      </c>
      <c r="L30" s="47" t="s">
        <v>183</v>
      </c>
      <c r="M30" s="52" t="s">
        <v>184</v>
      </c>
      <c r="N30" s="2" t="str">
        <f t="shared" si="0"/>
        <v>1st foot samples analysis passed</v>
      </c>
      <c r="Q30" s="109"/>
      <c r="R30" s="109"/>
      <c r="S30" s="109"/>
      <c r="T30" s="110"/>
      <c r="U30" s="113"/>
      <c r="V30" s="113"/>
      <c r="W30" s="114"/>
      <c r="X30" s="109"/>
      <c r="Y30" s="109"/>
      <c r="Z30" s="109"/>
      <c r="AA30" s="109"/>
      <c r="AB30" s="109"/>
    </row>
    <row r="31" hidden="1" spans="1:23">
      <c r="A31" s="17" t="s">
        <v>186</v>
      </c>
      <c r="B31" s="18" t="s">
        <v>187</v>
      </c>
      <c r="C31" s="2" t="str">
        <f t="shared" si="1"/>
        <v>WCF MT(in air)/m³@15℃</v>
      </c>
      <c r="D31" s="5" t="s">
        <v>12</v>
      </c>
      <c r="L31" s="47" t="s">
        <v>188</v>
      </c>
      <c r="M31" s="52" t="s">
        <v>189</v>
      </c>
      <c r="N31" s="2" t="str">
        <f t="shared" si="0"/>
        <v>Suspended load for line displacement verification</v>
      </c>
      <c r="T31" s="25"/>
      <c r="U31" s="28"/>
      <c r="V31" s="28"/>
      <c r="W31" s="29"/>
    </row>
    <row r="32" hidden="1" spans="1:23">
      <c r="A32" s="17" t="s">
        <v>191</v>
      </c>
      <c r="B32" s="18" t="s">
        <v>192</v>
      </c>
      <c r="C32" s="2" t="str">
        <f t="shared" si="1"/>
        <v>WCF MT(in air)/m³@20℃</v>
      </c>
      <c r="D32" s="12" t="s">
        <v>1395</v>
      </c>
      <c r="L32" s="47" t="s">
        <v>193</v>
      </c>
      <c r="M32" s="52" t="s">
        <v>194</v>
      </c>
      <c r="N32" s="2" t="str">
        <f t="shared" si="0"/>
        <v>Resumed load</v>
      </c>
      <c r="T32" s="25"/>
      <c r="U32" s="28"/>
      <c r="V32" s="28"/>
      <c r="W32" s="29"/>
    </row>
    <row r="33" hidden="1" spans="1:23">
      <c r="A33" s="19" t="s">
        <v>196</v>
      </c>
      <c r="B33" s="20" t="s">
        <v>197</v>
      </c>
      <c r="C33" s="2" t="str">
        <f t="shared" si="1"/>
        <v>MT/LT [T-1] </v>
      </c>
      <c r="D33" s="12" t="s">
        <v>1396</v>
      </c>
      <c r="L33" s="47" t="s">
        <v>198</v>
      </c>
      <c r="M33" s="52" t="s">
        <v>199</v>
      </c>
      <c r="N33" s="2" t="str">
        <f t="shared" si="0"/>
        <v>Completed load</v>
      </c>
      <c r="T33" s="25"/>
      <c r="U33" s="28"/>
      <c r="V33" s="28"/>
      <c r="W33" s="29"/>
    </row>
    <row r="34" hidden="1" spans="1:23">
      <c r="A34" s="19" t="s">
        <v>201</v>
      </c>
      <c r="B34" s="21" t="s">
        <v>202</v>
      </c>
      <c r="C34" s="2" t="str">
        <f t="shared" ref="C34:C65" si="2">IF(Report_Language=$A$1,A34,B34)</f>
        <v>MT/LT</v>
      </c>
      <c r="L34" s="47" t="s">
        <v>203</v>
      </c>
      <c r="M34" s="52" t="s">
        <v>204</v>
      </c>
      <c r="N34" s="2" t="str">
        <f t="shared" si="0"/>
        <v>Estimated sailing time</v>
      </c>
      <c r="T34" s="25"/>
      <c r="U34" s="28"/>
      <c r="V34" s="28"/>
      <c r="W34" s="29"/>
    </row>
    <row r="35" hidden="1" spans="1:23">
      <c r="A35" s="17" t="s">
        <v>206</v>
      </c>
      <c r="B35" s="18" t="s">
        <v>207</v>
      </c>
      <c r="C35" s="2" t="str">
        <f t="shared" si="2"/>
        <v>WCF MT(in air)/bbls@60℉ [T-13]</v>
      </c>
      <c r="L35" s="47" t="s">
        <v>208</v>
      </c>
      <c r="M35" s="52" t="s">
        <v>209</v>
      </c>
      <c r="N35" s="2" t="str">
        <f t="shared" si="0"/>
        <v>Date</v>
      </c>
      <c r="T35" s="25"/>
      <c r="U35" s="28"/>
      <c r="V35" s="28"/>
      <c r="W35" s="29"/>
    </row>
    <row r="36" hidden="1" spans="1:23">
      <c r="A36" s="17" t="s">
        <v>210</v>
      </c>
      <c r="B36" s="18" t="s">
        <v>211</v>
      </c>
      <c r="C36" s="2" t="str">
        <f t="shared" si="2"/>
        <v>WCF MT(in air)/bbls@60℉</v>
      </c>
      <c r="L36" s="47" t="s">
        <v>212</v>
      </c>
      <c r="M36" s="52" t="s">
        <v>213</v>
      </c>
      <c r="N36" s="2" t="str">
        <f t="shared" si="0"/>
        <v>Time</v>
      </c>
      <c r="T36" s="25"/>
      <c r="U36" s="28"/>
      <c r="V36" s="28"/>
      <c r="W36" s="29"/>
    </row>
    <row r="37" hidden="1" spans="1:23">
      <c r="A37" s="14" t="s">
        <v>214</v>
      </c>
      <c r="B37" s="14" t="s">
        <v>215</v>
      </c>
      <c r="C37" s="2" t="str">
        <f t="shared" si="2"/>
        <v>Density@15℃ MT(Vacuo)/m³</v>
      </c>
      <c r="L37" s="47" t="s">
        <v>216</v>
      </c>
      <c r="M37" s="52" t="s">
        <v>217</v>
      </c>
      <c r="N37" s="2" t="str">
        <f t="shared" si="0"/>
        <v>FROM</v>
      </c>
      <c r="T37" s="25"/>
      <c r="U37" s="28"/>
      <c r="V37" s="28"/>
      <c r="W37" s="29"/>
    </row>
    <row r="38" hidden="1" spans="1:23">
      <c r="A38" s="14" t="s">
        <v>218</v>
      </c>
      <c r="B38" s="14" t="s">
        <v>219</v>
      </c>
      <c r="C38" s="2" t="str">
        <f t="shared" si="2"/>
        <v>Density@20℃ MT(Vacuo)/m³</v>
      </c>
      <c r="L38" s="47" t="s">
        <v>220</v>
      </c>
      <c r="M38" s="52" t="s">
        <v>221</v>
      </c>
      <c r="N38" s="2" t="str">
        <f t="shared" si="0"/>
        <v>TO</v>
      </c>
      <c r="T38" s="25"/>
      <c r="U38" s="28"/>
      <c r="V38" s="28"/>
      <c r="W38" s="29"/>
    </row>
    <row r="39" ht="15" hidden="1" customHeight="1" spans="1:23">
      <c r="A39" s="17" t="s">
        <v>222</v>
      </c>
      <c r="B39" s="18" t="s">
        <v>223</v>
      </c>
      <c r="C39" s="2" t="str">
        <f t="shared" si="2"/>
        <v>WCF MT(in vacuo)/bbls@60℉ [T-13]</v>
      </c>
      <c r="L39" s="47" t="s">
        <v>224</v>
      </c>
      <c r="M39" s="52" t="s">
        <v>225</v>
      </c>
      <c r="N39" s="2" t="str">
        <f t="shared" si="0"/>
        <v>EVENTS</v>
      </c>
      <c r="T39" s="25"/>
      <c r="U39" s="28"/>
      <c r="V39" s="28"/>
      <c r="W39" s="29"/>
    </row>
    <row r="40" hidden="1" spans="1:23">
      <c r="A40" s="17" t="s">
        <v>226</v>
      </c>
      <c r="B40" s="18" t="s">
        <v>227</v>
      </c>
      <c r="C40" s="2" t="str">
        <f t="shared" si="2"/>
        <v>WCF MT(in vacuo)/bbls@60℉</v>
      </c>
      <c r="L40" s="47" t="s">
        <v>228</v>
      </c>
      <c r="M40" s="52" t="s">
        <v>229</v>
      </c>
      <c r="N40" s="2" t="str">
        <f t="shared" si="0"/>
        <v>TIME LOG</v>
      </c>
      <c r="T40" s="25"/>
      <c r="U40" s="28"/>
      <c r="V40" s="28"/>
      <c r="W40" s="29"/>
    </row>
    <row r="41" hidden="1" spans="1:23">
      <c r="A41" s="19" t="s">
        <v>196</v>
      </c>
      <c r="B41" s="20" t="s">
        <v>197</v>
      </c>
      <c r="C41" s="2" t="str">
        <f t="shared" si="2"/>
        <v>MT/LT [T-1] </v>
      </c>
      <c r="L41" s="47" t="s">
        <v>230</v>
      </c>
      <c r="M41" s="52" t="s">
        <v>231</v>
      </c>
      <c r="N41" s="2" t="str">
        <f t="shared" si="0"/>
        <v>REMARKS</v>
      </c>
      <c r="T41" s="25"/>
      <c r="U41" s="28"/>
      <c r="V41" s="28"/>
      <c r="W41" s="29"/>
    </row>
    <row r="42" hidden="1" spans="1:23">
      <c r="A42" s="19" t="s">
        <v>201</v>
      </c>
      <c r="B42" s="21" t="s">
        <v>202</v>
      </c>
      <c r="C42" s="2" t="str">
        <f t="shared" si="2"/>
        <v>MT/LT</v>
      </c>
      <c r="L42" s="47" t="s">
        <v>34</v>
      </c>
      <c r="M42" s="52" t="s">
        <v>232</v>
      </c>
      <c r="N42" s="2" t="str">
        <f t="shared" si="0"/>
        <v>TERMINAL</v>
      </c>
      <c r="T42" s="25"/>
      <c r="U42" s="28"/>
      <c r="V42" s="28"/>
      <c r="W42" s="29"/>
    </row>
    <row r="43" hidden="1" spans="1:23">
      <c r="A43" s="17" t="s">
        <v>233</v>
      </c>
      <c r="B43" s="18" t="s">
        <v>234</v>
      </c>
      <c r="C43" s="2" t="str">
        <f t="shared" si="2"/>
        <v>WCF LT(in air)/m³@15℃ [T-57]</v>
      </c>
      <c r="L43" s="47" t="s">
        <v>28</v>
      </c>
      <c r="M43" s="52" t="s">
        <v>235</v>
      </c>
      <c r="N43" s="2" t="str">
        <f t="shared" si="0"/>
        <v>VESSEL</v>
      </c>
      <c r="T43" s="25"/>
      <c r="U43" s="28"/>
      <c r="V43" s="28"/>
      <c r="W43" s="29"/>
    </row>
    <row r="44" ht="15" hidden="1" customHeight="1" spans="1:23">
      <c r="A44" s="17" t="s">
        <v>236</v>
      </c>
      <c r="B44" s="18" t="s">
        <v>237</v>
      </c>
      <c r="C44" s="2" t="str">
        <f t="shared" si="2"/>
        <v>WCF LT(in air)/m³@15℃</v>
      </c>
      <c r="T44" s="25"/>
      <c r="U44" s="28"/>
      <c r="V44" s="28"/>
      <c r="W44" s="29"/>
    </row>
    <row r="45" hidden="1" spans="1:23">
      <c r="A45" s="19" t="s">
        <v>240</v>
      </c>
      <c r="B45" s="20" t="s">
        <v>241</v>
      </c>
      <c r="C45" s="2" t="str">
        <f t="shared" si="2"/>
        <v>LT/MT [T-1] </v>
      </c>
      <c r="T45" s="25"/>
      <c r="U45" s="28"/>
      <c r="V45" s="28"/>
      <c r="W45" s="29"/>
    </row>
    <row r="46" hidden="1" spans="1:23">
      <c r="A46" s="19" t="s">
        <v>244</v>
      </c>
      <c r="B46" s="20" t="s">
        <v>245</v>
      </c>
      <c r="C46" s="2" t="str">
        <f t="shared" si="2"/>
        <v>LT/MT</v>
      </c>
      <c r="T46" s="25"/>
      <c r="U46" s="28"/>
      <c r="V46" s="28"/>
      <c r="W46" s="29"/>
    </row>
    <row r="47" hidden="1" spans="1:23">
      <c r="A47" s="17" t="s">
        <v>248</v>
      </c>
      <c r="B47" s="18" t="s">
        <v>249</v>
      </c>
      <c r="C47" s="2" t="str">
        <f t="shared" si="2"/>
        <v>WCF LT(in air)/bbls@60℉ [T-29] </v>
      </c>
      <c r="T47" s="25"/>
      <c r="U47" s="28"/>
      <c r="V47" s="28"/>
      <c r="W47" s="29"/>
    </row>
    <row r="48" hidden="1" spans="1:23">
      <c r="A48" s="17" t="s">
        <v>253</v>
      </c>
      <c r="B48" s="18" t="s">
        <v>254</v>
      </c>
      <c r="C48" s="2" t="str">
        <f t="shared" si="2"/>
        <v>WCF LT(in air)/bbls@60℉</v>
      </c>
      <c r="T48" s="25"/>
      <c r="U48" s="28"/>
      <c r="V48" s="28"/>
      <c r="W48" s="29"/>
    </row>
    <row r="49" hidden="1" spans="1:23">
      <c r="A49" s="17" t="s">
        <v>259</v>
      </c>
      <c r="B49" s="18" t="s">
        <v>260</v>
      </c>
      <c r="C49" s="2" t="str">
        <f t="shared" si="2"/>
        <v>WCF LT(in air)/bbls@60℉ [T-11] </v>
      </c>
      <c r="T49" s="25"/>
      <c r="U49" s="28"/>
      <c r="V49" s="28"/>
      <c r="W49" s="29"/>
    </row>
    <row r="50" hidden="1" spans="1:23">
      <c r="A50" s="17" t="s">
        <v>253</v>
      </c>
      <c r="B50" s="18" t="s">
        <v>254</v>
      </c>
      <c r="C50" s="2" t="str">
        <f t="shared" si="2"/>
        <v>WCF LT(in air)/bbls@60℉</v>
      </c>
      <c r="T50" s="25"/>
      <c r="U50" s="28"/>
      <c r="V50" s="28"/>
      <c r="W50" s="29"/>
    </row>
    <row r="51" hidden="1" spans="1:23">
      <c r="A51" s="17" t="s">
        <v>265</v>
      </c>
      <c r="B51" s="18" t="s">
        <v>266</v>
      </c>
      <c r="C51" s="2" t="str">
        <f t="shared" si="2"/>
        <v>WCF LT(in vacuo)/m³@15℃ [T-57]</v>
      </c>
      <c r="T51" s="25"/>
      <c r="U51" s="28"/>
      <c r="V51" s="28"/>
      <c r="W51" s="29"/>
    </row>
    <row r="52" hidden="1" spans="1:23">
      <c r="A52" s="17" t="s">
        <v>268</v>
      </c>
      <c r="B52" s="18" t="s">
        <v>269</v>
      </c>
      <c r="C52" s="2" t="str">
        <f t="shared" si="2"/>
        <v>WCF LT(in vacuo)/m³@15℃</v>
      </c>
      <c r="T52" s="25"/>
      <c r="U52" s="28"/>
      <c r="V52" s="28"/>
      <c r="W52" s="29"/>
    </row>
    <row r="53" hidden="1" spans="1:23">
      <c r="A53" s="19" t="s">
        <v>240</v>
      </c>
      <c r="B53" s="20" t="s">
        <v>241</v>
      </c>
      <c r="C53" s="2" t="str">
        <f t="shared" si="2"/>
        <v>LT/MT [T-1] </v>
      </c>
      <c r="T53" s="25"/>
      <c r="U53" s="28"/>
      <c r="V53" s="28"/>
      <c r="W53" s="29"/>
    </row>
    <row r="54" hidden="1" spans="1:23">
      <c r="A54" s="19" t="s">
        <v>244</v>
      </c>
      <c r="B54" s="20" t="s">
        <v>245</v>
      </c>
      <c r="C54" s="2" t="str">
        <f t="shared" si="2"/>
        <v>LT/MT</v>
      </c>
      <c r="T54" s="25"/>
      <c r="U54" s="28"/>
      <c r="V54" s="28"/>
      <c r="W54" s="29"/>
    </row>
    <row r="55" hidden="1" spans="1:23">
      <c r="A55" s="17" t="s">
        <v>273</v>
      </c>
      <c r="B55" s="18" t="s">
        <v>274</v>
      </c>
      <c r="C55" s="2" t="str">
        <f t="shared" si="2"/>
        <v>WCF LT(in vacuo)/bbls@60℉ [T-29]</v>
      </c>
      <c r="T55" s="25"/>
      <c r="U55" s="31"/>
      <c r="V55" s="31"/>
      <c r="W55" s="29"/>
    </row>
    <row r="56" hidden="1" spans="1:23">
      <c r="A56" s="17" t="s">
        <v>276</v>
      </c>
      <c r="B56" s="18" t="s">
        <v>277</v>
      </c>
      <c r="C56" s="2" t="str">
        <f t="shared" si="2"/>
        <v>WCF LT(in vacuo)/bbls@60℉</v>
      </c>
      <c r="T56" s="25"/>
      <c r="U56" s="28"/>
      <c r="V56" s="28"/>
      <c r="W56" s="29"/>
    </row>
    <row r="57" hidden="1" spans="1:23">
      <c r="A57" s="17" t="s">
        <v>279</v>
      </c>
      <c r="B57" s="18" t="s">
        <v>280</v>
      </c>
      <c r="C57" s="2" t="str">
        <f t="shared" si="2"/>
        <v>WCF LT(in vacuo)/bbls@60℉ [T-11]</v>
      </c>
      <c r="T57" s="25"/>
      <c r="U57" s="28"/>
      <c r="V57" s="28"/>
      <c r="W57" s="29"/>
    </row>
    <row r="58" hidden="1" spans="1:23">
      <c r="A58" s="17" t="s">
        <v>276</v>
      </c>
      <c r="B58" s="18" t="s">
        <v>277</v>
      </c>
      <c r="C58" s="2" t="str">
        <f t="shared" si="2"/>
        <v>WCF LT(in vacuo)/bbls@60℉</v>
      </c>
      <c r="T58" s="25"/>
      <c r="U58" s="28"/>
      <c r="V58" s="28"/>
      <c r="W58" s="29"/>
    </row>
    <row r="59" hidden="1" spans="1:23">
      <c r="A59" s="22" t="s">
        <v>283</v>
      </c>
      <c r="B59" s="21" t="s">
        <v>284</v>
      </c>
      <c r="C59" s="2" t="str">
        <f t="shared" si="2"/>
        <v>bbls@60℉/m³@15℃ [T-52]</v>
      </c>
      <c r="T59" s="25"/>
      <c r="U59" s="28"/>
      <c r="V59" s="28"/>
      <c r="W59" s="29"/>
    </row>
    <row r="60" hidden="1" spans="1:23">
      <c r="A60" s="22" t="s">
        <v>286</v>
      </c>
      <c r="B60" s="21" t="s">
        <v>287</v>
      </c>
      <c r="C60" s="2" t="str">
        <f t="shared" si="2"/>
        <v>bbls@60℉/m³@15℃</v>
      </c>
      <c r="T60" s="25"/>
      <c r="U60" s="28"/>
      <c r="V60" s="28"/>
      <c r="W60" s="29"/>
    </row>
    <row r="61" hidden="1" spans="1:23">
      <c r="A61" s="23" t="s">
        <v>290</v>
      </c>
      <c r="B61" s="24" t="s">
        <v>291</v>
      </c>
      <c r="C61" s="2" t="str">
        <f t="shared" si="2"/>
        <v>bbls@60℉/MT(in air)</v>
      </c>
      <c r="T61" s="25"/>
      <c r="U61" s="28"/>
      <c r="V61" s="28"/>
      <c r="W61" s="29"/>
    </row>
    <row r="62" hidden="1" spans="1:23">
      <c r="A62" s="2" t="s">
        <v>294</v>
      </c>
      <c r="B62" s="9" t="s">
        <v>295</v>
      </c>
      <c r="C62" s="2" t="str">
        <f t="shared" si="2"/>
        <v>Standard Volume</v>
      </c>
      <c r="T62" s="25"/>
      <c r="U62" s="28"/>
      <c r="V62" s="28"/>
      <c r="W62" s="29"/>
    </row>
    <row r="63" ht="16.5" hidden="1" spans="1:23">
      <c r="A63" s="2" t="s">
        <v>298</v>
      </c>
      <c r="B63" s="2" t="s">
        <v>299</v>
      </c>
      <c r="C63" s="2" t="str">
        <f t="shared" si="2"/>
        <v>m³@15℃/m³@20℃ [1/VCF(15℃)]</v>
      </c>
      <c r="T63" s="25"/>
      <c r="U63" s="28"/>
      <c r="V63" s="28"/>
      <c r="W63" s="29"/>
    </row>
    <row r="64" hidden="1" spans="1:23">
      <c r="A64" s="22" t="s">
        <v>302</v>
      </c>
      <c r="B64" s="21" t="s">
        <v>303</v>
      </c>
      <c r="C64" s="2" t="str">
        <f t="shared" si="2"/>
        <v>m³@15℃/bbls@60℉ [T-22]</v>
      </c>
      <c r="T64" s="25"/>
      <c r="U64" s="28"/>
      <c r="V64" s="28"/>
      <c r="W64" s="29"/>
    </row>
    <row r="65" ht="15" hidden="1" customHeight="1" spans="1:23">
      <c r="A65" s="22" t="s">
        <v>306</v>
      </c>
      <c r="B65" s="19" t="s">
        <v>307</v>
      </c>
      <c r="C65" s="2" t="str">
        <f t="shared" si="2"/>
        <v>m³@15℃/bbls@60℉</v>
      </c>
      <c r="T65" s="25"/>
      <c r="U65" s="28"/>
      <c r="V65" s="28"/>
      <c r="W65" s="29"/>
    </row>
    <row r="66" hidden="1" spans="1:23">
      <c r="A66" s="22" t="s">
        <v>310</v>
      </c>
      <c r="B66" s="21" t="s">
        <v>311</v>
      </c>
      <c r="C66" s="2" t="str">
        <f t="shared" ref="C66:C85" si="3">IF(Report_Language=$A$1,A66,B66)</f>
        <v>m³@15℃/bbls@60℉ [T-4] </v>
      </c>
      <c r="T66" s="25"/>
      <c r="U66" s="28"/>
      <c r="V66" s="28"/>
      <c r="W66" s="29"/>
    </row>
    <row r="67" hidden="1" spans="1:23">
      <c r="A67" s="22" t="s">
        <v>306</v>
      </c>
      <c r="B67" s="21" t="s">
        <v>314</v>
      </c>
      <c r="C67" s="2" t="str">
        <f t="shared" si="3"/>
        <v>m³@15℃/bbls@60℉</v>
      </c>
      <c r="T67" s="25"/>
      <c r="U67" s="28"/>
      <c r="V67" s="28"/>
      <c r="W67" s="29"/>
    </row>
    <row r="68" hidden="1" spans="1:23">
      <c r="A68" s="19" t="s">
        <v>317</v>
      </c>
      <c r="B68" s="19" t="s">
        <v>318</v>
      </c>
      <c r="C68" s="2" t="str">
        <f t="shared" si="3"/>
        <v>m³@20℃/m³@15℃ [1/VCF(20℃)]</v>
      </c>
      <c r="T68" s="25"/>
      <c r="U68" s="28"/>
      <c r="V68" s="28"/>
      <c r="W68" s="29"/>
    </row>
    <row r="69" hidden="1" spans="1:23">
      <c r="A69" s="17" t="s">
        <v>321</v>
      </c>
      <c r="B69" s="17" t="s">
        <v>322</v>
      </c>
      <c r="C69" s="2" t="str">
        <f t="shared" si="3"/>
        <v>m³@20℃/bbls@60℉ [T-4] x VCF(59℉)/VCF(68℉)</v>
      </c>
      <c r="T69" s="25"/>
      <c r="U69" s="28"/>
      <c r="V69" s="28"/>
      <c r="W69" s="29"/>
    </row>
    <row r="70" hidden="1" spans="1:23">
      <c r="A70" s="17" t="s">
        <v>325</v>
      </c>
      <c r="B70" s="17" t="s">
        <v>326</v>
      </c>
      <c r="C70" s="2" t="str">
        <f t="shared" si="3"/>
        <v>m³@20℃/bbls@60℉</v>
      </c>
      <c r="T70" s="25"/>
      <c r="U70" s="28"/>
      <c r="V70" s="28"/>
      <c r="W70" s="29"/>
    </row>
    <row r="71" hidden="1" spans="1:23">
      <c r="A71" s="17" t="s">
        <v>329</v>
      </c>
      <c r="B71" s="17" t="s">
        <v>330</v>
      </c>
      <c r="C71" s="2" t="str">
        <f t="shared" si="3"/>
        <v>m³@20℃/bbls@60℉ [T-22] x VCF(59℉)/VCF(68℉)</v>
      </c>
      <c r="T71" s="25"/>
      <c r="U71" s="28"/>
      <c r="V71" s="28"/>
      <c r="W71" s="29"/>
    </row>
    <row r="72" hidden="1" spans="1:23">
      <c r="A72" s="17" t="s">
        <v>325</v>
      </c>
      <c r="B72" s="17" t="s">
        <v>333</v>
      </c>
      <c r="C72" s="2" t="str">
        <f t="shared" si="3"/>
        <v>m³@20℃/bbls@60℉</v>
      </c>
      <c r="T72" s="25"/>
      <c r="U72" s="28"/>
      <c r="V72" s="28"/>
      <c r="W72" s="29"/>
    </row>
    <row r="73" hidden="1" spans="1:23">
      <c r="A73" s="19" t="s">
        <v>336</v>
      </c>
      <c r="B73" s="21" t="s">
        <v>337</v>
      </c>
      <c r="C73" s="2" t="str">
        <f t="shared" si="3"/>
        <v>m³@30℃/m³@15℃ [1/VCF(30℃)]</v>
      </c>
      <c r="T73" s="25"/>
      <c r="U73" s="28"/>
      <c r="V73" s="28"/>
      <c r="W73" s="29"/>
    </row>
    <row r="74" hidden="1" spans="1:23">
      <c r="A74" s="19" t="s">
        <v>340</v>
      </c>
      <c r="B74" s="21" t="s">
        <v>341</v>
      </c>
      <c r="C74" s="2" t="str">
        <f t="shared" si="3"/>
        <v>m³@30℃/m³@20℃ [1/VCF(30℃)]</v>
      </c>
      <c r="T74" s="25"/>
      <c r="U74" s="28"/>
      <c r="V74" s="28"/>
      <c r="W74" s="29"/>
    </row>
    <row r="75" hidden="1" spans="1:23">
      <c r="A75" s="17" t="s">
        <v>344</v>
      </c>
      <c r="B75" s="17" t="s">
        <v>345</v>
      </c>
      <c r="C75" s="2" t="str">
        <f t="shared" si="3"/>
        <v>m³@30℃/bbls@60℉ [T-4] x VCF(59℉)/VCF(86℉)</v>
      </c>
      <c r="T75" s="25"/>
      <c r="U75" s="28"/>
      <c r="V75" s="28"/>
      <c r="W75" s="29"/>
    </row>
    <row r="76" hidden="1" spans="1:23">
      <c r="A76" s="17" t="s">
        <v>348</v>
      </c>
      <c r="B76" s="17" t="s">
        <v>349</v>
      </c>
      <c r="C76" s="2" t="str">
        <f t="shared" si="3"/>
        <v>m³@30℃/bbls@60℉</v>
      </c>
      <c r="T76" s="25"/>
      <c r="U76" s="28"/>
      <c r="V76" s="28"/>
      <c r="W76" s="29"/>
    </row>
    <row r="77" ht="15" hidden="1" customHeight="1" spans="1:3">
      <c r="A77" s="17" t="s">
        <v>350</v>
      </c>
      <c r="B77" s="17" t="s">
        <v>351</v>
      </c>
      <c r="C77" s="2" t="str">
        <f t="shared" si="3"/>
        <v>m³@30℃/bbls@60℉ [T-22] x VCF(59℉)/VCF(86℉)</v>
      </c>
    </row>
    <row r="78" hidden="1" spans="1:3">
      <c r="A78" s="17" t="s">
        <v>348</v>
      </c>
      <c r="B78" s="17" t="s">
        <v>352</v>
      </c>
      <c r="C78" s="2" t="str">
        <f t="shared" si="3"/>
        <v>m³@30℃/bbls@60℉</v>
      </c>
    </row>
    <row r="79" hidden="1" spans="1:3">
      <c r="A79" s="5" t="s">
        <v>353</v>
      </c>
      <c r="B79" s="32" t="s">
        <v>354</v>
      </c>
      <c r="C79" s="2" t="str">
        <f t="shared" si="3"/>
        <v>US Gallon/US Barrels [T-1]</v>
      </c>
    </row>
    <row r="80" hidden="1" spans="1:3">
      <c r="A80" s="33" t="s">
        <v>355</v>
      </c>
      <c r="B80" s="33" t="s">
        <v>356</v>
      </c>
      <c r="C80" s="2" t="str">
        <f t="shared" si="3"/>
        <v>Master/Chief Officer</v>
      </c>
    </row>
    <row r="81" hidden="1" spans="1:16">
      <c r="A81" s="34" t="s">
        <v>357</v>
      </c>
      <c r="B81" s="34" t="s">
        <v>358</v>
      </c>
      <c r="C81" s="2" t="str">
        <f t="shared" si="3"/>
        <v>CCIC Surveyor</v>
      </c>
      <c r="P81" s="799" t="s">
        <v>601</v>
      </c>
    </row>
    <row r="82" hidden="1" spans="1:3">
      <c r="A82" s="33" t="s">
        <v>359</v>
      </c>
      <c r="B82" s="33" t="s">
        <v>360</v>
      </c>
      <c r="C82" s="2" t="str">
        <f t="shared" si="3"/>
        <v>Name</v>
      </c>
    </row>
    <row r="83" hidden="1" spans="1:3">
      <c r="A83" s="34" t="s">
        <v>361</v>
      </c>
      <c r="B83" s="34" t="s">
        <v>362</v>
      </c>
      <c r="C83" s="2" t="str">
        <f t="shared" si="3"/>
        <v>Signature</v>
      </c>
    </row>
    <row r="84" hidden="1" spans="1:3">
      <c r="A84" s="33" t="s">
        <v>363</v>
      </c>
      <c r="B84" s="33" t="s">
        <v>364</v>
      </c>
      <c r="C84" s="2" t="str">
        <f t="shared" si="3"/>
        <v>Authorized Signature (S)</v>
      </c>
    </row>
    <row r="85" hidden="1" spans="1:3">
      <c r="A85" s="34" t="s">
        <v>74</v>
      </c>
      <c r="B85" s="34" t="s">
        <v>75</v>
      </c>
      <c r="C85" s="2" t="str">
        <f t="shared" si="3"/>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hidden="1" spans="3:10">
      <c r="C86" s="27"/>
      <c r="D86" s="27"/>
      <c r="E86" s="27"/>
      <c r="F86" s="27"/>
      <c r="G86" s="27"/>
      <c r="H86" s="28"/>
      <c r="I86" s="28"/>
      <c r="J86" s="29"/>
    </row>
    <row r="87" hidden="1" spans="3:10">
      <c r="C87" s="27"/>
      <c r="D87" s="27"/>
      <c r="E87" s="27"/>
      <c r="F87" s="27"/>
      <c r="G87" s="27"/>
      <c r="H87" s="28"/>
      <c r="I87" s="28"/>
      <c r="J87" s="29"/>
    </row>
    <row r="88" hidden="1"/>
    <row r="89" spans="9:20">
      <c r="I89" s="47"/>
      <c r="J89" s="117"/>
      <c r="K89" s="117"/>
      <c r="L89" s="117"/>
      <c r="M89" s="117"/>
      <c r="N89" s="117"/>
      <c r="O89" s="117"/>
      <c r="P89" s="117"/>
      <c r="Q89" s="117"/>
      <c r="R89" s="46" t="str">
        <f>C2</f>
        <v>JOB NO.:</v>
      </c>
      <c r="S89" s="47" t="str">
        <f>单号</f>
        <v>这就是爱</v>
      </c>
      <c r="T89" s="117"/>
    </row>
    <row r="90" spans="9:20">
      <c r="I90" s="47"/>
      <c r="J90" s="117"/>
      <c r="K90" s="117"/>
      <c r="L90" s="117"/>
      <c r="M90" s="117"/>
      <c r="N90" s="117"/>
      <c r="O90" s="117"/>
      <c r="P90" s="117"/>
      <c r="Q90" s="117"/>
      <c r="R90" s="46" t="str">
        <f>C3</f>
        <v>DATE OF REPORT:</v>
      </c>
      <c r="S90" s="47" t="str">
        <f>报告日期</f>
        <v>YYYY-MM-DD</v>
      </c>
      <c r="T90" s="117"/>
    </row>
    <row r="91" spans="9:20">
      <c r="I91" s="47"/>
      <c r="J91" s="117"/>
      <c r="K91" s="117"/>
      <c r="L91" s="117"/>
      <c r="M91" s="117"/>
      <c r="N91" s="117"/>
      <c r="O91" s="117"/>
      <c r="P91" s="117"/>
      <c r="Q91" s="117"/>
      <c r="R91" s="47"/>
      <c r="S91" s="47"/>
      <c r="T91" s="117"/>
    </row>
    <row r="92" spans="1:20">
      <c r="A92" t="str">
        <f>IF(OR(B92="隐藏",C92="隐藏"),"隐藏","显示")</f>
        <v>显示</v>
      </c>
      <c r="I92" s="47"/>
      <c r="J92" s="117"/>
      <c r="K92" s="117"/>
      <c r="L92" s="117"/>
      <c r="M92" s="117"/>
      <c r="N92" s="117"/>
      <c r="O92" s="117"/>
      <c r="P92" s="117"/>
      <c r="Q92" s="117"/>
      <c r="R92" s="47"/>
      <c r="S92" s="47"/>
      <c r="T92" s="117"/>
    </row>
    <row r="93" spans="1:20">
      <c r="A93" t="str">
        <f t="shared" ref="A93:A160" si="4">IF(OR(B93="隐藏",C93="隐藏"),"隐藏","显示")</f>
        <v>显示</v>
      </c>
      <c r="B93" t="str">
        <f>IF(隐藏客户名称,"隐藏","显示")</f>
        <v>显示</v>
      </c>
      <c r="C93" t="b">
        <v>0</v>
      </c>
      <c r="I93" s="118" t="str">
        <f>N40</f>
        <v>TIME LOG</v>
      </c>
      <c r="J93" s="118"/>
      <c r="K93" s="118"/>
      <c r="L93" s="118"/>
      <c r="M93" s="119"/>
      <c r="N93" s="120" t="str">
        <f t="shared" ref="N93:N99" si="5">C4</f>
        <v>APPLICANT</v>
      </c>
      <c r="O93" s="76"/>
      <c r="P93" s="88" t="str">
        <f>客户名</f>
        <v>PETROCHINA </v>
      </c>
      <c r="Q93" s="89"/>
      <c r="R93" s="89"/>
      <c r="S93" s="89"/>
      <c r="T93" s="90"/>
    </row>
    <row r="94" ht="15" customHeight="1" spans="1:20">
      <c r="A94" t="str">
        <f t="shared" si="4"/>
        <v>显示</v>
      </c>
      <c r="B94" t="str">
        <f>IF(隐藏客户编号,"隐藏","显示")</f>
        <v>显示</v>
      </c>
      <c r="C94" t="b">
        <v>0</v>
      </c>
      <c r="D94" s="25"/>
      <c r="E94" s="28"/>
      <c r="F94" s="28"/>
      <c r="G94" s="29"/>
      <c r="I94" s="118"/>
      <c r="J94" s="118"/>
      <c r="K94" s="118"/>
      <c r="L94" s="118"/>
      <c r="M94" s="119"/>
      <c r="N94" s="120" t="str">
        <f t="shared" si="5"/>
        <v>CLIENT'S REF. NO.</v>
      </c>
      <c r="O94" s="76"/>
      <c r="P94" s="75" t="str">
        <f>客户编号</f>
        <v>说也说不清楚</v>
      </c>
      <c r="Q94" s="127"/>
      <c r="R94" s="127"/>
      <c r="S94" s="127"/>
      <c r="T94" s="76"/>
    </row>
    <row r="95" spans="1:20">
      <c r="A95" t="str">
        <f t="shared" si="4"/>
        <v>显示</v>
      </c>
      <c r="D95" s="25"/>
      <c r="E95" s="35"/>
      <c r="F95" s="28"/>
      <c r="G95" s="29"/>
      <c r="I95" s="118"/>
      <c r="J95" s="118"/>
      <c r="K95" s="118"/>
      <c r="L95" s="118"/>
      <c r="M95" s="119"/>
      <c r="N95" s="120" t="str">
        <f t="shared" si="5"/>
        <v>COMMODITY</v>
      </c>
      <c r="O95" s="76"/>
      <c r="P95" s="75" t="str">
        <f>品名</f>
        <v>Crude Oil6658</v>
      </c>
      <c r="Q95" s="127"/>
      <c r="R95" s="127"/>
      <c r="S95" s="127"/>
      <c r="T95" s="76"/>
    </row>
    <row r="96" spans="1:20">
      <c r="A96" t="str">
        <f t="shared" si="4"/>
        <v>显示</v>
      </c>
      <c r="B96" t="str">
        <f>IF(隐藏船名,"隐藏","显示")</f>
        <v>显示</v>
      </c>
      <c r="C96" t="b">
        <v>0</v>
      </c>
      <c r="D96" s="25"/>
      <c r="E96" s="28"/>
      <c r="F96" s="28"/>
      <c r="G96" s="29"/>
      <c r="I96" s="118"/>
      <c r="J96" s="118"/>
      <c r="K96" s="118"/>
      <c r="L96" s="118"/>
      <c r="M96" s="119"/>
      <c r="N96" s="120" t="str">
        <f t="shared" si="5"/>
        <v>VESSEL</v>
      </c>
      <c r="O96" s="76"/>
      <c r="P96" s="75" t="str">
        <f>船名</f>
        <v>MT ZhenYuanefdasdf</v>
      </c>
      <c r="Q96" s="127"/>
      <c r="R96" s="127"/>
      <c r="S96" s="127"/>
      <c r="T96" s="76"/>
    </row>
    <row r="97" spans="1:20">
      <c r="A97" t="str">
        <f t="shared" si="4"/>
        <v>显示</v>
      </c>
      <c r="B97" t="str">
        <f>IF(隐藏港口名称,"隐藏","显示")</f>
        <v>显示</v>
      </c>
      <c r="C97" t="b">
        <v>0</v>
      </c>
      <c r="D97" s="25"/>
      <c r="E97" s="28"/>
      <c r="F97" s="28"/>
      <c r="G97" s="29"/>
      <c r="I97" s="118"/>
      <c r="J97" s="118"/>
      <c r="K97" s="118"/>
      <c r="L97" s="118"/>
      <c r="M97" s="119"/>
      <c r="N97" s="120" t="str">
        <f t="shared" si="5"/>
        <v>PORT</v>
      </c>
      <c r="O97" s="76"/>
      <c r="P97" s="75" t="str">
        <f>港口名</f>
        <v>Dalian, Chinafsadfa</v>
      </c>
      <c r="Q97" s="127"/>
      <c r="R97" s="127"/>
      <c r="S97" s="127"/>
      <c r="T97" s="76"/>
    </row>
    <row r="98" spans="1:20">
      <c r="A98" t="str">
        <f t="shared" si="4"/>
        <v>显示</v>
      </c>
      <c r="B98" t="str">
        <f>IF(隐藏油库名称,"隐藏","显示")</f>
        <v>显示</v>
      </c>
      <c r="C98" t="b">
        <v>0</v>
      </c>
      <c r="D98" s="25"/>
      <c r="E98" s="28"/>
      <c r="F98" s="28"/>
      <c r="G98" s="29"/>
      <c r="I98" s="118"/>
      <c r="J98" s="118"/>
      <c r="K98" s="118"/>
      <c r="L98" s="118"/>
      <c r="M98" s="119"/>
      <c r="N98" s="120" t="str">
        <f t="shared" si="5"/>
        <v>TERMINAL</v>
      </c>
      <c r="O98" s="76"/>
      <c r="P98" s="75" t="str">
        <f>油库名</f>
        <v>Dalian Chinaoil, China1325415</v>
      </c>
      <c r="Q98" s="127"/>
      <c r="R98" s="127"/>
      <c r="S98" s="127"/>
      <c r="T98" s="76"/>
    </row>
    <row r="99" spans="1:20">
      <c r="A99" t="str">
        <f t="shared" si="4"/>
        <v>显示</v>
      </c>
      <c r="D99" s="25"/>
      <c r="E99" s="28"/>
      <c r="F99" s="28"/>
      <c r="G99" s="29"/>
      <c r="I99" s="118"/>
      <c r="J99" s="118"/>
      <c r="K99" s="118"/>
      <c r="L99" s="118"/>
      <c r="M99" s="119"/>
      <c r="N99" s="120" t="str">
        <f t="shared" si="5"/>
        <v>DATE OF INSPECTION</v>
      </c>
      <c r="O99" s="76"/>
      <c r="P99" s="75" t="str">
        <f>检验日期</f>
        <v>YYYY-MM-DD To YYYY-MM-DD</v>
      </c>
      <c r="Q99" s="127"/>
      <c r="R99" s="127"/>
      <c r="S99" s="127"/>
      <c r="T99" s="76"/>
    </row>
    <row r="100" ht="9.6" customHeight="1" spans="1:20">
      <c r="A100" t="str">
        <f t="shared" si="4"/>
        <v>显示</v>
      </c>
      <c r="D100" s="25"/>
      <c r="E100" s="28"/>
      <c r="F100" s="28"/>
      <c r="G100" s="29"/>
      <c r="I100" s="47"/>
      <c r="J100" s="47"/>
      <c r="K100" s="47"/>
      <c r="L100" s="47"/>
      <c r="M100" s="47"/>
      <c r="N100" s="47"/>
      <c r="O100" s="47"/>
      <c r="P100" s="47"/>
      <c r="Q100" s="47"/>
      <c r="R100" s="47"/>
      <c r="S100" s="47"/>
      <c r="T100" s="117"/>
    </row>
    <row r="101" ht="15" spans="1:20">
      <c r="A101" t="str">
        <f t="shared" si="4"/>
        <v>显示</v>
      </c>
      <c r="D101" s="25"/>
      <c r="E101" s="28"/>
      <c r="F101" s="28"/>
      <c r="G101" s="29"/>
      <c r="J101" s="121" t="str">
        <f>N39</f>
        <v>EVENTS</v>
      </c>
      <c r="K101" s="122"/>
      <c r="L101" s="122"/>
      <c r="M101" s="122"/>
      <c r="N101" s="122"/>
      <c r="O101" s="122"/>
      <c r="P101" s="122" t="str">
        <f>N37</f>
        <v>FROM</v>
      </c>
      <c r="Q101" s="122"/>
      <c r="R101" s="122" t="str">
        <f>N38</f>
        <v>TO</v>
      </c>
      <c r="S101" s="132"/>
      <c r="T101" s="117"/>
    </row>
    <row r="102" spans="1:20">
      <c r="A102" t="str">
        <f t="shared" si="4"/>
        <v>显示</v>
      </c>
      <c r="D102" s="25"/>
      <c r="E102" s="28"/>
      <c r="F102" s="28"/>
      <c r="G102" s="29"/>
      <c r="J102" s="123" t="str">
        <f>N42</f>
        <v>TERMINAL</v>
      </c>
      <c r="K102" s="124"/>
      <c r="L102" s="124"/>
      <c r="M102" s="124"/>
      <c r="N102" s="124"/>
      <c r="O102" s="124"/>
      <c r="P102" s="125" t="str">
        <f>N35</f>
        <v>Date</v>
      </c>
      <c r="Q102" s="125" t="str">
        <f>N36</f>
        <v>Time</v>
      </c>
      <c r="R102" s="125" t="str">
        <f>N35</f>
        <v>Date</v>
      </c>
      <c r="S102" s="133" t="str">
        <f>N36</f>
        <v>Time</v>
      </c>
      <c r="T102" s="117"/>
    </row>
    <row r="103" ht="13.05" customHeight="1" spans="1:26">
      <c r="A103" t="str">
        <f t="shared" si="4"/>
        <v>显示</v>
      </c>
      <c r="D103" s="25"/>
      <c r="E103" s="28"/>
      <c r="F103" s="28"/>
      <c r="G103" s="29"/>
      <c r="J103" s="126" t="str">
        <f>N1</f>
        <v>Obtaining shore tank(s) open sample</v>
      </c>
      <c r="K103" s="127"/>
      <c r="L103" s="127"/>
      <c r="M103" s="127"/>
      <c r="N103" s="127"/>
      <c r="O103" s="76"/>
      <c r="P103" s="128">
        <v>43936</v>
      </c>
      <c r="Q103" s="134">
        <v>0.9125</v>
      </c>
      <c r="R103" s="135">
        <v>43936</v>
      </c>
      <c r="S103" s="136"/>
      <c r="T103" s="117"/>
      <c r="Z103" s="50"/>
    </row>
    <row r="104" ht="13.05" customHeight="1" spans="1:20">
      <c r="A104" t="str">
        <f t="shared" si="4"/>
        <v>显示</v>
      </c>
      <c r="D104" s="25"/>
      <c r="E104" s="28"/>
      <c r="F104" s="28"/>
      <c r="G104" s="29"/>
      <c r="J104" s="126" t="str">
        <f>N2</f>
        <v>Perform shore tank(s) open measurent</v>
      </c>
      <c r="K104" s="127"/>
      <c r="L104" s="127"/>
      <c r="M104" s="127"/>
      <c r="N104" s="127"/>
      <c r="O104" s="76"/>
      <c r="P104" s="128"/>
      <c r="Q104" s="137"/>
      <c r="R104" s="135"/>
      <c r="S104" s="136"/>
      <c r="T104" s="117"/>
    </row>
    <row r="105" ht="13.05" customHeight="1" spans="1:20">
      <c r="A105" t="str">
        <f t="shared" si="4"/>
        <v>显示</v>
      </c>
      <c r="D105" s="25"/>
      <c r="E105" s="28"/>
      <c r="F105" s="28"/>
      <c r="G105" s="29"/>
      <c r="J105" s="126" t="str">
        <f>N3</f>
        <v>Obtaining shore tank(s) close sample</v>
      </c>
      <c r="K105" s="127"/>
      <c r="L105" s="127"/>
      <c r="M105" s="127"/>
      <c r="N105" s="127"/>
      <c r="O105" s="76"/>
      <c r="P105" s="128"/>
      <c r="Q105" s="137"/>
      <c r="R105" s="135"/>
      <c r="S105" s="136"/>
      <c r="T105" s="117"/>
    </row>
    <row r="106" ht="13.05" customHeight="1" spans="1:20">
      <c r="A106" t="str">
        <f t="shared" si="4"/>
        <v>显示</v>
      </c>
      <c r="D106" s="25"/>
      <c r="E106" s="28"/>
      <c r="F106" s="28"/>
      <c r="G106" s="29"/>
      <c r="J106" s="126" t="str">
        <f>N4</f>
        <v>Perform shore tank(s) close measurent</v>
      </c>
      <c r="K106" s="127"/>
      <c r="L106" s="127"/>
      <c r="M106" s="127"/>
      <c r="N106" s="127"/>
      <c r="O106" s="76"/>
      <c r="P106" s="128"/>
      <c r="Q106" s="137"/>
      <c r="R106" s="135"/>
      <c r="S106" s="136"/>
      <c r="T106" s="117"/>
    </row>
    <row r="107" spans="1:20">
      <c r="A107" t="str">
        <f t="shared" si="4"/>
        <v>显示</v>
      </c>
      <c r="D107" s="25"/>
      <c r="E107" s="28"/>
      <c r="F107" s="28"/>
      <c r="G107" s="29"/>
      <c r="J107" s="129" t="str">
        <f>N43</f>
        <v>VESSEL</v>
      </c>
      <c r="K107" s="130"/>
      <c r="L107" s="130"/>
      <c r="M107" s="130"/>
      <c r="N107" s="130"/>
      <c r="O107" s="130"/>
      <c r="P107" s="130"/>
      <c r="Q107" s="130"/>
      <c r="R107" s="130"/>
      <c r="S107" s="138"/>
      <c r="T107" s="117"/>
    </row>
    <row r="108" ht="13.05" customHeight="1" spans="1:20">
      <c r="A108" t="str">
        <f t="shared" si="4"/>
        <v>显示</v>
      </c>
      <c r="D108" s="25"/>
      <c r="E108" s="28"/>
      <c r="F108" s="28"/>
      <c r="G108" s="29"/>
      <c r="J108" s="126" t="str">
        <f t="shared" ref="J108:J129" si="6">N6</f>
        <v>End of sea passage</v>
      </c>
      <c r="K108" s="127"/>
      <c r="L108" s="127"/>
      <c r="M108" s="127"/>
      <c r="N108" s="127"/>
      <c r="O108" s="76"/>
      <c r="P108" s="131" t="str">
        <f>$P$81</f>
        <v>--</v>
      </c>
      <c r="Q108" s="139" t="str">
        <f>$P$81</f>
        <v>--</v>
      </c>
      <c r="R108" s="135"/>
      <c r="S108" s="136"/>
      <c r="T108" s="117"/>
    </row>
    <row r="109" ht="13.05" customHeight="1" spans="1:20">
      <c r="A109" t="str">
        <f t="shared" si="4"/>
        <v>显示</v>
      </c>
      <c r="D109" s="36"/>
      <c r="E109" s="28"/>
      <c r="F109" s="28"/>
      <c r="G109" s="29"/>
      <c r="J109" s="126" t="str">
        <f t="shared" si="6"/>
        <v>Notice of readiness tendered</v>
      </c>
      <c r="K109" s="127"/>
      <c r="L109" s="127"/>
      <c r="M109" s="127"/>
      <c r="N109" s="127"/>
      <c r="O109" s="76"/>
      <c r="P109" s="131" t="str">
        <f t="shared" ref="P109:Q116" si="7">$P$81</f>
        <v>--</v>
      </c>
      <c r="Q109" s="139" t="str">
        <f t="shared" si="7"/>
        <v>--</v>
      </c>
      <c r="R109" s="135"/>
      <c r="S109" s="136"/>
      <c r="T109" s="117"/>
    </row>
    <row r="110" ht="13.05" customHeight="1" spans="1:20">
      <c r="A110" t="str">
        <f t="shared" si="4"/>
        <v>显示</v>
      </c>
      <c r="D110" s="36"/>
      <c r="E110" s="28"/>
      <c r="F110" s="28"/>
      <c r="G110" s="29"/>
      <c r="J110" s="126" t="str">
        <f t="shared" si="6"/>
        <v>Notice of readiness accepted</v>
      </c>
      <c r="K110" s="127"/>
      <c r="L110" s="127"/>
      <c r="M110" s="127"/>
      <c r="N110" s="127"/>
      <c r="O110" s="76"/>
      <c r="P110" s="131" t="str">
        <f t="shared" si="7"/>
        <v>--</v>
      </c>
      <c r="Q110" s="139" t="str">
        <f t="shared" si="7"/>
        <v>--</v>
      </c>
      <c r="R110" s="135"/>
      <c r="S110" s="136"/>
      <c r="T110" s="117"/>
    </row>
    <row r="111" ht="13.05" customHeight="1" spans="1:20">
      <c r="A111" t="str">
        <f t="shared" si="4"/>
        <v>显示</v>
      </c>
      <c r="D111" s="36"/>
      <c r="E111" s="28"/>
      <c r="F111" s="28"/>
      <c r="G111" s="29"/>
      <c r="J111" s="126" t="str">
        <f t="shared" si="6"/>
        <v>Pilot on board</v>
      </c>
      <c r="K111" s="127"/>
      <c r="L111" s="127"/>
      <c r="M111" s="127"/>
      <c r="N111" s="127"/>
      <c r="O111" s="76"/>
      <c r="P111" s="131" t="str">
        <f t="shared" si="7"/>
        <v>--</v>
      </c>
      <c r="Q111" s="139" t="str">
        <f t="shared" si="7"/>
        <v>--</v>
      </c>
      <c r="R111" s="135"/>
      <c r="S111" s="136"/>
      <c r="T111" s="117"/>
    </row>
    <row r="112" ht="13.05" customHeight="1" spans="1:20">
      <c r="A112" t="str">
        <f t="shared" si="4"/>
        <v>显示</v>
      </c>
      <c r="D112" s="36"/>
      <c r="E112" s="28"/>
      <c r="F112" s="28"/>
      <c r="G112" s="29"/>
      <c r="J112" s="126" t="str">
        <f t="shared" si="6"/>
        <v>First line ashore</v>
      </c>
      <c r="K112" s="127"/>
      <c r="L112" s="127"/>
      <c r="M112" s="127"/>
      <c r="N112" s="127"/>
      <c r="O112" s="76"/>
      <c r="P112" s="131" t="str">
        <f t="shared" si="7"/>
        <v>--</v>
      </c>
      <c r="Q112" s="139" t="str">
        <f t="shared" si="7"/>
        <v>--</v>
      </c>
      <c r="R112" s="135"/>
      <c r="S112" s="136"/>
      <c r="T112" s="117"/>
    </row>
    <row r="113" ht="13.05" customHeight="1" spans="1:20">
      <c r="A113" t="str">
        <f t="shared" si="4"/>
        <v>显示</v>
      </c>
      <c r="D113" s="36"/>
      <c r="E113" s="28"/>
      <c r="F113" s="28"/>
      <c r="G113" s="29"/>
      <c r="J113" s="126" t="str">
        <f t="shared" si="6"/>
        <v>Docked (Gangway in place)</v>
      </c>
      <c r="K113" s="127"/>
      <c r="L113" s="127"/>
      <c r="M113" s="127"/>
      <c r="N113" s="127"/>
      <c r="O113" s="76"/>
      <c r="P113" s="131" t="str">
        <f t="shared" si="7"/>
        <v>--</v>
      </c>
      <c r="Q113" s="139" t="str">
        <f t="shared" si="7"/>
        <v>--</v>
      </c>
      <c r="R113" s="135"/>
      <c r="S113" s="136"/>
      <c r="T113" s="117"/>
    </row>
    <row r="114" ht="13.05" customHeight="1" spans="1:20">
      <c r="A114" t="str">
        <f t="shared" si="4"/>
        <v>显示</v>
      </c>
      <c r="D114" s="37"/>
      <c r="E114" s="28"/>
      <c r="F114" s="28"/>
      <c r="G114" s="29"/>
      <c r="J114" s="126" t="str">
        <f t="shared" si="6"/>
        <v>All fast</v>
      </c>
      <c r="K114" s="127"/>
      <c r="L114" s="127"/>
      <c r="M114" s="127"/>
      <c r="N114" s="127"/>
      <c r="O114" s="76"/>
      <c r="P114" s="131" t="str">
        <f t="shared" si="7"/>
        <v>--</v>
      </c>
      <c r="Q114" s="139" t="str">
        <f t="shared" si="7"/>
        <v>--</v>
      </c>
      <c r="R114" s="135"/>
      <c r="S114" s="136"/>
      <c r="T114" s="117"/>
    </row>
    <row r="115" ht="13.05" customHeight="1" spans="4:20">
      <c r="D115" s="37"/>
      <c r="E115" s="28"/>
      <c r="F115" s="28"/>
      <c r="G115" s="29"/>
      <c r="J115" s="126" t="str">
        <f t="shared" si="6"/>
        <v>Vessel cleared by governmental official</v>
      </c>
      <c r="K115" s="127"/>
      <c r="L115" s="127"/>
      <c r="M115" s="127"/>
      <c r="N115" s="127"/>
      <c r="O115" s="76"/>
      <c r="P115" s="131" t="str">
        <f t="shared" si="7"/>
        <v>--</v>
      </c>
      <c r="Q115" s="139" t="str">
        <f t="shared" si="7"/>
        <v>--</v>
      </c>
      <c r="R115" s="135"/>
      <c r="S115" s="136"/>
      <c r="T115" s="117"/>
    </row>
    <row r="116" ht="13.05" customHeight="1" spans="4:20">
      <c r="D116" s="37"/>
      <c r="E116" s="28"/>
      <c r="F116" s="28"/>
      <c r="G116" s="29"/>
      <c r="J116" s="126" t="str">
        <f t="shared" si="6"/>
        <v>Surveyor on board</v>
      </c>
      <c r="K116" s="127"/>
      <c r="L116" s="127"/>
      <c r="M116" s="127"/>
      <c r="N116" s="127"/>
      <c r="O116" s="76"/>
      <c r="P116" s="131" t="str">
        <f t="shared" si="7"/>
        <v>--</v>
      </c>
      <c r="Q116" s="139" t="str">
        <f t="shared" si="7"/>
        <v>--</v>
      </c>
      <c r="R116" s="135"/>
      <c r="S116" s="136"/>
      <c r="T116" s="117"/>
    </row>
    <row r="117" ht="13.05" customHeight="1" spans="4:20">
      <c r="D117" s="37"/>
      <c r="E117" s="28"/>
      <c r="F117" s="28"/>
      <c r="G117" s="29"/>
      <c r="J117" s="126" t="str">
        <f t="shared" si="6"/>
        <v>Key meeting held</v>
      </c>
      <c r="K117" s="127"/>
      <c r="L117" s="127"/>
      <c r="M117" s="127"/>
      <c r="N117" s="127"/>
      <c r="O117" s="76"/>
      <c r="P117" s="131"/>
      <c r="Q117" s="139"/>
      <c r="R117" s="135"/>
      <c r="S117" s="136"/>
      <c r="T117" s="117"/>
    </row>
    <row r="118" ht="13.05" customHeight="1" spans="4:20">
      <c r="D118" s="37"/>
      <c r="E118" s="28"/>
      <c r="F118" s="28"/>
      <c r="G118" s="29"/>
      <c r="H118" s="116"/>
      <c r="J118" s="126" t="str">
        <f t="shared" si="6"/>
        <v>Vessel tanks sampling</v>
      </c>
      <c r="K118" s="127"/>
      <c r="L118" s="127"/>
      <c r="M118" s="127"/>
      <c r="N118" s="127"/>
      <c r="O118" s="76"/>
      <c r="P118" s="131"/>
      <c r="Q118" s="139"/>
      <c r="R118" s="135"/>
      <c r="S118" s="136"/>
      <c r="T118" s="117"/>
    </row>
    <row r="119" ht="13.05" customHeight="1" spans="4:20">
      <c r="D119" s="37"/>
      <c r="E119" s="28"/>
      <c r="F119" s="28"/>
      <c r="G119" s="29"/>
      <c r="H119" s="116"/>
      <c r="J119" s="126" t="str">
        <f t="shared" si="6"/>
        <v>Vessel tanks measurement</v>
      </c>
      <c r="K119" s="127"/>
      <c r="L119" s="127"/>
      <c r="M119" s="127"/>
      <c r="N119" s="127"/>
      <c r="O119" s="76"/>
      <c r="P119" s="131"/>
      <c r="Q119" s="139"/>
      <c r="R119" s="135"/>
      <c r="S119" s="136"/>
      <c r="T119" s="117"/>
    </row>
    <row r="120" ht="13.05" customHeight="1" spans="4:20">
      <c r="D120" s="37"/>
      <c r="E120" s="28"/>
      <c r="F120" s="28"/>
      <c r="G120" s="29"/>
      <c r="H120" s="116"/>
      <c r="J120" s="126" t="str">
        <f t="shared" si="6"/>
        <v>Calculation and figures agreed</v>
      </c>
      <c r="K120" s="127"/>
      <c r="L120" s="127"/>
      <c r="M120" s="127"/>
      <c r="N120" s="127"/>
      <c r="O120" s="76"/>
      <c r="P120" s="131"/>
      <c r="Q120" s="139"/>
      <c r="R120" s="135"/>
      <c r="S120" s="136"/>
      <c r="T120" s="117"/>
    </row>
    <row r="121" ht="13.05" customHeight="1" spans="4:20">
      <c r="D121" s="37"/>
      <c r="E121" s="28"/>
      <c r="F121" s="28"/>
      <c r="G121" s="29" t="b">
        <v>1</v>
      </c>
      <c r="H121" s="116" t="b">
        <v>0</v>
      </c>
      <c r="J121" s="126" t="str">
        <f t="shared" si="6"/>
        <v>       Arms/          Hoses connecting</v>
      </c>
      <c r="K121" s="127"/>
      <c r="L121" s="127"/>
      <c r="M121" s="127"/>
      <c r="N121" s="127"/>
      <c r="O121" s="76"/>
      <c r="P121" s="131"/>
      <c r="Q121" s="139"/>
      <c r="R121" s="135"/>
      <c r="S121" s="136"/>
      <c r="T121" s="117"/>
    </row>
    <row r="122" ht="13.05" customHeight="1" spans="4:20">
      <c r="D122" s="37"/>
      <c r="E122" s="28"/>
      <c r="F122" s="28"/>
      <c r="G122" s="29"/>
      <c r="H122" s="116"/>
      <c r="J122" s="126" t="str">
        <f t="shared" si="6"/>
        <v>Samples analysis passed</v>
      </c>
      <c r="K122" s="127"/>
      <c r="L122" s="127"/>
      <c r="M122" s="127"/>
      <c r="N122" s="127"/>
      <c r="O122" s="76"/>
      <c r="P122" s="131" t="str">
        <f t="shared" ref="P122:S123" si="8">$P$81</f>
        <v>--</v>
      </c>
      <c r="Q122" s="139" t="str">
        <f t="shared" si="8"/>
        <v>--</v>
      </c>
      <c r="R122" s="135"/>
      <c r="S122" s="136"/>
      <c r="T122" s="117"/>
    </row>
    <row r="123" ht="13.05" customHeight="1" spans="4:20">
      <c r="D123" s="37"/>
      <c r="E123" s="28"/>
      <c r="F123" s="28"/>
      <c r="G123" s="29"/>
      <c r="H123" s="116"/>
      <c r="J123" s="126" t="str">
        <f t="shared" si="6"/>
        <v>Commenced discharge</v>
      </c>
      <c r="K123" s="127"/>
      <c r="L123" s="127"/>
      <c r="M123" s="127"/>
      <c r="N123" s="127"/>
      <c r="O123" s="76"/>
      <c r="P123" s="128"/>
      <c r="Q123" s="137"/>
      <c r="R123" s="135" t="str">
        <f t="shared" si="8"/>
        <v>--</v>
      </c>
      <c r="S123" s="136" t="str">
        <f t="shared" si="8"/>
        <v>--</v>
      </c>
      <c r="T123" s="117"/>
    </row>
    <row r="124" ht="13.05" customHeight="1" spans="4:20">
      <c r="D124" s="37"/>
      <c r="E124" s="28"/>
      <c r="F124" s="28"/>
      <c r="G124" s="29"/>
      <c r="H124" s="116"/>
      <c r="J124" s="126" t="str">
        <f t="shared" si="6"/>
        <v>Suspended discharge for line displacement verification</v>
      </c>
      <c r="K124" s="127"/>
      <c r="L124" s="127"/>
      <c r="M124" s="127"/>
      <c r="N124" s="127"/>
      <c r="O124" s="76"/>
      <c r="P124" s="128"/>
      <c r="Q124" s="137"/>
      <c r="R124" s="135"/>
      <c r="S124" s="136"/>
      <c r="T124" s="117"/>
    </row>
    <row r="125" ht="13.05" customHeight="1" spans="4:20">
      <c r="D125" s="37"/>
      <c r="E125" s="28"/>
      <c r="F125" s="28"/>
      <c r="G125" s="29"/>
      <c r="H125" s="116"/>
      <c r="J125" s="126" t="str">
        <f t="shared" si="6"/>
        <v>Resumed discharge</v>
      </c>
      <c r="K125" s="127"/>
      <c r="L125" s="127"/>
      <c r="M125" s="127"/>
      <c r="N125" s="127"/>
      <c r="O125" s="76"/>
      <c r="P125" s="128"/>
      <c r="Q125" s="137"/>
      <c r="R125" s="135" t="str">
        <f t="shared" ref="P125:S126" si="9">$P$81</f>
        <v>--</v>
      </c>
      <c r="S125" s="136" t="str">
        <f t="shared" si="9"/>
        <v>--</v>
      </c>
      <c r="T125" s="117"/>
    </row>
    <row r="126" ht="13.05" customHeight="1" spans="4:20">
      <c r="D126" s="37"/>
      <c r="E126" s="28"/>
      <c r="F126" s="28"/>
      <c r="G126" s="29"/>
      <c r="H126" s="116"/>
      <c r="J126" s="126" t="str">
        <f t="shared" si="6"/>
        <v>Completed discharge</v>
      </c>
      <c r="K126" s="127"/>
      <c r="L126" s="127"/>
      <c r="M126" s="127"/>
      <c r="N126" s="127"/>
      <c r="O126" s="76"/>
      <c r="P126" s="128" t="str">
        <f t="shared" si="9"/>
        <v>--</v>
      </c>
      <c r="Q126" s="137" t="str">
        <f t="shared" si="9"/>
        <v>--</v>
      </c>
      <c r="R126" s="135"/>
      <c r="S126" s="136"/>
      <c r="T126" s="117"/>
    </row>
    <row r="127" ht="13.05" customHeight="1" spans="4:20">
      <c r="D127" s="37"/>
      <c r="E127" s="28"/>
      <c r="F127" s="28"/>
      <c r="G127" s="29"/>
      <c r="H127" s="116"/>
      <c r="J127" s="126" t="str">
        <f t="shared" si="6"/>
        <v>Vessel tanks inspection</v>
      </c>
      <c r="K127" s="127"/>
      <c r="L127" s="127"/>
      <c r="M127" s="127"/>
      <c r="N127" s="127"/>
      <c r="O127" s="76"/>
      <c r="P127" s="128"/>
      <c r="Q127" s="137"/>
      <c r="R127" s="135"/>
      <c r="S127" s="136"/>
      <c r="T127" s="117"/>
    </row>
    <row r="128" ht="13.05" customHeight="1" spans="4:20">
      <c r="D128" s="37"/>
      <c r="E128" s="28"/>
      <c r="F128" s="28"/>
      <c r="G128" s="29"/>
      <c r="H128" s="116"/>
      <c r="J128" s="126" t="str">
        <f t="shared" si="6"/>
        <v>       Arms/          Hoses disconnecting</v>
      </c>
      <c r="K128" s="127"/>
      <c r="L128" s="127"/>
      <c r="M128" s="127"/>
      <c r="N128" s="127"/>
      <c r="O128" s="76"/>
      <c r="P128" s="128"/>
      <c r="Q128" s="137"/>
      <c r="R128" s="135"/>
      <c r="S128" s="136"/>
      <c r="T128" s="117"/>
    </row>
    <row r="129" ht="13.05" customHeight="1" spans="4:20">
      <c r="D129" s="37"/>
      <c r="E129" s="28"/>
      <c r="F129" s="28"/>
      <c r="G129" s="29"/>
      <c r="H129" s="116"/>
      <c r="J129" s="126" t="str">
        <f t="shared" si="6"/>
        <v>Filling out documents and sign</v>
      </c>
      <c r="K129" s="127"/>
      <c r="L129" s="127"/>
      <c r="M129" s="127"/>
      <c r="N129" s="127"/>
      <c r="O129" s="76"/>
      <c r="P129" s="128"/>
      <c r="Q129" s="137"/>
      <c r="R129" s="135"/>
      <c r="S129" s="136"/>
      <c r="T129" s="117"/>
    </row>
    <row r="130" ht="13.05" hidden="1" customHeight="1" spans="4:20">
      <c r="D130" s="37"/>
      <c r="E130" s="28"/>
      <c r="F130" s="28"/>
      <c r="G130" s="29"/>
      <c r="H130" s="140"/>
      <c r="J130" s="126" t="str">
        <f>N25</f>
        <v>Vessel tanks inspection</v>
      </c>
      <c r="K130" s="127"/>
      <c r="L130" s="127"/>
      <c r="M130" s="127"/>
      <c r="N130" s="127"/>
      <c r="O130" s="76"/>
      <c r="P130" s="128"/>
      <c r="Q130" s="137"/>
      <c r="R130" s="135"/>
      <c r="S130" s="136"/>
      <c r="T130" s="117"/>
    </row>
    <row r="131" ht="13.05" hidden="1" customHeight="1" spans="4:20">
      <c r="D131" s="37"/>
      <c r="E131" s="28"/>
      <c r="F131" s="28"/>
      <c r="G131" s="29"/>
      <c r="H131" s="140"/>
      <c r="J131" s="126" t="str">
        <f>N19</f>
        <v>       Arms/          Hoses connecting</v>
      </c>
      <c r="K131" s="127"/>
      <c r="L131" s="127"/>
      <c r="M131" s="127"/>
      <c r="N131" s="127"/>
      <c r="O131" s="76"/>
      <c r="P131" s="128"/>
      <c r="Q131" s="137"/>
      <c r="R131" s="135"/>
      <c r="S131" s="136"/>
      <c r="T131" s="117"/>
    </row>
    <row r="132" ht="13.05" hidden="1" customHeight="1" spans="4:20">
      <c r="D132" s="37"/>
      <c r="E132" s="28"/>
      <c r="F132" s="28"/>
      <c r="G132" s="29"/>
      <c r="H132" s="140"/>
      <c r="J132" s="126" t="str">
        <f t="shared" ref="J132:J137" si="10">N28</f>
        <v>Commenced load</v>
      </c>
      <c r="K132" s="127"/>
      <c r="L132" s="127"/>
      <c r="M132" s="127"/>
      <c r="N132" s="127"/>
      <c r="O132" s="76"/>
      <c r="P132" s="128"/>
      <c r="Q132" s="137"/>
      <c r="R132" s="800" t="s">
        <v>601</v>
      </c>
      <c r="S132" s="801" t="s">
        <v>601</v>
      </c>
      <c r="T132" s="117"/>
    </row>
    <row r="133" ht="13.05" hidden="1" customHeight="1" spans="4:20">
      <c r="D133" s="37"/>
      <c r="E133" s="28"/>
      <c r="F133" s="28"/>
      <c r="G133" s="29"/>
      <c r="H133" s="140"/>
      <c r="J133" s="126" t="str">
        <f t="shared" si="10"/>
        <v>1st foot sampling</v>
      </c>
      <c r="K133" s="127"/>
      <c r="L133" s="127"/>
      <c r="M133" s="127"/>
      <c r="N133" s="127"/>
      <c r="O133" s="76"/>
      <c r="P133" s="128"/>
      <c r="Q133" s="137"/>
      <c r="R133" s="135"/>
      <c r="S133" s="136"/>
      <c r="T133" s="117"/>
    </row>
    <row r="134" ht="13.05" hidden="1" customHeight="1" spans="4:20">
      <c r="D134" s="37"/>
      <c r="E134" s="28"/>
      <c r="F134" s="28"/>
      <c r="G134" s="29"/>
      <c r="H134" s="140"/>
      <c r="J134" s="126" t="str">
        <f t="shared" si="10"/>
        <v>1st foot samples analysis passed</v>
      </c>
      <c r="K134" s="127"/>
      <c r="L134" s="127"/>
      <c r="M134" s="127"/>
      <c r="N134" s="127"/>
      <c r="O134" s="76"/>
      <c r="P134" s="802" t="s">
        <v>601</v>
      </c>
      <c r="Q134" s="803" t="s">
        <v>601</v>
      </c>
      <c r="R134" s="135"/>
      <c r="S134" s="136"/>
      <c r="T134" s="117"/>
    </row>
    <row r="135" ht="13.05" hidden="1" customHeight="1" spans="4:20">
      <c r="D135" s="37"/>
      <c r="E135" s="28"/>
      <c r="F135" s="28"/>
      <c r="G135" s="29"/>
      <c r="H135" s="140"/>
      <c r="J135" s="126" t="str">
        <f t="shared" si="10"/>
        <v>Suspended load for line displacement verification</v>
      </c>
      <c r="K135" s="127"/>
      <c r="L135" s="127"/>
      <c r="M135" s="127"/>
      <c r="N135" s="127"/>
      <c r="O135" s="76"/>
      <c r="P135" s="128"/>
      <c r="Q135" s="137"/>
      <c r="R135" s="135"/>
      <c r="S135" s="136"/>
      <c r="T135" s="117"/>
    </row>
    <row r="136" ht="13.05" hidden="1" customHeight="1" spans="4:20">
      <c r="D136" s="37"/>
      <c r="E136" s="28"/>
      <c r="F136" s="28"/>
      <c r="G136" s="29"/>
      <c r="H136" s="140"/>
      <c r="J136" s="126" t="str">
        <f t="shared" si="10"/>
        <v>Resumed load</v>
      </c>
      <c r="K136" s="127"/>
      <c r="L136" s="127"/>
      <c r="M136" s="127"/>
      <c r="N136" s="127"/>
      <c r="O136" s="76"/>
      <c r="P136" s="128"/>
      <c r="Q136" s="137"/>
      <c r="R136" s="800" t="s">
        <v>601</v>
      </c>
      <c r="S136" s="801" t="s">
        <v>601</v>
      </c>
      <c r="T136" s="117"/>
    </row>
    <row r="137" ht="13.05" hidden="1" customHeight="1" spans="4:20">
      <c r="D137" s="37"/>
      <c r="E137" s="28"/>
      <c r="F137" s="28"/>
      <c r="G137" s="29"/>
      <c r="H137" s="140"/>
      <c r="J137" s="126" t="str">
        <f t="shared" si="10"/>
        <v>Completed load</v>
      </c>
      <c r="K137" s="127"/>
      <c r="L137" s="127"/>
      <c r="M137" s="127"/>
      <c r="N137" s="127"/>
      <c r="O137" s="76"/>
      <c r="P137" s="802" t="s">
        <v>601</v>
      </c>
      <c r="Q137" s="803" t="s">
        <v>601</v>
      </c>
      <c r="R137" s="135"/>
      <c r="S137" s="136"/>
      <c r="T137" s="117"/>
    </row>
    <row r="138" ht="13.05" hidden="1" customHeight="1" spans="4:20">
      <c r="D138" s="37"/>
      <c r="E138" s="28"/>
      <c r="F138" s="28"/>
      <c r="G138" s="29"/>
      <c r="H138" s="140"/>
      <c r="J138" s="126" t="str">
        <f>N26</f>
        <v>       Arms/          Hoses disconnecting</v>
      </c>
      <c r="K138" s="127"/>
      <c r="L138" s="127"/>
      <c r="M138" s="127"/>
      <c r="N138" s="127"/>
      <c r="O138" s="76"/>
      <c r="P138" s="128"/>
      <c r="Q138" s="137"/>
      <c r="R138" s="135"/>
      <c r="S138" s="136"/>
      <c r="T138" s="117"/>
    </row>
    <row r="139" ht="13.05" hidden="1" customHeight="1" spans="4:20">
      <c r="D139" s="37"/>
      <c r="E139" s="28"/>
      <c r="F139" s="28"/>
      <c r="G139" s="29"/>
      <c r="H139" s="140"/>
      <c r="J139" s="126" t="str">
        <f>N16</f>
        <v>Vessel tanks sampling</v>
      </c>
      <c r="K139" s="127"/>
      <c r="L139" s="127"/>
      <c r="M139" s="127"/>
      <c r="N139" s="127"/>
      <c r="O139" s="76"/>
      <c r="P139" s="128"/>
      <c r="Q139" s="137"/>
      <c r="R139" s="135"/>
      <c r="S139" s="136"/>
      <c r="T139" s="117"/>
    </row>
    <row r="140" ht="13.05" hidden="1" customHeight="1" spans="4:20">
      <c r="D140" s="37"/>
      <c r="E140" s="28"/>
      <c r="F140" s="28"/>
      <c r="G140" s="29"/>
      <c r="H140" s="140"/>
      <c r="J140" s="126" t="str">
        <f>N17</f>
        <v>Vessel tanks measurement</v>
      </c>
      <c r="K140" s="127"/>
      <c r="L140" s="127"/>
      <c r="M140" s="127"/>
      <c r="N140" s="127"/>
      <c r="O140" s="76"/>
      <c r="P140" s="128"/>
      <c r="Q140" s="137"/>
      <c r="R140" s="135"/>
      <c r="S140" s="136"/>
      <c r="T140" s="117"/>
    </row>
    <row r="141" ht="13.05" hidden="1" customHeight="1" spans="4:20">
      <c r="D141" s="37"/>
      <c r="E141" s="28"/>
      <c r="F141" s="28"/>
      <c r="G141" s="29"/>
      <c r="H141" s="140"/>
      <c r="J141" s="126" t="str">
        <f>N18</f>
        <v>Calculation and figures agreed</v>
      </c>
      <c r="K141" s="127"/>
      <c r="L141" s="127"/>
      <c r="M141" s="127"/>
      <c r="N141" s="127"/>
      <c r="O141" s="76"/>
      <c r="P141" s="128"/>
      <c r="Q141" s="137"/>
      <c r="R141" s="135"/>
      <c r="S141" s="136"/>
      <c r="T141" s="117"/>
    </row>
    <row r="142" ht="13.05" customHeight="1" spans="4:20">
      <c r="D142" s="37"/>
      <c r="E142" s="28"/>
      <c r="F142" s="28"/>
      <c r="G142" s="29"/>
      <c r="J142" s="141" t="str">
        <f>N34</f>
        <v>Estimated sailing time</v>
      </c>
      <c r="K142" s="142"/>
      <c r="L142" s="142"/>
      <c r="M142" s="142"/>
      <c r="N142" s="142"/>
      <c r="O142" s="143"/>
      <c r="P142" s="804" t="s">
        <v>601</v>
      </c>
      <c r="Q142" s="805" t="s">
        <v>601</v>
      </c>
      <c r="R142" s="153"/>
      <c r="S142" s="154"/>
      <c r="T142" s="117"/>
    </row>
    <row r="143" ht="16.5" spans="4:20">
      <c r="D143" s="37"/>
      <c r="E143" s="28"/>
      <c r="F143" s="28"/>
      <c r="G143" s="29"/>
      <c r="J143" s="129" t="str">
        <f>N41</f>
        <v>REMARKS</v>
      </c>
      <c r="K143" s="130"/>
      <c r="L143" s="130"/>
      <c r="M143" s="130"/>
      <c r="N143" s="130"/>
      <c r="O143" s="130"/>
      <c r="P143" s="130"/>
      <c r="Q143" s="130"/>
      <c r="R143" s="130"/>
      <c r="S143" s="138"/>
      <c r="T143" s="117"/>
    </row>
    <row r="144" ht="16.5" spans="4:20">
      <c r="D144" s="37"/>
      <c r="E144" s="28"/>
      <c r="F144" s="28"/>
      <c r="G144" s="29"/>
      <c r="J144" s="145"/>
      <c r="K144" s="127"/>
      <c r="L144" s="127"/>
      <c r="M144" s="127"/>
      <c r="N144" s="127"/>
      <c r="O144" s="127"/>
      <c r="P144" s="146"/>
      <c r="Q144" s="76"/>
      <c r="R144" s="155"/>
      <c r="S144" s="156"/>
      <c r="T144" s="117"/>
    </row>
    <row r="145" ht="16.5" spans="4:20">
      <c r="D145" s="37"/>
      <c r="E145" s="28"/>
      <c r="F145" s="28"/>
      <c r="G145" s="29"/>
      <c r="J145" s="145"/>
      <c r="K145" s="127"/>
      <c r="L145" s="127"/>
      <c r="M145" s="127"/>
      <c r="N145" s="127"/>
      <c r="O145" s="127"/>
      <c r="P145" s="146"/>
      <c r="Q145" s="76"/>
      <c r="R145" s="155"/>
      <c r="S145" s="156"/>
      <c r="T145" s="117"/>
    </row>
    <row r="146" ht="16.5" spans="4:20">
      <c r="D146" s="37"/>
      <c r="E146" s="28"/>
      <c r="F146" s="28"/>
      <c r="G146" s="29"/>
      <c r="J146" s="145"/>
      <c r="K146" s="127"/>
      <c r="L146" s="127"/>
      <c r="M146" s="127"/>
      <c r="N146" s="127"/>
      <c r="O146" s="127"/>
      <c r="P146" s="146"/>
      <c r="Q146" s="76"/>
      <c r="R146" s="155"/>
      <c r="S146" s="156"/>
      <c r="T146" s="117"/>
    </row>
    <row r="147" ht="16.5" spans="4:20">
      <c r="D147" s="37"/>
      <c r="E147" s="28"/>
      <c r="F147" s="28"/>
      <c r="G147" s="29"/>
      <c r="J147" s="145"/>
      <c r="K147" s="127"/>
      <c r="L147" s="127"/>
      <c r="M147" s="127"/>
      <c r="N147" s="127"/>
      <c r="O147" s="127"/>
      <c r="P147" s="146"/>
      <c r="Q147" s="76"/>
      <c r="R147" s="155"/>
      <c r="S147" s="156"/>
      <c r="T147" s="117"/>
    </row>
    <row r="148" ht="17.25" spans="1:20">
      <c r="A148" t="str">
        <f t="shared" si="4"/>
        <v>显示</v>
      </c>
      <c r="D148" s="37"/>
      <c r="E148" s="28"/>
      <c r="F148" s="28"/>
      <c r="G148" s="29"/>
      <c r="J148" s="147"/>
      <c r="K148" s="148"/>
      <c r="L148" s="148"/>
      <c r="M148" s="148"/>
      <c r="N148" s="148"/>
      <c r="O148" s="148"/>
      <c r="P148" s="149"/>
      <c r="Q148" s="157"/>
      <c r="R148" s="158"/>
      <c r="S148" s="159"/>
      <c r="T148" s="47"/>
    </row>
    <row r="149" ht="16.5" spans="1:20">
      <c r="A149" t="str">
        <f t="shared" si="4"/>
        <v>显示</v>
      </c>
      <c r="D149" s="37"/>
      <c r="E149" s="28"/>
      <c r="F149" s="28"/>
      <c r="G149" s="29"/>
      <c r="I149" s="47"/>
      <c r="J149" s="47"/>
      <c r="K149" s="47"/>
      <c r="L149" s="47"/>
      <c r="M149" s="47"/>
      <c r="N149" s="47"/>
      <c r="O149" s="47"/>
      <c r="P149" s="47"/>
      <c r="Q149" s="47"/>
      <c r="R149" s="47"/>
      <c r="S149" s="47"/>
      <c r="T149" s="47"/>
    </row>
    <row r="150" spans="1:20">
      <c r="A150" t="str">
        <f t="shared" si="4"/>
        <v>显示</v>
      </c>
      <c r="E150" s="28"/>
      <c r="F150" s="28"/>
      <c r="G150" s="29"/>
      <c r="I150" s="47"/>
      <c r="J150" s="47"/>
      <c r="K150" s="47"/>
      <c r="L150" s="47"/>
      <c r="M150" s="47"/>
      <c r="N150" s="47"/>
      <c r="O150" s="47"/>
      <c r="P150" s="47"/>
      <c r="Q150" s="47"/>
      <c r="R150" s="47"/>
      <c r="S150" s="47"/>
      <c r="T150" s="47"/>
    </row>
    <row r="151" hidden="1" spans="1:20">
      <c r="A151" t="str">
        <f t="shared" si="4"/>
        <v>隐藏</v>
      </c>
      <c r="B151" t="str">
        <f>IF(Report_type="正式报告 Official Report","隐藏","显示")</f>
        <v>隐藏</v>
      </c>
      <c r="E151" s="28"/>
      <c r="F151" s="28"/>
      <c r="G151" s="29"/>
      <c r="I151" s="47"/>
      <c r="J151" s="47" t="str">
        <f>C80</f>
        <v>Master/Chief Officer</v>
      </c>
      <c r="K151" s="47"/>
      <c r="L151" s="47"/>
      <c r="M151" s="47"/>
      <c r="N151" s="47"/>
      <c r="O151" s="47"/>
      <c r="P151" s="47" t="str">
        <f>C81</f>
        <v>CCIC Surveyor</v>
      </c>
      <c r="Q151" s="47"/>
      <c r="R151" s="47"/>
      <c r="S151" s="47"/>
      <c r="T151" s="47"/>
    </row>
    <row r="152" hidden="1" spans="1:20">
      <c r="A152" t="str">
        <f t="shared" si="4"/>
        <v>隐藏</v>
      </c>
      <c r="B152" t="str">
        <f>IF(Report_type="正式报告 Official Report","隐藏","显示")</f>
        <v>隐藏</v>
      </c>
      <c r="E152" s="28"/>
      <c r="F152" s="28"/>
      <c r="G152" s="29"/>
      <c r="I152" s="47"/>
      <c r="J152" s="47" t="str">
        <f>C82</f>
        <v>Name</v>
      </c>
      <c r="K152" s="104"/>
      <c r="L152" s="104"/>
      <c r="M152" s="104"/>
      <c r="N152" s="47"/>
      <c r="O152" s="47"/>
      <c r="P152" s="47" t="str">
        <f>C82</f>
        <v>Name</v>
      </c>
      <c r="Q152" s="107" t="s">
        <v>10</v>
      </c>
      <c r="R152" s="107"/>
      <c r="S152" s="107"/>
      <c r="T152" s="47"/>
    </row>
    <row r="153" hidden="1" spans="1:20">
      <c r="A153" t="str">
        <f t="shared" si="4"/>
        <v>隐藏</v>
      </c>
      <c r="B153" t="str">
        <f>IF(Report_type="正式报告 Official Report","隐藏","显示")</f>
        <v>隐藏</v>
      </c>
      <c r="E153" s="28"/>
      <c r="F153" s="28"/>
      <c r="G153" s="29"/>
      <c r="I153" s="47"/>
      <c r="J153" s="47" t="str">
        <f>C83</f>
        <v>Signature</v>
      </c>
      <c r="K153" s="105"/>
      <c r="L153" s="105"/>
      <c r="M153" s="105"/>
      <c r="N153" s="47"/>
      <c r="O153" s="47"/>
      <c r="P153" s="47" t="str">
        <f>C83</f>
        <v>Signature</v>
      </c>
      <c r="Q153" s="105"/>
      <c r="R153" s="105"/>
      <c r="S153" s="105"/>
      <c r="T153" s="47"/>
    </row>
    <row r="154" spans="1:20">
      <c r="A154" t="str">
        <f t="shared" si="4"/>
        <v>显示</v>
      </c>
      <c r="E154" s="28"/>
      <c r="F154" s="28"/>
      <c r="G154" s="29"/>
      <c r="I154" s="47"/>
      <c r="J154" s="47"/>
      <c r="K154" s="47"/>
      <c r="L154" s="47"/>
      <c r="M154" s="47"/>
      <c r="N154" s="47"/>
      <c r="O154" s="47"/>
      <c r="P154" s="47"/>
      <c r="Q154" s="47"/>
      <c r="R154" s="47"/>
      <c r="S154" s="47"/>
      <c r="T154" s="47"/>
    </row>
    <row r="155" spans="1:20">
      <c r="A155" t="str">
        <f t="shared" si="4"/>
        <v>显示</v>
      </c>
      <c r="E155" s="28"/>
      <c r="F155" s="28"/>
      <c r="G155" s="29"/>
      <c r="I155" s="47"/>
      <c r="J155" s="47"/>
      <c r="K155" s="47"/>
      <c r="L155" s="47"/>
      <c r="M155" s="47"/>
      <c r="N155" s="47"/>
      <c r="O155" s="47"/>
      <c r="P155" s="47"/>
      <c r="Q155" s="47"/>
      <c r="R155" s="47"/>
      <c r="S155" s="47"/>
      <c r="T155" s="47"/>
    </row>
    <row r="156" spans="1:20">
      <c r="A156" t="str">
        <f t="shared" si="4"/>
        <v>显示</v>
      </c>
      <c r="B156" t="str">
        <f>IF(Report_type="正式报告 Official Report","显示","隐藏")</f>
        <v>显示</v>
      </c>
      <c r="E156" s="28"/>
      <c r="F156" s="28"/>
      <c r="G156" s="29"/>
      <c r="I156" s="47"/>
      <c r="J156" s="47"/>
      <c r="K156" s="47"/>
      <c r="L156" s="47"/>
      <c r="M156" s="47"/>
      <c r="N156" s="47"/>
      <c r="O156" s="47"/>
      <c r="P156" s="47"/>
      <c r="Q156" s="47"/>
      <c r="R156" s="47"/>
      <c r="S156" s="47"/>
      <c r="T156" s="47"/>
    </row>
    <row r="157" spans="1:20">
      <c r="A157" t="str">
        <f t="shared" si="4"/>
        <v>显示</v>
      </c>
      <c r="B157" t="str">
        <f>IF(Report_type="正式报告 Official Report","显示","隐藏")</f>
        <v>显示</v>
      </c>
      <c r="E157" s="28"/>
      <c r="F157" s="28"/>
      <c r="G157" s="29"/>
      <c r="I157" s="47"/>
      <c r="J157" s="47"/>
      <c r="K157" s="47"/>
      <c r="L157" s="47"/>
      <c r="M157" s="47"/>
      <c r="N157" s="47"/>
      <c r="O157" s="47"/>
      <c r="P157" s="150" t="str">
        <f>C84</f>
        <v>Authorized Signature (S)</v>
      </c>
      <c r="Q157" s="150"/>
      <c r="R157" s="150"/>
      <c r="S157" s="47"/>
      <c r="T157" s="47"/>
    </row>
    <row r="158" ht="16.5" spans="1:20">
      <c r="A158" t="str">
        <f t="shared" si="4"/>
        <v>显示</v>
      </c>
      <c r="D158" s="37"/>
      <c r="E158" s="28"/>
      <c r="F158" s="28"/>
      <c r="G158" s="29"/>
      <c r="I158" s="47"/>
      <c r="J158" s="47"/>
      <c r="K158" s="47"/>
      <c r="L158" s="47"/>
      <c r="M158" s="47"/>
      <c r="N158" s="47"/>
      <c r="O158" s="47"/>
      <c r="P158" s="47"/>
      <c r="Q158" s="47"/>
      <c r="R158" s="47"/>
      <c r="S158" s="47"/>
      <c r="T158" s="47"/>
    </row>
    <row r="159" ht="16.5" spans="1:20">
      <c r="A159" t="str">
        <f t="shared" si="4"/>
        <v>显示</v>
      </c>
      <c r="D159" s="37"/>
      <c r="E159" s="28"/>
      <c r="F159" s="38"/>
      <c r="G159" s="29"/>
      <c r="I159" s="47"/>
      <c r="J159" s="47"/>
      <c r="K159" s="47"/>
      <c r="L159" s="47"/>
      <c r="M159" s="47"/>
      <c r="N159" s="47"/>
      <c r="O159" s="47"/>
      <c r="P159" s="47"/>
      <c r="Q159" s="47"/>
      <c r="R159" s="47"/>
      <c r="S159" s="47"/>
      <c r="T159" s="47"/>
    </row>
    <row r="160" ht="16.5" spans="1:20">
      <c r="A160" t="str">
        <f t="shared" si="4"/>
        <v>显示</v>
      </c>
      <c r="D160" s="37"/>
      <c r="E160" s="28"/>
      <c r="F160" s="38"/>
      <c r="G160" s="29"/>
      <c r="I160" s="151" t="str">
        <f>C85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60" s="151"/>
      <c r="K160" s="151"/>
      <c r="L160" s="151"/>
      <c r="M160" s="151"/>
      <c r="N160" s="151"/>
      <c r="O160" s="151"/>
      <c r="P160" s="151"/>
      <c r="Q160" s="151"/>
      <c r="R160" s="151"/>
      <c r="S160" s="151"/>
      <c r="T160" s="151"/>
    </row>
    <row r="161" ht="16.5" spans="4:7">
      <c r="D161" s="37"/>
      <c r="E161" s="28"/>
      <c r="F161" s="38"/>
      <c r="G161" s="29"/>
    </row>
    <row r="162" ht="16.5" spans="4:7">
      <c r="D162" s="37"/>
      <c r="E162" s="38"/>
      <c r="F162" s="38"/>
      <c r="G162" s="29"/>
    </row>
    <row r="163" spans="4:7">
      <c r="D163" s="31"/>
      <c r="E163" s="28"/>
      <c r="F163" s="38"/>
      <c r="G163" s="29"/>
    </row>
    <row r="164" spans="4:7">
      <c r="D164" s="31"/>
      <c r="E164" s="38"/>
      <c r="F164" s="38"/>
      <c r="G164" s="29"/>
    </row>
  </sheetData>
  <mergeCells count="11">
    <mergeCell ref="P93:T93"/>
    <mergeCell ref="J101:O101"/>
    <mergeCell ref="P101:Q101"/>
    <mergeCell ref="R101:S101"/>
    <mergeCell ref="J102:O102"/>
    <mergeCell ref="J107:S107"/>
    <mergeCell ref="J143:S143"/>
    <mergeCell ref="Q152:S152"/>
    <mergeCell ref="P157:R157"/>
    <mergeCell ref="I160:T160"/>
    <mergeCell ref="I93:M99"/>
  </mergeCells>
  <pageMargins left="0.236220472440945" right="0.236220472440945" top="0.31496062992126" bottom="0.748031496062992" header="0.31496062992126" footer="0.31496062992126"/>
  <pageSetup paperSize="9" orientation="portrait"/>
  <headerFooter>
    <oddHeader>&amp;L&amp;G</oddHeader>
  </headerFooter>
  <drawing r:id="rId1"/>
  <legacyDrawing r:id="rId2"/>
  <legacyDrawingHF r:id="rId13"/>
  <mc:AlternateContent xmlns:mc="http://schemas.openxmlformats.org/markup-compatibility/2006">
    <mc:Choice Requires="x14">
      <controls>
        <mc:AlternateContent xmlns:mc="http://schemas.openxmlformats.org/markup-compatibility/2006">
          <mc:Choice Requires="x14">
            <control shapeId="23559" name="Drop Down 7" r:id="rId3">
              <controlPr defaultSize="0">
                <anchor moveWithCells="1">
                  <from>
                    <xdr:col>20</xdr:col>
                    <xdr:colOff>388620</xdr:colOff>
                    <xdr:row>90</xdr:row>
                    <xdr:rowOff>60960</xdr:rowOff>
                  </from>
                  <to>
                    <xdr:col>24</xdr:col>
                    <xdr:colOff>388620</xdr:colOff>
                    <xdr:row>91</xdr:row>
                    <xdr:rowOff>106680</xdr:rowOff>
                  </to>
                </anchor>
              </controlPr>
            </control>
          </mc:Choice>
        </mc:AlternateContent>
        <mc:AlternateContent xmlns:mc="http://schemas.openxmlformats.org/markup-compatibility/2006">
          <mc:Choice Requires="x14">
            <control shapeId="23572" name="Check Box 20" r:id="rId4">
              <controlPr defaultSize="0">
                <anchor moveWithCells="1" sizeWithCells="1">
                  <from>
                    <xdr:col>9</xdr:col>
                    <xdr:colOff>228600</xdr:colOff>
                    <xdr:row>119</xdr:row>
                    <xdr:rowOff>152400</xdr:rowOff>
                  </from>
                  <to>
                    <xdr:col>9</xdr:col>
                    <xdr:colOff>441960</xdr:colOff>
                    <xdr:row>121</xdr:row>
                    <xdr:rowOff>0</xdr:rowOff>
                  </to>
                </anchor>
              </controlPr>
            </control>
          </mc:Choice>
        </mc:AlternateContent>
        <mc:AlternateContent xmlns:mc="http://schemas.openxmlformats.org/markup-compatibility/2006">
          <mc:Choice Requires="x14">
            <control shapeId="23573" name="Check Box 21" r:id="rId5">
              <controlPr defaultSize="0">
                <anchor moveWithCells="1" sizeWithCells="1">
                  <from>
                    <xdr:col>10</xdr:col>
                    <xdr:colOff>312420</xdr:colOff>
                    <xdr:row>119</xdr:row>
                    <xdr:rowOff>152400</xdr:rowOff>
                  </from>
                  <to>
                    <xdr:col>11</xdr:col>
                    <xdr:colOff>60960</xdr:colOff>
                    <xdr:row>121</xdr:row>
                    <xdr:rowOff>0</xdr:rowOff>
                  </to>
                </anchor>
              </controlPr>
            </control>
          </mc:Choice>
        </mc:AlternateContent>
        <mc:AlternateContent xmlns:mc="http://schemas.openxmlformats.org/markup-compatibility/2006">
          <mc:Choice Requires="x14">
            <control shapeId="23574" name="Check Box 22" r:id="rId6">
              <controlPr defaultSize="0">
                <anchor moveWithCells="1" sizeWithCells="1">
                  <from>
                    <xdr:col>9</xdr:col>
                    <xdr:colOff>228600</xdr:colOff>
                    <xdr:row>126</xdr:row>
                    <xdr:rowOff>152400</xdr:rowOff>
                  </from>
                  <to>
                    <xdr:col>9</xdr:col>
                    <xdr:colOff>441960</xdr:colOff>
                    <xdr:row>128</xdr:row>
                    <xdr:rowOff>0</xdr:rowOff>
                  </to>
                </anchor>
              </controlPr>
            </control>
          </mc:Choice>
        </mc:AlternateContent>
        <mc:AlternateContent xmlns:mc="http://schemas.openxmlformats.org/markup-compatibility/2006">
          <mc:Choice Requires="x14">
            <control shapeId="23575" name="Check Box 23" r:id="rId7">
              <controlPr defaultSize="0">
                <anchor moveWithCells="1" sizeWithCells="1">
                  <from>
                    <xdr:col>10</xdr:col>
                    <xdr:colOff>312420</xdr:colOff>
                    <xdr:row>126</xdr:row>
                    <xdr:rowOff>152400</xdr:rowOff>
                  </from>
                  <to>
                    <xdr:col>11</xdr:col>
                    <xdr:colOff>60960</xdr:colOff>
                    <xdr:row>128</xdr:row>
                    <xdr:rowOff>0</xdr:rowOff>
                  </to>
                </anchor>
              </controlPr>
            </control>
          </mc:Choice>
        </mc:AlternateContent>
        <mc:AlternateContent xmlns:mc="http://schemas.openxmlformats.org/markup-compatibility/2006">
          <mc:Choice Requires="x14">
            <control shapeId="23581" name="Check Box 29" r:id="rId8">
              <controlPr defaultSize="0">
                <anchor moveWithCells="1" sizeWithCells="1">
                  <from>
                    <xdr:col>9</xdr:col>
                    <xdr:colOff>228600</xdr:colOff>
                    <xdr:row>129</xdr:row>
                    <xdr:rowOff>152400</xdr:rowOff>
                  </from>
                  <to>
                    <xdr:col>9</xdr:col>
                    <xdr:colOff>441960</xdr:colOff>
                    <xdr:row>131</xdr:row>
                    <xdr:rowOff>0</xdr:rowOff>
                  </to>
                </anchor>
              </controlPr>
            </control>
          </mc:Choice>
        </mc:AlternateContent>
        <mc:AlternateContent xmlns:mc="http://schemas.openxmlformats.org/markup-compatibility/2006">
          <mc:Choice Requires="x14">
            <control shapeId="23582" name="Check Box 30" r:id="rId9">
              <controlPr defaultSize="0">
                <anchor moveWithCells="1" sizeWithCells="1">
                  <from>
                    <xdr:col>10</xdr:col>
                    <xdr:colOff>320040</xdr:colOff>
                    <xdr:row>129</xdr:row>
                    <xdr:rowOff>152400</xdr:rowOff>
                  </from>
                  <to>
                    <xdr:col>11</xdr:col>
                    <xdr:colOff>68580</xdr:colOff>
                    <xdr:row>131</xdr:row>
                    <xdr:rowOff>0</xdr:rowOff>
                  </to>
                </anchor>
              </controlPr>
            </control>
          </mc:Choice>
        </mc:AlternateContent>
        <mc:AlternateContent xmlns:mc="http://schemas.openxmlformats.org/markup-compatibility/2006">
          <mc:Choice Requires="x14">
            <control shapeId="23583" name="Check Box 31" r:id="rId10">
              <controlPr defaultSize="0">
                <anchor moveWithCells="1" sizeWithCells="1">
                  <from>
                    <xdr:col>9</xdr:col>
                    <xdr:colOff>228600</xdr:colOff>
                    <xdr:row>136</xdr:row>
                    <xdr:rowOff>152400</xdr:rowOff>
                  </from>
                  <to>
                    <xdr:col>9</xdr:col>
                    <xdr:colOff>441960</xdr:colOff>
                    <xdr:row>138</xdr:row>
                    <xdr:rowOff>0</xdr:rowOff>
                  </to>
                </anchor>
              </controlPr>
            </control>
          </mc:Choice>
        </mc:AlternateContent>
        <mc:AlternateContent xmlns:mc="http://schemas.openxmlformats.org/markup-compatibility/2006">
          <mc:Choice Requires="x14">
            <control shapeId="23584" name="Check Box 32" r:id="rId11">
              <controlPr defaultSize="0">
                <anchor moveWithCells="1" sizeWithCells="1">
                  <from>
                    <xdr:col>10</xdr:col>
                    <xdr:colOff>320040</xdr:colOff>
                    <xdr:row>136</xdr:row>
                    <xdr:rowOff>152400</xdr:rowOff>
                  </from>
                  <to>
                    <xdr:col>11</xdr:col>
                    <xdr:colOff>68580</xdr:colOff>
                    <xdr:row>138</xdr:row>
                    <xdr:rowOff>0</xdr:rowOff>
                  </to>
                </anchor>
              </controlPr>
            </control>
          </mc:Choice>
        </mc:AlternateContent>
        <mc:AlternateContent xmlns:mc="http://schemas.openxmlformats.org/markup-compatibility/2006">
          <mc:Choice Requires="x14">
            <control shapeId="23585" name="Button 33" r:id="rId12">
              <controlPr print="0" defaultSize="0">
                <anchor moveWithCells="1">
                  <from>
                    <xdr:col>20</xdr:col>
                    <xdr:colOff>373380</xdr:colOff>
                    <xdr:row>88</xdr:row>
                    <xdr:rowOff>114300</xdr:rowOff>
                  </from>
                  <to>
                    <xdr:col>24</xdr:col>
                    <xdr:colOff>373380</xdr:colOff>
                    <xdr:row>90</xdr:row>
                    <xdr:rowOff>15240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X157"/>
  <sheetViews>
    <sheetView showGridLines="0" zoomScale="115" zoomScaleNormal="115" topLeftCell="A94" workbookViewId="0">
      <selection activeCell="U112" sqref="U112:U119"/>
    </sheetView>
  </sheetViews>
  <sheetFormatPr defaultColWidth="9" defaultRowHeight="14.25"/>
  <cols>
    <col min="1" max="1" width="8.88333333333333" customWidth="1"/>
    <col min="2" max="2" width="2.10833333333333" customWidth="1"/>
    <col min="3" max="4" width="8.88333333333333" customWidth="1"/>
    <col min="5" max="5" width="7.88333333333333" customWidth="1"/>
    <col min="6" max="6" width="7.775" customWidth="1"/>
    <col min="7" max="7" width="10.2166666666667" customWidth="1"/>
    <col min="8" max="11" width="10" customWidth="1"/>
    <col min="12" max="12" width="7.33333333333333" customWidth="1"/>
    <col min="13" max="13" width="4.10833333333333" customWidth="1"/>
    <col min="14" max="14" width="10.4416666666667" hidden="1" customWidth="1"/>
    <col min="15" max="15" width="9" hidden="1" customWidth="1"/>
    <col min="16" max="16" width="9.88333333333333" hidden="1" customWidth="1"/>
    <col min="17" max="19" width="9" hidden="1" customWidth="1"/>
    <col min="20" max="20" width="4.66666666666667" customWidth="1"/>
    <col min="21" max="16384" width="8.88333333333333"/>
  </cols>
  <sheetData>
    <row r="1" ht="15" hidden="1" customHeight="1" spans="2:16">
      <c r="B1" s="1" t="s">
        <v>13</v>
      </c>
      <c r="C1" s="1" t="s">
        <v>14</v>
      </c>
      <c r="D1" s="2"/>
      <c r="E1" s="47" t="s">
        <v>78</v>
      </c>
      <c r="F1" s="52" t="s">
        <v>79</v>
      </c>
      <c r="G1" s="2" t="str">
        <f t="shared" ref="G1:G32" si="0">IF(Report_Language=$B$1,E1,F1)</f>
        <v>Obtaining shore tank(s) open sample</v>
      </c>
      <c r="H1" s="53" t="s">
        <v>2</v>
      </c>
      <c r="I1" s="53">
        <v>1</v>
      </c>
      <c r="J1" s="53" t="str">
        <f>INDEX(H1:H2,I1,0)</f>
        <v>英文 English</v>
      </c>
      <c r="M1" s="25"/>
      <c r="N1" s="26"/>
      <c r="O1" s="26"/>
      <c r="P1" s="27"/>
    </row>
    <row r="2" hidden="1" spans="2:16">
      <c r="B2" s="3" t="s">
        <v>80</v>
      </c>
      <c r="C2" s="3" t="s">
        <v>81</v>
      </c>
      <c r="D2" s="2" t="str">
        <f t="shared" ref="D2:D33" si="1">IF(Report_Language=$B$1,B2,C2)</f>
        <v>JOB NO.:</v>
      </c>
      <c r="E2" s="47" t="s">
        <v>82</v>
      </c>
      <c r="F2" s="52" t="s">
        <v>83</v>
      </c>
      <c r="G2" s="2" t="str">
        <f t="shared" si="0"/>
        <v>Perform shore tank(s) open measurent</v>
      </c>
      <c r="H2" s="53" t="s">
        <v>1</v>
      </c>
      <c r="I2" s="53">
        <v>2</v>
      </c>
      <c r="J2" s="53" t="str">
        <f>INDEX(H26:H27,I2,0)</f>
        <v>正式报告 Official Report</v>
      </c>
      <c r="M2" s="25"/>
      <c r="N2" s="28"/>
      <c r="O2" s="28"/>
      <c r="P2" s="29"/>
    </row>
    <row r="3" hidden="1" spans="2:16">
      <c r="B3" s="4" t="s">
        <v>84</v>
      </c>
      <c r="C3" s="4" t="s">
        <v>85</v>
      </c>
      <c r="D3" s="2" t="str">
        <f t="shared" si="1"/>
        <v>DATE OF REPORT:</v>
      </c>
      <c r="E3" s="47" t="s">
        <v>86</v>
      </c>
      <c r="F3" s="52" t="s">
        <v>87</v>
      </c>
      <c r="G3" s="2" t="str">
        <f t="shared" si="0"/>
        <v>Obtaining shore tank(s) close sample</v>
      </c>
      <c r="H3" s="54" t="s">
        <v>88</v>
      </c>
      <c r="I3" s="53">
        <v>2</v>
      </c>
      <c r="J3" s="53" t="str">
        <f>INDEX(H28:H31,I3,0)</f>
        <v>B--成品油 Refined Products</v>
      </c>
      <c r="M3" s="25"/>
      <c r="N3" s="28"/>
      <c r="O3" s="28"/>
      <c r="P3" s="29"/>
    </row>
    <row r="4" hidden="1" spans="2:16">
      <c r="B4" s="3" t="s">
        <v>20</v>
      </c>
      <c r="C4" s="3" t="s">
        <v>21</v>
      </c>
      <c r="D4" s="2" t="str">
        <f t="shared" si="1"/>
        <v>APPLICANT</v>
      </c>
      <c r="E4" s="47" t="s">
        <v>89</v>
      </c>
      <c r="F4" s="52" t="s">
        <v>90</v>
      </c>
      <c r="G4" s="2" t="str">
        <f t="shared" si="0"/>
        <v>Perform shore tank(s) close measurent</v>
      </c>
      <c r="H4" s="54" t="s">
        <v>91</v>
      </c>
      <c r="I4" s="53">
        <v>14</v>
      </c>
      <c r="J4" s="53" t="str">
        <f>INDEX(H3:H20,I4,0)</f>
        <v>T-60B</v>
      </c>
      <c r="K4" t="str">
        <f>LEFT(J3,1)</f>
        <v>B</v>
      </c>
      <c r="M4" s="25"/>
      <c r="N4" s="28"/>
      <c r="O4" s="28"/>
      <c r="P4" s="29"/>
    </row>
    <row r="5" hidden="1" spans="2:16">
      <c r="B5" s="4" t="s">
        <v>23</v>
      </c>
      <c r="C5" s="4" t="s">
        <v>24</v>
      </c>
      <c r="D5" s="2" t="str">
        <f t="shared" si="1"/>
        <v>CLIENT'S REF. NO.</v>
      </c>
      <c r="E5" s="47"/>
      <c r="F5" s="47"/>
      <c r="G5" s="2">
        <f t="shared" si="0"/>
        <v>0</v>
      </c>
      <c r="H5" s="54" t="s">
        <v>92</v>
      </c>
      <c r="I5" s="53">
        <v>3</v>
      </c>
      <c r="J5" s="53">
        <f>INDEX(H23:H25,I5,0)</f>
        <v>2004</v>
      </c>
      <c r="M5" s="25"/>
      <c r="N5" s="28"/>
      <c r="O5" s="28"/>
      <c r="P5" s="29"/>
    </row>
    <row r="6" hidden="1" spans="2:16">
      <c r="B6" s="3" t="s">
        <v>25</v>
      </c>
      <c r="C6" s="3" t="s">
        <v>26</v>
      </c>
      <c r="D6" s="2" t="str">
        <f t="shared" si="1"/>
        <v>COMMODITY</v>
      </c>
      <c r="E6" s="55" t="s">
        <v>93</v>
      </c>
      <c r="F6" s="56" t="s">
        <v>94</v>
      </c>
      <c r="G6" s="2" t="str">
        <f t="shared" si="0"/>
        <v>End of sea passage</v>
      </c>
      <c r="H6" s="54" t="s">
        <v>95</v>
      </c>
      <c r="I6" s="53">
        <v>1</v>
      </c>
      <c r="J6" s="53" t="str">
        <f>INDEX(H21:H22,I6,0)</f>
        <v>ASTM D1250-1980</v>
      </c>
      <c r="M6" s="25"/>
      <c r="N6" s="28"/>
      <c r="O6" s="28"/>
      <c r="P6" s="29"/>
    </row>
    <row r="7" hidden="1" spans="2:16">
      <c r="B7" s="4" t="s">
        <v>28</v>
      </c>
      <c r="C7" s="4" t="s">
        <v>29</v>
      </c>
      <c r="D7" s="2" t="str">
        <f t="shared" si="1"/>
        <v>VESSEL</v>
      </c>
      <c r="E7" s="55" t="s">
        <v>96</v>
      </c>
      <c r="F7" s="55" t="s">
        <v>97</v>
      </c>
      <c r="G7" s="2" t="str">
        <f t="shared" si="0"/>
        <v>Notice of readiness tendered</v>
      </c>
      <c r="H7" s="54" t="s">
        <v>98</v>
      </c>
      <c r="I7" s="53">
        <v>4</v>
      </c>
      <c r="J7" s="53" t="str">
        <f>IF(I7=1,"Den15",IF(I7=2,"Den20",IF(I7=3,"API","SG")))</f>
        <v>SG</v>
      </c>
      <c r="M7" s="25"/>
      <c r="N7" s="28"/>
      <c r="O7" s="28"/>
      <c r="P7" s="29"/>
    </row>
    <row r="8" hidden="1" spans="2:16">
      <c r="B8" s="3" t="s">
        <v>31</v>
      </c>
      <c r="C8" s="3" t="s">
        <v>32</v>
      </c>
      <c r="D8" s="2" t="str">
        <f t="shared" si="1"/>
        <v>PORT</v>
      </c>
      <c r="E8" s="55" t="s">
        <v>99</v>
      </c>
      <c r="F8" s="55" t="s">
        <v>100</v>
      </c>
      <c r="G8" s="2" t="str">
        <f t="shared" si="0"/>
        <v>Notice of readiness accepted</v>
      </c>
      <c r="H8" s="54" t="s">
        <v>101</v>
      </c>
      <c r="I8" s="53"/>
      <c r="J8" s="53"/>
      <c r="M8" s="25"/>
      <c r="N8" s="28"/>
      <c r="O8" s="28"/>
      <c r="P8" s="29"/>
    </row>
    <row r="9" hidden="1" spans="2:16">
      <c r="B9" s="6" t="s">
        <v>34</v>
      </c>
      <c r="C9" s="4" t="s">
        <v>35</v>
      </c>
      <c r="D9" s="2" t="str">
        <f t="shared" si="1"/>
        <v>TERMINAL</v>
      </c>
      <c r="E9" s="55" t="s">
        <v>102</v>
      </c>
      <c r="F9" s="55" t="s">
        <v>103</v>
      </c>
      <c r="G9" s="2" t="str">
        <f t="shared" si="0"/>
        <v>Pilot on board</v>
      </c>
      <c r="H9" s="54" t="s">
        <v>104</v>
      </c>
      <c r="I9" s="53"/>
      <c r="J9" s="53"/>
      <c r="M9" s="25"/>
      <c r="N9" s="28"/>
      <c r="O9" s="28"/>
      <c r="P9" s="29"/>
    </row>
    <row r="10" ht="15" hidden="1" customHeight="1" spans="2:16">
      <c r="B10" s="4" t="s">
        <v>36</v>
      </c>
      <c r="C10" s="4" t="s">
        <v>37</v>
      </c>
      <c r="D10" s="2" t="str">
        <f t="shared" si="1"/>
        <v>DATE OF INSPECTION</v>
      </c>
      <c r="E10" s="55" t="s">
        <v>105</v>
      </c>
      <c r="F10" s="57" t="s">
        <v>106</v>
      </c>
      <c r="G10" s="2" t="str">
        <f t="shared" si="0"/>
        <v>First line ashore</v>
      </c>
      <c r="H10" s="54" t="s">
        <v>107</v>
      </c>
      <c r="I10" s="53"/>
      <c r="J10" s="53"/>
      <c r="M10" s="25"/>
      <c r="N10" s="28"/>
      <c r="O10" s="28"/>
      <c r="P10" s="29"/>
    </row>
    <row r="11" hidden="1" spans="2:16">
      <c r="B11" s="7" t="s">
        <v>44</v>
      </c>
      <c r="C11" s="2" t="str">
        <f>B11</f>
        <v>SG0020031202-I</v>
      </c>
      <c r="D11" s="2" t="s">
        <v>45</v>
      </c>
      <c r="E11" s="47" t="s">
        <v>108</v>
      </c>
      <c r="F11" s="58" t="s">
        <v>109</v>
      </c>
      <c r="G11" s="2" t="str">
        <f t="shared" si="0"/>
        <v>Docked (Gangway in place)</v>
      </c>
      <c r="H11" s="54" t="s">
        <v>110</v>
      </c>
      <c r="I11" s="53"/>
      <c r="J11" s="53"/>
      <c r="M11" s="25"/>
      <c r="N11" s="28"/>
      <c r="O11" s="28"/>
      <c r="P11" s="29"/>
    </row>
    <row r="12" hidden="1" spans="2:16">
      <c r="B12" s="8" t="s">
        <v>46</v>
      </c>
      <c r="C12" s="2" t="str">
        <f>B12</f>
        <v>YYYY-MM-DD</v>
      </c>
      <c r="D12" s="2" t="s">
        <v>46</v>
      </c>
      <c r="E12" s="47" t="s">
        <v>111</v>
      </c>
      <c r="F12" s="47" t="s">
        <v>112</v>
      </c>
      <c r="G12" s="2" t="str">
        <f t="shared" si="0"/>
        <v>All fast</v>
      </c>
      <c r="H12" s="54" t="s">
        <v>113</v>
      </c>
      <c r="I12" s="53"/>
      <c r="J12" s="53"/>
      <c r="M12" s="25"/>
      <c r="N12" s="28"/>
      <c r="O12" s="28"/>
      <c r="P12" s="29"/>
    </row>
    <row r="13" hidden="1" spans="2:16">
      <c r="B13" s="7" t="s">
        <v>48</v>
      </c>
      <c r="C13" s="9" t="s">
        <v>49</v>
      </c>
      <c r="D13" s="2" t="str">
        <f t="shared" si="1"/>
        <v>PETROCHINA </v>
      </c>
      <c r="E13" s="55" t="s">
        <v>114</v>
      </c>
      <c r="F13" s="58" t="s">
        <v>115</v>
      </c>
      <c r="G13" s="2" t="str">
        <f t="shared" si="0"/>
        <v>Vessel cleared by governmental official</v>
      </c>
      <c r="H13" s="54" t="s">
        <v>116</v>
      </c>
      <c r="I13" s="53"/>
      <c r="J13" s="53"/>
      <c r="M13" s="25"/>
      <c r="N13" s="28"/>
      <c r="O13" s="28"/>
      <c r="P13" s="29"/>
    </row>
    <row r="14" hidden="1" spans="2:16">
      <c r="B14" s="7" t="s">
        <v>50</v>
      </c>
      <c r="C14" s="7" t="s">
        <v>117</v>
      </c>
      <c r="D14" s="2" t="s">
        <v>51</v>
      </c>
      <c r="E14" s="47" t="s">
        <v>118</v>
      </c>
      <c r="F14" s="52" t="s">
        <v>119</v>
      </c>
      <c r="G14" s="2" t="str">
        <f t="shared" si="0"/>
        <v>Surveyor on board</v>
      </c>
      <c r="H14" s="54" t="s">
        <v>120</v>
      </c>
      <c r="I14" s="53"/>
      <c r="J14" s="53"/>
      <c r="M14" s="25"/>
      <c r="N14" s="28"/>
      <c r="O14" s="28"/>
      <c r="P14" s="29"/>
    </row>
    <row r="15" hidden="1" spans="2:16">
      <c r="B15" s="7" t="s">
        <v>52</v>
      </c>
      <c r="C15" s="9" t="s">
        <v>53</v>
      </c>
      <c r="D15" s="2" t="str">
        <f t="shared" si="1"/>
        <v>Crude Oil6658</v>
      </c>
      <c r="E15" s="47" t="s">
        <v>121</v>
      </c>
      <c r="F15" s="52" t="s">
        <v>122</v>
      </c>
      <c r="G15" s="2" t="str">
        <f t="shared" si="0"/>
        <v>Key meeting held</v>
      </c>
      <c r="H15" s="54" t="s">
        <v>123</v>
      </c>
      <c r="I15" s="53"/>
      <c r="J15" s="53"/>
      <c r="M15" s="25"/>
      <c r="N15" s="28"/>
      <c r="O15" s="28"/>
      <c r="P15" s="29"/>
    </row>
    <row r="16" hidden="1" spans="2:16">
      <c r="B16" s="7" t="s">
        <v>54</v>
      </c>
      <c r="C16" s="2" t="s">
        <v>55</v>
      </c>
      <c r="D16" s="2" t="str">
        <f t="shared" si="1"/>
        <v>MT ZhenYuanefdasdf</v>
      </c>
      <c r="E16" s="47" t="s">
        <v>124</v>
      </c>
      <c r="F16" s="52" t="s">
        <v>125</v>
      </c>
      <c r="G16" s="2" t="str">
        <f t="shared" si="0"/>
        <v>Vessel tanks sampling</v>
      </c>
      <c r="H16" s="54" t="s">
        <v>126</v>
      </c>
      <c r="I16" s="53"/>
      <c r="J16" s="53"/>
      <c r="M16" s="25"/>
      <c r="N16" s="28"/>
      <c r="O16" s="28"/>
      <c r="P16" s="29"/>
    </row>
    <row r="17" ht="15.6" hidden="1" customHeight="1" spans="2:16">
      <c r="B17" s="7" t="s">
        <v>56</v>
      </c>
      <c r="C17" s="9" t="s">
        <v>57</v>
      </c>
      <c r="D17" s="2" t="str">
        <f t="shared" si="1"/>
        <v>Dalian, Chinafsadfa</v>
      </c>
      <c r="E17" s="47" t="s">
        <v>127</v>
      </c>
      <c r="F17" s="52" t="s">
        <v>128</v>
      </c>
      <c r="G17" s="2" t="str">
        <f t="shared" si="0"/>
        <v>Vessel tanks measurement</v>
      </c>
      <c r="H17" s="54" t="s">
        <v>129</v>
      </c>
      <c r="I17" s="53"/>
      <c r="J17" s="53"/>
      <c r="M17" s="25"/>
      <c r="N17" s="28"/>
      <c r="O17" s="28"/>
      <c r="P17" s="29"/>
    </row>
    <row r="18" hidden="1" spans="2:16">
      <c r="B18" s="7" t="s">
        <v>58</v>
      </c>
      <c r="C18" s="9" t="s">
        <v>59</v>
      </c>
      <c r="D18" s="2" t="str">
        <f t="shared" si="1"/>
        <v>Dalian Chinaoil, China1325415</v>
      </c>
      <c r="E18" s="47" t="s">
        <v>130</v>
      </c>
      <c r="F18" s="52" t="s">
        <v>131</v>
      </c>
      <c r="G18" s="2" t="str">
        <f t="shared" si="0"/>
        <v>Calculation and figures agreed</v>
      </c>
      <c r="H18" s="54" t="s">
        <v>132</v>
      </c>
      <c r="I18" s="53"/>
      <c r="J18" s="53"/>
      <c r="M18" s="25"/>
      <c r="N18" s="28"/>
      <c r="O18" s="28"/>
      <c r="P18" s="29"/>
    </row>
    <row r="19" hidden="1" spans="2:16">
      <c r="B19" s="10" t="s">
        <v>133</v>
      </c>
      <c r="C19" s="11" t="str">
        <f>B19</f>
        <v>YYYY-MM-DD -- YYYY-MM-DD</v>
      </c>
      <c r="D19" s="2" t="s">
        <v>60</v>
      </c>
      <c r="E19" s="47" t="s">
        <v>134</v>
      </c>
      <c r="F19" s="47" t="s">
        <v>135</v>
      </c>
      <c r="G19" s="2" t="str">
        <f t="shared" si="0"/>
        <v>       Arms/          Hoses connected</v>
      </c>
      <c r="H19" s="59" t="s">
        <v>136</v>
      </c>
      <c r="I19" s="53"/>
      <c r="J19" s="53"/>
      <c r="M19" s="25"/>
      <c r="N19" s="28"/>
      <c r="O19" s="28"/>
      <c r="P19" s="29"/>
    </row>
    <row r="20" hidden="1" spans="2:16">
      <c r="B20" s="13" t="s">
        <v>137</v>
      </c>
      <c r="C20" s="13" t="s">
        <v>138</v>
      </c>
      <c r="D20" s="2" t="str">
        <f t="shared" si="1"/>
        <v>Density@15℃ (g/cm³)</v>
      </c>
      <c r="E20" s="47" t="s">
        <v>139</v>
      </c>
      <c r="F20" s="52" t="s">
        <v>140</v>
      </c>
      <c r="G20" s="2" t="str">
        <f t="shared" si="0"/>
        <v>Samples analysis passed</v>
      </c>
      <c r="H20" s="54" t="s">
        <v>141</v>
      </c>
      <c r="I20" s="53"/>
      <c r="J20" s="53"/>
      <c r="M20" s="25"/>
      <c r="N20" s="28"/>
      <c r="O20" s="28"/>
      <c r="P20" s="29"/>
    </row>
    <row r="21" hidden="1" spans="2:16">
      <c r="B21" s="14" t="s">
        <v>142</v>
      </c>
      <c r="C21" s="14" t="s">
        <v>143</v>
      </c>
      <c r="D21" s="2" t="str">
        <f t="shared" si="1"/>
        <v>Density@20℃ (g/cm³)</v>
      </c>
      <c r="E21" s="47" t="s">
        <v>144</v>
      </c>
      <c r="F21" s="52" t="s">
        <v>145</v>
      </c>
      <c r="G21" s="2" t="str">
        <f t="shared" si="0"/>
        <v>Commenced discharge</v>
      </c>
      <c r="H21" s="54" t="s">
        <v>5</v>
      </c>
      <c r="I21" s="53"/>
      <c r="J21" s="53"/>
      <c r="M21" s="25"/>
      <c r="N21" s="28"/>
      <c r="O21" s="28"/>
      <c r="P21" s="29"/>
    </row>
    <row r="22" ht="15" hidden="1" customHeight="1" spans="2:16">
      <c r="B22" s="13" t="s">
        <v>146</v>
      </c>
      <c r="C22" s="13" t="s">
        <v>146</v>
      </c>
      <c r="D22" s="2" t="str">
        <f t="shared" si="1"/>
        <v>API@60℉</v>
      </c>
      <c r="E22" s="47" t="s">
        <v>147</v>
      </c>
      <c r="F22" s="52" t="s">
        <v>148</v>
      </c>
      <c r="G22" s="2" t="str">
        <f t="shared" si="0"/>
        <v>Suspended discharge for line displacement verification</v>
      </c>
      <c r="H22" s="54" t="s">
        <v>6</v>
      </c>
      <c r="I22" s="53"/>
      <c r="J22" s="53"/>
      <c r="M22" s="25"/>
      <c r="N22" s="28"/>
      <c r="O22" s="28"/>
      <c r="P22" s="29"/>
    </row>
    <row r="23" hidden="1" spans="2:16">
      <c r="B23" s="14" t="s">
        <v>149</v>
      </c>
      <c r="C23" s="14" t="s">
        <v>150</v>
      </c>
      <c r="D23" s="2" t="str">
        <f t="shared" si="1"/>
        <v>S.G.@60℉/60℉</v>
      </c>
      <c r="E23" s="47" t="s">
        <v>151</v>
      </c>
      <c r="F23" s="52" t="s">
        <v>152</v>
      </c>
      <c r="G23" s="2" t="str">
        <f t="shared" si="0"/>
        <v>Resumed discharge</v>
      </c>
      <c r="H23" s="59">
        <v>1952</v>
      </c>
      <c r="I23" s="53"/>
      <c r="J23" s="53"/>
      <c r="M23" s="25"/>
      <c r="N23" s="28"/>
      <c r="O23" s="28"/>
      <c r="P23" s="29"/>
    </row>
    <row r="24" hidden="1" spans="2:16">
      <c r="B24" s="15" t="s">
        <v>153</v>
      </c>
      <c r="C24" s="15" t="s">
        <v>154</v>
      </c>
      <c r="D24" s="2" t="str">
        <f t="shared" si="1"/>
        <v>α60℉ (1/℉)</v>
      </c>
      <c r="E24" s="47" t="s">
        <v>155</v>
      </c>
      <c r="F24" s="52" t="s">
        <v>156</v>
      </c>
      <c r="G24" s="2" t="str">
        <f t="shared" si="0"/>
        <v>Completed discharge</v>
      </c>
      <c r="H24" s="59">
        <v>1980</v>
      </c>
      <c r="I24" s="53"/>
      <c r="J24" s="53"/>
      <c r="M24" s="25"/>
      <c r="N24" s="28"/>
      <c r="O24" s="28"/>
      <c r="P24" s="29"/>
    </row>
    <row r="25" hidden="1" spans="2:16">
      <c r="B25" s="15" t="s">
        <v>157</v>
      </c>
      <c r="C25" s="15" t="s">
        <v>158</v>
      </c>
      <c r="D25" s="2" t="str">
        <f t="shared" si="1"/>
        <v>α60℉ (1/℃)</v>
      </c>
      <c r="E25" s="47" t="s">
        <v>159</v>
      </c>
      <c r="F25" s="52" t="s">
        <v>160</v>
      </c>
      <c r="G25" s="2" t="str">
        <f t="shared" si="0"/>
        <v>Vessel tanks inspection</v>
      </c>
      <c r="H25" s="59">
        <v>2004</v>
      </c>
      <c r="I25" s="53"/>
      <c r="J25" s="53"/>
      <c r="M25" s="25"/>
      <c r="N25" s="28"/>
      <c r="O25" s="28"/>
      <c r="P25" s="29"/>
    </row>
    <row r="26" hidden="1" spans="2:16">
      <c r="B26" s="14" t="s">
        <v>161</v>
      </c>
      <c r="C26" s="14" t="s">
        <v>162</v>
      </c>
      <c r="D26" s="2" t="str">
        <f t="shared" si="1"/>
        <v>Density@15℃ (kg/m³)</v>
      </c>
      <c r="E26" s="47" t="s">
        <v>163</v>
      </c>
      <c r="F26" s="47" t="s">
        <v>164</v>
      </c>
      <c r="G26" s="2" t="str">
        <f t="shared" si="0"/>
        <v>       Arms/          Hoses disconnected</v>
      </c>
      <c r="H26" s="60" t="s">
        <v>165</v>
      </c>
      <c r="I26" s="53"/>
      <c r="J26" s="53"/>
      <c r="M26" s="25"/>
      <c r="N26" s="28"/>
      <c r="P26" s="29" t="s">
        <v>166</v>
      </c>
    </row>
    <row r="27" hidden="1" spans="2:16">
      <c r="B27" s="13" t="s">
        <v>167</v>
      </c>
      <c r="C27" s="13" t="s">
        <v>168</v>
      </c>
      <c r="D27" s="2" t="str">
        <f t="shared" si="1"/>
        <v>Density@20℃ (kg/m³)</v>
      </c>
      <c r="E27" s="55" t="s">
        <v>169</v>
      </c>
      <c r="F27" s="58" t="s">
        <v>170</v>
      </c>
      <c r="G27" s="2" t="str">
        <f t="shared" si="0"/>
        <v>Filling out documents and sign</v>
      </c>
      <c r="H27" s="60" t="s">
        <v>171</v>
      </c>
      <c r="I27" s="53"/>
      <c r="J27" s="53"/>
      <c r="M27" s="30"/>
      <c r="N27" s="28"/>
      <c r="P27" s="29" t="s">
        <v>172</v>
      </c>
    </row>
    <row r="28" hidden="1" spans="2:16">
      <c r="B28" s="14" t="s">
        <v>146</v>
      </c>
      <c r="C28" s="14" t="s">
        <v>173</v>
      </c>
      <c r="D28" s="2" t="str">
        <f t="shared" si="1"/>
        <v>API@60℉</v>
      </c>
      <c r="E28" s="47" t="s">
        <v>174</v>
      </c>
      <c r="F28" s="52" t="s">
        <v>175</v>
      </c>
      <c r="G28" s="2" t="str">
        <f t="shared" si="0"/>
        <v>Commenced load</v>
      </c>
      <c r="H28" s="54" t="s">
        <v>7</v>
      </c>
      <c r="I28" s="53"/>
      <c r="J28" s="53"/>
      <c r="M28" s="30"/>
      <c r="N28" s="28"/>
      <c r="P28" s="29" t="s">
        <v>176</v>
      </c>
    </row>
    <row r="29" ht="15" hidden="1" customHeight="1" spans="2:16">
      <c r="B29" s="13" t="s">
        <v>149</v>
      </c>
      <c r="C29" s="13" t="s">
        <v>177</v>
      </c>
      <c r="D29" s="2" t="str">
        <f t="shared" si="1"/>
        <v>S.G.@60℉/60℉</v>
      </c>
      <c r="E29" s="47" t="s">
        <v>178</v>
      </c>
      <c r="F29" s="52" t="s">
        <v>179</v>
      </c>
      <c r="G29" s="2" t="str">
        <f t="shared" si="0"/>
        <v>1st foot sampling</v>
      </c>
      <c r="H29" s="54" t="s">
        <v>8</v>
      </c>
      <c r="I29" s="53"/>
      <c r="J29" s="53"/>
      <c r="M29" s="25"/>
      <c r="N29" s="28"/>
      <c r="P29" s="29" t="s">
        <v>180</v>
      </c>
    </row>
    <row r="30" hidden="1" spans="2:16">
      <c r="B30" s="17" t="s">
        <v>181</v>
      </c>
      <c r="C30" s="18" t="s">
        <v>182</v>
      </c>
      <c r="D30" s="2" t="str">
        <f t="shared" si="1"/>
        <v>WCF MT(in air)/m³@15℃ [T-56]</v>
      </c>
      <c r="E30" s="47" t="s">
        <v>183</v>
      </c>
      <c r="F30" s="52" t="s">
        <v>184</v>
      </c>
      <c r="G30" s="2" t="str">
        <f t="shared" si="0"/>
        <v>1st foot samples analysis passed</v>
      </c>
      <c r="H30" s="54" t="s">
        <v>11</v>
      </c>
      <c r="I30" s="53"/>
      <c r="J30" s="53"/>
      <c r="M30" s="25"/>
      <c r="N30" s="28"/>
      <c r="P30" s="29" t="s">
        <v>185</v>
      </c>
    </row>
    <row r="31" hidden="1" spans="2:16">
      <c r="B31" s="17" t="s">
        <v>186</v>
      </c>
      <c r="C31" s="18" t="s">
        <v>187</v>
      </c>
      <c r="D31" s="2" t="str">
        <f t="shared" si="1"/>
        <v>WCF MT(in air)/m³@15℃</v>
      </c>
      <c r="E31" s="47" t="s">
        <v>188</v>
      </c>
      <c r="F31" s="52" t="s">
        <v>189</v>
      </c>
      <c r="G31" s="2" t="str">
        <f t="shared" si="0"/>
        <v>Suspended load for line displacement verification</v>
      </c>
      <c r="H31" s="54" t="s">
        <v>12</v>
      </c>
      <c r="I31" s="53"/>
      <c r="J31" s="53"/>
      <c r="M31" s="25"/>
      <c r="N31" s="28"/>
      <c r="P31" s="29" t="s">
        <v>190</v>
      </c>
    </row>
    <row r="32" hidden="1" spans="2:16">
      <c r="B32" s="17" t="s">
        <v>191</v>
      </c>
      <c r="C32" s="18" t="s">
        <v>192</v>
      </c>
      <c r="D32" s="2" t="str">
        <f t="shared" si="1"/>
        <v>WCF MT(in air)/m³@20℃</v>
      </c>
      <c r="E32" s="47" t="s">
        <v>193</v>
      </c>
      <c r="F32" s="52" t="s">
        <v>194</v>
      </c>
      <c r="G32" s="2" t="str">
        <f t="shared" si="0"/>
        <v>Resumed load</v>
      </c>
      <c r="M32" s="25"/>
      <c r="N32" s="28"/>
      <c r="P32" s="29" t="s">
        <v>195</v>
      </c>
    </row>
    <row r="33" hidden="1" spans="2:16">
      <c r="B33" s="19" t="s">
        <v>196</v>
      </c>
      <c r="C33" s="20" t="s">
        <v>197</v>
      </c>
      <c r="D33" s="2" t="str">
        <f t="shared" si="1"/>
        <v>MT/LT [T-1] </v>
      </c>
      <c r="E33" s="47" t="s">
        <v>198</v>
      </c>
      <c r="F33" s="52" t="s">
        <v>199</v>
      </c>
      <c r="G33" s="2" t="str">
        <f t="shared" ref="G33:G75" si="2">IF(Report_Language=$B$1,E33,F33)</f>
        <v>Completed load</v>
      </c>
      <c r="M33" s="25"/>
      <c r="N33" s="28"/>
      <c r="P33" s="29" t="s">
        <v>200</v>
      </c>
    </row>
    <row r="34" hidden="1" spans="2:16">
      <c r="B34" s="19" t="s">
        <v>201</v>
      </c>
      <c r="C34" s="21" t="s">
        <v>202</v>
      </c>
      <c r="D34" s="2" t="str">
        <f t="shared" ref="D34:D65" si="3">IF(Report_Language=$B$1,B34,C34)</f>
        <v>MT/LT</v>
      </c>
      <c r="E34" s="47" t="s">
        <v>203</v>
      </c>
      <c r="F34" s="52" t="s">
        <v>204</v>
      </c>
      <c r="G34" s="2" t="str">
        <f t="shared" si="2"/>
        <v>Estimated sailing time</v>
      </c>
      <c r="M34" s="25"/>
      <c r="N34" s="28"/>
      <c r="P34" s="29" t="s">
        <v>205</v>
      </c>
    </row>
    <row r="35" hidden="1" spans="2:16">
      <c r="B35" s="17" t="s">
        <v>206</v>
      </c>
      <c r="C35" s="18" t="s">
        <v>207</v>
      </c>
      <c r="D35" s="2" t="str">
        <f t="shared" si="3"/>
        <v>WCF MT(in air)/bbls@60℉ [T-13]</v>
      </c>
      <c r="E35" s="47" t="s">
        <v>208</v>
      </c>
      <c r="F35" s="52" t="s">
        <v>209</v>
      </c>
      <c r="G35" s="2" t="str">
        <f t="shared" si="2"/>
        <v>Date</v>
      </c>
      <c r="M35" s="25"/>
      <c r="N35" s="28"/>
      <c r="P35" s="29"/>
    </row>
    <row r="36" hidden="1" spans="2:16">
      <c r="B36" s="17" t="s">
        <v>210</v>
      </c>
      <c r="C36" s="18" t="s">
        <v>211</v>
      </c>
      <c r="D36" s="2" t="str">
        <f t="shared" si="3"/>
        <v>WCF MT(in air)/bbls@60℉</v>
      </c>
      <c r="E36" s="47" t="s">
        <v>212</v>
      </c>
      <c r="F36" s="52" t="s">
        <v>213</v>
      </c>
      <c r="G36" s="2" t="str">
        <f t="shared" si="2"/>
        <v>Time</v>
      </c>
      <c r="M36" s="25"/>
      <c r="N36" s="28"/>
      <c r="O36" s="28">
        <v>2</v>
      </c>
      <c r="P36" s="29" t="str">
        <f>INDEX(G55:G56,O36,0)</f>
        <v>Shore Tanks Delivered Quantity</v>
      </c>
    </row>
    <row r="37" hidden="1" spans="2:16">
      <c r="B37" s="14" t="s">
        <v>214</v>
      </c>
      <c r="C37" s="14" t="s">
        <v>215</v>
      </c>
      <c r="D37" s="2" t="str">
        <f t="shared" si="3"/>
        <v>Density@15℃ MT(Vacuo)/m³</v>
      </c>
      <c r="E37" s="47" t="s">
        <v>216</v>
      </c>
      <c r="F37" s="52" t="s">
        <v>217</v>
      </c>
      <c r="G37" s="2" t="str">
        <f t="shared" si="2"/>
        <v>FROM</v>
      </c>
      <c r="M37" s="25"/>
      <c r="N37" s="28"/>
      <c r="O37" s="28"/>
      <c r="P37" s="29"/>
    </row>
    <row r="38" hidden="1" spans="2:16">
      <c r="B38" s="14" t="s">
        <v>218</v>
      </c>
      <c r="C38" s="14" t="s">
        <v>219</v>
      </c>
      <c r="D38" s="2" t="str">
        <f t="shared" si="3"/>
        <v>Density@20℃ MT(Vacuo)/m³</v>
      </c>
      <c r="E38" s="47" t="s">
        <v>220</v>
      </c>
      <c r="F38" s="52" t="s">
        <v>221</v>
      </c>
      <c r="G38" s="2" t="str">
        <f t="shared" si="2"/>
        <v>TO</v>
      </c>
      <c r="M38" s="25"/>
      <c r="N38" s="28"/>
      <c r="O38" s="28"/>
      <c r="P38" s="29"/>
    </row>
    <row r="39" ht="15" hidden="1" customHeight="1" spans="2:16">
      <c r="B39" s="17" t="s">
        <v>222</v>
      </c>
      <c r="C39" s="18" t="s">
        <v>223</v>
      </c>
      <c r="D39" s="2" t="str">
        <f t="shared" si="3"/>
        <v>WCF MT(in vacuo)/bbls@60℉ [T-13]</v>
      </c>
      <c r="E39" s="47" t="s">
        <v>224</v>
      </c>
      <c r="F39" s="52" t="s">
        <v>225</v>
      </c>
      <c r="G39" s="2" t="str">
        <f t="shared" si="2"/>
        <v>EVENTS</v>
      </c>
      <c r="M39" s="25"/>
      <c r="N39" s="28"/>
      <c r="O39" s="28"/>
      <c r="P39" s="29"/>
    </row>
    <row r="40" hidden="1" spans="2:16">
      <c r="B40" s="17" t="s">
        <v>226</v>
      </c>
      <c r="C40" s="18" t="s">
        <v>227</v>
      </c>
      <c r="D40" s="2" t="str">
        <f t="shared" si="3"/>
        <v>WCF MT(in vacuo)/bbls@60℉</v>
      </c>
      <c r="E40" s="47" t="s">
        <v>228</v>
      </c>
      <c r="F40" s="52" t="s">
        <v>229</v>
      </c>
      <c r="G40" s="2" t="str">
        <f t="shared" si="2"/>
        <v>TIME LOG</v>
      </c>
      <c r="M40" s="25"/>
      <c r="N40" s="28"/>
      <c r="O40" s="28"/>
      <c r="P40" s="29"/>
    </row>
    <row r="41" hidden="1" spans="2:16">
      <c r="B41" s="19" t="s">
        <v>196</v>
      </c>
      <c r="C41" s="20" t="s">
        <v>197</v>
      </c>
      <c r="D41" s="2" t="str">
        <f t="shared" si="3"/>
        <v>MT/LT [T-1] </v>
      </c>
      <c r="E41" s="47" t="s">
        <v>230</v>
      </c>
      <c r="F41" s="52" t="s">
        <v>231</v>
      </c>
      <c r="G41" s="2" t="str">
        <f t="shared" si="2"/>
        <v>REMARKS</v>
      </c>
      <c r="M41" s="25"/>
      <c r="N41" s="28"/>
      <c r="O41" s="28"/>
      <c r="P41" s="29"/>
    </row>
    <row r="42" hidden="1" spans="2:16">
      <c r="B42" s="19" t="s">
        <v>201</v>
      </c>
      <c r="C42" s="21" t="s">
        <v>202</v>
      </c>
      <c r="D42" s="2" t="str">
        <f t="shared" si="3"/>
        <v>MT/LT</v>
      </c>
      <c r="E42" s="47" t="s">
        <v>34</v>
      </c>
      <c r="F42" s="52" t="s">
        <v>232</v>
      </c>
      <c r="G42" s="2" t="str">
        <f t="shared" si="2"/>
        <v>TERMINAL</v>
      </c>
      <c r="M42" s="25"/>
      <c r="N42" s="28"/>
      <c r="O42" s="28"/>
      <c r="P42" s="29"/>
    </row>
    <row r="43" hidden="1" spans="2:16">
      <c r="B43" s="17" t="s">
        <v>233</v>
      </c>
      <c r="C43" s="18" t="s">
        <v>234</v>
      </c>
      <c r="D43" s="2" t="str">
        <f t="shared" si="3"/>
        <v>WCF LT(in air)/m³@15℃ [T-57]</v>
      </c>
      <c r="E43" s="47" t="s">
        <v>28</v>
      </c>
      <c r="F43" s="52" t="s">
        <v>235</v>
      </c>
      <c r="G43" s="2" t="str">
        <f t="shared" si="2"/>
        <v>VESSEL</v>
      </c>
      <c r="M43" s="25"/>
      <c r="N43" s="28"/>
      <c r="O43" s="28"/>
      <c r="P43" s="29"/>
    </row>
    <row r="44" ht="15" hidden="1" customHeight="1" spans="2:16">
      <c r="B44" s="17" t="s">
        <v>236</v>
      </c>
      <c r="C44" s="18" t="s">
        <v>237</v>
      </c>
      <c r="D44" s="2" t="str">
        <f t="shared" si="3"/>
        <v>WCF LT(in air)/m³@15℃</v>
      </c>
      <c r="E44" s="47" t="s">
        <v>238</v>
      </c>
      <c r="F44" s="52" t="s">
        <v>239</v>
      </c>
      <c r="G44" s="2" t="str">
        <f t="shared" si="2"/>
        <v>Arm(s) connected</v>
      </c>
      <c r="M44" s="25"/>
      <c r="N44" s="28"/>
      <c r="O44" s="28"/>
      <c r="P44" s="29"/>
    </row>
    <row r="45" hidden="1" spans="2:16">
      <c r="B45" s="19" t="s">
        <v>240</v>
      </c>
      <c r="C45" s="20" t="s">
        <v>241</v>
      </c>
      <c r="D45" s="2" t="str">
        <f t="shared" si="3"/>
        <v>LT/MT [T-1] </v>
      </c>
      <c r="E45" s="47" t="s">
        <v>242</v>
      </c>
      <c r="F45" s="52" t="s">
        <v>243</v>
      </c>
      <c r="G45" s="2" t="str">
        <f t="shared" si="2"/>
        <v>Hose(s) connected</v>
      </c>
      <c r="M45" s="25"/>
      <c r="N45" s="28"/>
      <c r="O45" s="28"/>
      <c r="P45" s="29"/>
    </row>
    <row r="46" hidden="1" spans="2:16">
      <c r="B46" s="19" t="s">
        <v>244</v>
      </c>
      <c r="C46" s="20" t="s">
        <v>245</v>
      </c>
      <c r="D46" s="2" t="str">
        <f t="shared" si="3"/>
        <v>LT/MT</v>
      </c>
      <c r="E46" s="47" t="s">
        <v>246</v>
      </c>
      <c r="F46" s="52" t="s">
        <v>247</v>
      </c>
      <c r="G46" s="2" t="str">
        <f t="shared" si="2"/>
        <v>Arm(s) disconnected</v>
      </c>
      <c r="M46" s="25"/>
      <c r="N46" s="28"/>
      <c r="O46" s="28"/>
      <c r="P46" s="29"/>
    </row>
    <row r="47" hidden="1" spans="2:19">
      <c r="B47" s="17" t="s">
        <v>248</v>
      </c>
      <c r="C47" s="18" t="s">
        <v>249</v>
      </c>
      <c r="D47" s="2" t="str">
        <f t="shared" si="3"/>
        <v>WCF LT(in air)/bbls@60℉ [T-29] </v>
      </c>
      <c r="E47" s="47" t="s">
        <v>250</v>
      </c>
      <c r="F47" s="52" t="s">
        <v>251</v>
      </c>
      <c r="G47" s="2" t="str">
        <f t="shared" si="2"/>
        <v>Hose(s) disconnected</v>
      </c>
      <c r="M47" s="25"/>
      <c r="N47" s="28"/>
      <c r="O47" s="65" t="s">
        <v>252</v>
      </c>
      <c r="P47" s="65"/>
      <c r="Q47" s="65"/>
      <c r="R47" s="65"/>
      <c r="S47" s="65"/>
    </row>
    <row r="48" hidden="1" spans="2:19">
      <c r="B48" s="17" t="s">
        <v>253</v>
      </c>
      <c r="C48" s="18" t="s">
        <v>254</v>
      </c>
      <c r="D48" s="2" t="str">
        <f t="shared" si="3"/>
        <v>WCF LT(in air)/bbls@60℉</v>
      </c>
      <c r="E48" s="47" t="s">
        <v>255</v>
      </c>
      <c r="F48" s="52" t="s">
        <v>256</v>
      </c>
      <c r="G48" s="2" t="str">
        <f t="shared" si="2"/>
        <v>QUANTITIES</v>
      </c>
      <c r="H48" s="61" t="s">
        <v>257</v>
      </c>
      <c r="I48" s="61" t="s">
        <v>258</v>
      </c>
      <c r="J48" s="61" t="str">
        <f>G66</f>
        <v>Bbls (60℉)</v>
      </c>
      <c r="K48" s="61" t="str">
        <f>G67</f>
        <v>m³ (15℃)</v>
      </c>
      <c r="L48" s="61" t="str">
        <f>G68</f>
        <v>m³ (20℃)</v>
      </c>
      <c r="M48" s="61" t="str">
        <f>G69</f>
        <v>MT (air)</v>
      </c>
      <c r="N48" s="61" t="str">
        <f>G70</f>
        <v>LT (air)</v>
      </c>
      <c r="O48" s="61" t="str">
        <f>J48</f>
        <v>Bbls (60℉)</v>
      </c>
      <c r="P48" s="61" t="str">
        <f t="shared" ref="P48:S48" si="4">K48</f>
        <v>m³ (15℃)</v>
      </c>
      <c r="Q48" s="61" t="str">
        <f t="shared" si="4"/>
        <v>m³ (20℃)</v>
      </c>
      <c r="R48" s="61" t="str">
        <f t="shared" si="4"/>
        <v>MT (air)</v>
      </c>
      <c r="S48" s="61" t="str">
        <f t="shared" si="4"/>
        <v>LT (air)</v>
      </c>
    </row>
    <row r="49" hidden="1" spans="2:19">
      <c r="B49" s="17" t="s">
        <v>259</v>
      </c>
      <c r="C49" s="18" t="s">
        <v>260</v>
      </c>
      <c r="D49" s="2" t="str">
        <f t="shared" si="3"/>
        <v>WCF LT(in air)/bbls@60℉ [T-11] </v>
      </c>
      <c r="E49" s="28" t="s">
        <v>261</v>
      </c>
      <c r="F49" s="52" t="s">
        <v>262</v>
      </c>
      <c r="G49" s="61" t="str">
        <f t="shared" ref="G49" si="5">IF(Report_Language=$B$1,E49,F49)</f>
        <v>Bill of Lading</v>
      </c>
      <c r="H49" s="53"/>
      <c r="I49" s="53"/>
      <c r="J49" s="53"/>
      <c r="K49" s="53"/>
      <c r="L49" s="53"/>
      <c r="M49" s="53"/>
      <c r="N49" s="53"/>
      <c r="O49" s="53"/>
      <c r="P49" s="53"/>
      <c r="Q49" s="53"/>
      <c r="R49" s="53"/>
      <c r="S49" s="53"/>
    </row>
    <row r="50" ht="17.4" hidden="1" customHeight="1" spans="2:19">
      <c r="B50" s="17" t="s">
        <v>253</v>
      </c>
      <c r="C50" s="18" t="s">
        <v>254</v>
      </c>
      <c r="D50" s="2" t="str">
        <f t="shared" si="3"/>
        <v>WCF LT(in air)/bbls@60℉</v>
      </c>
      <c r="E50" s="47"/>
      <c r="F50" s="52"/>
      <c r="G50" s="61">
        <f t="shared" si="2"/>
        <v>0</v>
      </c>
      <c r="H50" s="53"/>
      <c r="I50" s="53"/>
      <c r="J50" s="53"/>
      <c r="K50" s="53"/>
      <c r="L50" s="53"/>
      <c r="M50" s="53"/>
      <c r="N50" s="53"/>
      <c r="O50" s="53"/>
      <c r="P50" s="53"/>
      <c r="Q50" s="53"/>
      <c r="R50" s="53"/>
      <c r="S50" s="53"/>
    </row>
    <row r="51" ht="13.2" hidden="1" customHeight="1" spans="2:19">
      <c r="B51" s="17" t="s">
        <v>265</v>
      </c>
      <c r="C51" s="18" t="s">
        <v>266</v>
      </c>
      <c r="D51" s="2" t="str">
        <f t="shared" si="3"/>
        <v>WCF LT(in vacuo)/m³@15℃ [T-57]</v>
      </c>
      <c r="E51" s="47" t="s">
        <v>263</v>
      </c>
      <c r="F51" s="52" t="s">
        <v>264</v>
      </c>
      <c r="G51" s="61" t="str">
        <f t="shared" si="2"/>
        <v>Vessel Tank Quantity After Load</v>
      </c>
      <c r="H51" s="62">
        <f>IF(Ullage!V131="","",Ullage!V131)</f>
        <v>48120.731</v>
      </c>
      <c r="I51" s="62">
        <f>IF(Ullage!V135="","",Ullage!V135)</f>
        <v>39386.818</v>
      </c>
      <c r="J51" s="62">
        <f>IF(Ullage!Gross_bbls_60F="","",Ullage!Gross_bbls_60F)</f>
        <v>301466.7</v>
      </c>
      <c r="K51" s="62" t="str">
        <f>IF(Ullage!Gross_CBM_15C="","",Ullage!Gross_CBM_15C)</f>
        <v/>
      </c>
      <c r="L51" s="62">
        <f>IF(Ullage!Gross_CBM_20C="","",Ullage!Gross_CBM_20C)</f>
        <v>48120.731</v>
      </c>
      <c r="M51" s="62">
        <f>IF(Ullage!Gross_MT_air="","",Ullage!Gross_MT_air)</f>
        <v>39386.818</v>
      </c>
      <c r="N51" s="62">
        <f>IF(Ullage!Gross_LT_air="","",Ullage!Gross_LT_air)</f>
        <v>38764.743</v>
      </c>
      <c r="O51" s="62">
        <f>IF(Ullage!Net_bbls_60F="","",Ullage!Net_bbls_60F)</f>
        <v>300492.96</v>
      </c>
      <c r="P51" s="62" t="str">
        <f>IF(Ullage!Net_CBM_15C="","",Ullage!Net_CBM_15C)</f>
        <v/>
      </c>
      <c r="Q51" s="62">
        <f>IF(Ullage!Net_CBM_20C="","",Ullage!Net_CBM_20C)</f>
        <v>47965.301</v>
      </c>
      <c r="R51" s="62">
        <f>IF(Ullage!Net_MT_air="","",Ullage!Net_MT_air)</f>
        <v>39259.599</v>
      </c>
      <c r="S51" s="62">
        <f>IF(Ullage!Net_LT_air="","",Ullage!Net_LT_air)</f>
        <v>38639.533</v>
      </c>
    </row>
    <row r="52" hidden="1" spans="2:19">
      <c r="B52" s="17" t="s">
        <v>268</v>
      </c>
      <c r="C52" s="18" t="s">
        <v>269</v>
      </c>
      <c r="D52" s="2" t="str">
        <f t="shared" si="3"/>
        <v>WCF LT(in vacuo)/m³@15℃</v>
      </c>
      <c r="E52" s="28" t="s">
        <v>367</v>
      </c>
      <c r="F52" s="52" t="s">
        <v>368</v>
      </c>
      <c r="G52" s="61" t="str">
        <f t="shared" si="2"/>
        <v>*Vessel Tank Quantity After Load Applied VEF</v>
      </c>
      <c r="H52" s="62">
        <f>IF(H51="","",IF(OR(LEFT(vcfTab,4)="T-54",LEFT(vcfTab,4)="T-60"),ROUND(H51/$H$114,3),ROUND(H51/$H$114,2)))</f>
        <v>48188.194</v>
      </c>
      <c r="I52" s="62">
        <f>IF(I51="","",IF(OR(LEFT(vcfTab,4)="T-54",LEFT(vcfTab,4)="T-60"),ROUND(I51/$H$114,3),ROUND(I51/$H$114,2)))</f>
        <v>39442.037</v>
      </c>
      <c r="J52" s="62">
        <f>IF(J51="","",ROUND(J51/$H$114,2))</f>
        <v>301889.35</v>
      </c>
      <c r="K52" s="62" t="str">
        <f>IF(K51="","",ROUND(K51/$H$114,3))</f>
        <v/>
      </c>
      <c r="L52" s="62">
        <f>IF(L51="","",ROUND(L51/$H$114,3))</f>
        <v>48188.194</v>
      </c>
      <c r="M52" s="62">
        <f>IF(M51="","",ROUND(M51/$H$114,3))</f>
        <v>39442.037</v>
      </c>
      <c r="N52" s="62">
        <f>IF(N51="","",ROUND(N51/$H$114,3))</f>
        <v>38819.09</v>
      </c>
      <c r="O52" s="62">
        <f>IF(O51="","",ROUND(O51/$H$114,2))</f>
        <v>300914.24</v>
      </c>
      <c r="P52" s="62" t="str">
        <f>IF(P51="","",ROUND(P51/$H$114,3))</f>
        <v/>
      </c>
      <c r="Q52" s="62">
        <f>IF(Q51="","",ROUND(Q51/$H$114,3))</f>
        <v>48032.547</v>
      </c>
      <c r="R52" s="62">
        <f>IF(R51="","",ROUND(R51/$H$114,3))</f>
        <v>39314.639</v>
      </c>
      <c r="S52" s="62">
        <f>IF(S51="","",ROUND(S51/$H$114,3))</f>
        <v>38693.704</v>
      </c>
    </row>
    <row r="53" hidden="1" spans="2:19">
      <c r="B53" s="19" t="s">
        <v>240</v>
      </c>
      <c r="C53" s="20" t="s">
        <v>241</v>
      </c>
      <c r="D53" s="2" t="str">
        <f t="shared" si="3"/>
        <v>LT/MT [T-1] </v>
      </c>
      <c r="E53" s="63" t="s">
        <v>369</v>
      </c>
      <c r="F53" s="64" t="s">
        <v>370</v>
      </c>
      <c r="G53" s="61" t="str">
        <f t="shared" si="2"/>
        <v>Vessel Loaded Quantity</v>
      </c>
      <c r="H53" s="62">
        <f>IF(H51="","",H51-H60)</f>
        <v>44355.74</v>
      </c>
      <c r="I53" s="62">
        <f>IF(I51="","",ROUND(H53*Ullage!V134,3))</f>
        <v>36305.173</v>
      </c>
      <c r="J53" s="66">
        <f>IF(J51="","",ToBbls60F(vcfTab,WCF_Standard,Cargo_type,H53,I53,Ullage!N133,Ullage!U106))</f>
        <v>277879.79</v>
      </c>
      <c r="K53" s="62" t="str">
        <f>IF(K51="","",ToCbm15C(vcfTab,WCF_Standard,Cargo_type,H53,Ullage!N133,Ullage!U106))</f>
        <v/>
      </c>
      <c r="L53" s="62">
        <f>IF(L51="","",ToCbm20C(vcfTab,WCF_Standard,Cargo_type,H53,Ullage!N133,Ullage!U106))</f>
        <v>44355.74</v>
      </c>
      <c r="M53" s="62">
        <f>IF(M51="","",ToMTair(vcfTab,WCF_Standard,H53,Ullage!N133))</f>
        <v>36305.173</v>
      </c>
      <c r="N53" s="62">
        <f>IF(N51="","",ToLTair(vcfTab,WCF_Standard,H53,Ullage!N133))</f>
        <v>35731.769</v>
      </c>
      <c r="O53" s="62">
        <f>IF(O51="","",ROUND(J53*(1-Ullage!$N$134%),2))</f>
        <v>276982.24</v>
      </c>
      <c r="P53" s="62" t="str">
        <f>IF(P51="","",ROUND(K53*(1-Ullage!$N$134%),3))</f>
        <v/>
      </c>
      <c r="Q53" s="62">
        <f>IF(Q51="","",ROUND(L53*(1-Ullage!$N$134%),3))</f>
        <v>44212.471</v>
      </c>
      <c r="R53" s="62">
        <f>IF(R51="","",ROUND(M53*(1-Ullage!$N$134%),3))</f>
        <v>36187.907</v>
      </c>
      <c r="S53" s="62">
        <f>IF(S51="","",ROUND(N53*(1-Ullage!$N$134%),3))</f>
        <v>35616.355</v>
      </c>
    </row>
    <row r="54" hidden="1" spans="2:19">
      <c r="B54" s="19" t="s">
        <v>244</v>
      </c>
      <c r="C54" s="20" t="s">
        <v>245</v>
      </c>
      <c r="D54" s="2" t="str">
        <f t="shared" si="3"/>
        <v>LT/MT</v>
      </c>
      <c r="E54" s="28" t="s">
        <v>371</v>
      </c>
      <c r="F54" s="52" t="s">
        <v>372</v>
      </c>
      <c r="G54" s="61" t="str">
        <f t="shared" si="2"/>
        <v>*Vessel Loaded Quantity Applied VEF</v>
      </c>
      <c r="H54" s="62">
        <f>IF(H53="","",IF(OR(LEFT(vcfTab,4)="T-54",LEFT(vcfTab,4)="T-60"),ROUND(H53/$H$114,3),ROUND(H53/$H$114,2)))</f>
        <v>44417.925</v>
      </c>
      <c r="I54" s="62">
        <f>IF(I53="","",IF(OR(LEFT(vcfTab,4)="T-54",LEFT(vcfTab,4)="T-60"),ROUND(I53/$H$114,3),ROUND(I53/$H$114,2)))</f>
        <v>36356.072</v>
      </c>
      <c r="J54" s="62">
        <f>IF(J53="","",ROUND(J53/$H$114,2))</f>
        <v>278269.37</v>
      </c>
      <c r="K54" s="62" t="str">
        <f>IF(K53="","",ROUND(K53/$H$114,3))</f>
        <v/>
      </c>
      <c r="L54" s="62">
        <f>IF(L53="","",ROUND(L53/$H$114,3))</f>
        <v>44417.925</v>
      </c>
      <c r="M54" s="62">
        <f>IF(M53="","",ROUND(M53/$H$114,3))</f>
        <v>36356.072</v>
      </c>
      <c r="N54" s="62">
        <f>IF(N53="","",ROUND(N53/$H$114,3))</f>
        <v>35781.864</v>
      </c>
      <c r="O54" s="62">
        <f>IF(O53="","",ROUND(O53/$H$114,2))</f>
        <v>277370.56</v>
      </c>
      <c r="P54" s="62" t="str">
        <f>IF(P53="","",ROUND(P53/$H$114,3))</f>
        <v/>
      </c>
      <c r="Q54" s="62">
        <f>IF(Q53="","",ROUND(Q53/$H$114,3))</f>
        <v>44274.455</v>
      </c>
      <c r="R54" s="62">
        <f>IF(R53="","",ROUND(R53/$H$114,3))</f>
        <v>36238.641</v>
      </c>
      <c r="S54" s="62">
        <f>IF(S53="","",ROUND(S53/$H$114,3))</f>
        <v>35666.288</v>
      </c>
    </row>
    <row r="55" hidden="1" spans="2:19">
      <c r="B55" s="17" t="s">
        <v>273</v>
      </c>
      <c r="C55" s="18" t="s">
        <v>274</v>
      </c>
      <c r="D55" s="2" t="str">
        <f t="shared" si="3"/>
        <v>WCF LT(in vacuo)/bbls@60℉ [T-29]</v>
      </c>
      <c r="E55" s="28" t="s">
        <v>373</v>
      </c>
      <c r="F55" s="52" t="s">
        <v>374</v>
      </c>
      <c r="G55" s="61" t="str">
        <f t="shared" si="2"/>
        <v>Shore Delivered Quantity (Flow Meter)</v>
      </c>
      <c r="H55" s="61"/>
      <c r="I55" s="61"/>
      <c r="J55" s="61"/>
      <c r="K55" s="61"/>
      <c r="L55" s="61"/>
      <c r="M55" s="61"/>
      <c r="N55" s="61"/>
      <c r="O55" s="61"/>
      <c r="P55" s="61"/>
      <c r="Q55" s="61"/>
      <c r="R55" s="61"/>
      <c r="S55" s="61"/>
    </row>
    <row r="56" hidden="1" spans="2:19">
      <c r="B56" s="17" t="s">
        <v>276</v>
      </c>
      <c r="C56" s="18" t="s">
        <v>277</v>
      </c>
      <c r="D56" s="2" t="str">
        <f t="shared" si="3"/>
        <v>WCF LT(in vacuo)/bbls@60℉</v>
      </c>
      <c r="E56" s="28" t="s">
        <v>375</v>
      </c>
      <c r="F56" s="52" t="s">
        <v>376</v>
      </c>
      <c r="G56" s="61" t="str">
        <f t="shared" si="2"/>
        <v>Shore Tanks Delivered Quantity</v>
      </c>
      <c r="H56" s="61">
        <f>'Shore Tk'!G151</f>
        <v>1609.83</v>
      </c>
      <c r="I56" s="61">
        <f>'Shore Tk'!G157</f>
        <v>1579.939</v>
      </c>
      <c r="J56" s="67" t="e">
        <f>'Shore Tk'!L199+'Shore Tk (2)'!L199</f>
        <v>#NAME?</v>
      </c>
      <c r="K56" s="68">
        <f>'Shore Tk'!L201+'Shore Tk (2)'!L201</f>
        <v>0</v>
      </c>
      <c r="L56" s="68" t="e">
        <f>'Shore Tk'!L202+'Shore Tk (2)'!L202</f>
        <v>#NAME?</v>
      </c>
      <c r="M56" s="68" t="e">
        <f>'Shore Tk'!L205+'Shore Tk (2)'!L205</f>
        <v>#NAME?</v>
      </c>
      <c r="N56" s="68" t="e">
        <f>'Shore Tk'!L207+'Shore Tk (2)'!L207</f>
        <v>#NAME?</v>
      </c>
      <c r="O56" s="67" t="e">
        <f>'Shore Tk'!M199+'Shore Tk (2)'!M199</f>
        <v>#VALUE!</v>
      </c>
      <c r="P56" s="68" t="e">
        <f>'Shore Tk'!M201+'Shore Tk (2)'!M201</f>
        <v>#VALUE!</v>
      </c>
      <c r="Q56" s="68" t="e">
        <f>'Shore Tk'!M202+'Shore Tk (2)'!M202</f>
        <v>#VALUE!</v>
      </c>
      <c r="R56" s="68" t="e">
        <f>'Shore Tk'!M205+'Shore Tk (2)'!M205</f>
        <v>#VALUE!</v>
      </c>
      <c r="S56" s="68" t="e">
        <f>'Shore Tk'!M207+'Shore Tk (2)'!M207</f>
        <v>#VALUE!</v>
      </c>
    </row>
    <row r="57" hidden="1" spans="2:19">
      <c r="B57" s="17" t="s">
        <v>279</v>
      </c>
      <c r="C57" s="18" t="s">
        <v>280</v>
      </c>
      <c r="D57" s="2" t="str">
        <f t="shared" si="3"/>
        <v>WCF LT(in vacuo)/bbls@60℉ [T-11]</v>
      </c>
      <c r="E57" s="28" t="s">
        <v>176</v>
      </c>
      <c r="F57" s="52" t="s">
        <v>281</v>
      </c>
      <c r="G57" s="61" t="str">
        <f t="shared" si="2"/>
        <v>Total Lighter Received Quantity</v>
      </c>
      <c r="H57" s="61"/>
      <c r="I57" s="61"/>
      <c r="J57" s="61"/>
      <c r="K57" s="61"/>
      <c r="L57" s="61"/>
      <c r="M57" s="61"/>
      <c r="N57" s="61"/>
      <c r="O57" s="61"/>
      <c r="P57" s="61"/>
      <c r="Q57" s="61"/>
      <c r="R57" s="61"/>
      <c r="S57" s="61"/>
    </row>
    <row r="58" hidden="1" spans="2:19">
      <c r="B58" s="17" t="s">
        <v>276</v>
      </c>
      <c r="C58" s="18" t="s">
        <v>277</v>
      </c>
      <c r="D58" s="2" t="str">
        <f t="shared" si="3"/>
        <v>WCF LT(in vacuo)/bbls@60℉</v>
      </c>
      <c r="E58" s="28" t="s">
        <v>180</v>
      </c>
      <c r="F58" s="52" t="s">
        <v>282</v>
      </c>
      <c r="G58" s="61" t="str">
        <f t="shared" si="2"/>
        <v>Total Tank Cars received Quantity</v>
      </c>
      <c r="H58" s="61"/>
      <c r="I58" s="61"/>
      <c r="J58" s="61"/>
      <c r="K58" s="61"/>
      <c r="L58" s="61"/>
      <c r="M58" s="61"/>
      <c r="N58" s="61"/>
      <c r="O58" s="61"/>
      <c r="P58" s="61"/>
      <c r="Q58" s="61"/>
      <c r="R58" s="61"/>
      <c r="S58" s="61"/>
    </row>
    <row r="59" hidden="1" spans="2:19">
      <c r="B59" s="22" t="s">
        <v>283</v>
      </c>
      <c r="C59" s="21" t="s">
        <v>284</v>
      </c>
      <c r="D59" s="2" t="str">
        <f t="shared" si="3"/>
        <v>bbls@60℉/m³@15℃ [T-52]</v>
      </c>
      <c r="E59" s="28" t="s">
        <v>185</v>
      </c>
      <c r="F59" s="52" t="s">
        <v>285</v>
      </c>
      <c r="G59" s="61" t="str">
        <f t="shared" si="2"/>
        <v>Total Received Quantity</v>
      </c>
      <c r="H59" s="61"/>
      <c r="I59" s="61"/>
      <c r="J59" s="61"/>
      <c r="K59" s="61"/>
      <c r="L59" s="61"/>
      <c r="M59" s="61"/>
      <c r="N59" s="61"/>
      <c r="O59" s="61"/>
      <c r="P59" s="61"/>
      <c r="Q59" s="61"/>
      <c r="R59" s="61"/>
      <c r="S59" s="61"/>
    </row>
    <row r="60" hidden="1" spans="2:19">
      <c r="B60" s="22" t="s">
        <v>286</v>
      </c>
      <c r="C60" s="21" t="s">
        <v>287</v>
      </c>
      <c r="D60" s="2" t="str">
        <f t="shared" si="3"/>
        <v>bbls@60℉/m³@15℃</v>
      </c>
      <c r="E60" s="28" t="s">
        <v>288</v>
      </c>
      <c r="F60" s="52" t="s">
        <v>289</v>
      </c>
      <c r="G60" s="61" t="str">
        <f t="shared" si="2"/>
        <v>O.B.Q. Quantity</v>
      </c>
      <c r="H60" s="61">
        <f>IF(OBQ!R144="","",OBQ!R144)</f>
        <v>3764.991</v>
      </c>
      <c r="I60" s="61"/>
      <c r="J60" s="61"/>
      <c r="K60" s="61"/>
      <c r="L60" s="61"/>
      <c r="M60" s="61"/>
      <c r="N60" s="61"/>
      <c r="O60" s="61"/>
      <c r="P60" s="61"/>
      <c r="Q60" s="61"/>
      <c r="R60" s="61"/>
      <c r="S60" s="61"/>
    </row>
    <row r="61" hidden="1" spans="2:19">
      <c r="B61" s="23" t="s">
        <v>290</v>
      </c>
      <c r="C61" s="24" t="s">
        <v>291</v>
      </c>
      <c r="D61" s="2" t="str">
        <f t="shared" si="3"/>
        <v>bbls@60℉/MT(in air)</v>
      </c>
      <c r="E61" s="28" t="s">
        <v>292</v>
      </c>
      <c r="F61" s="52" t="s">
        <v>293</v>
      </c>
      <c r="G61" s="61" t="str">
        <f t="shared" si="2"/>
        <v>R.O.B. Quantity</v>
      </c>
      <c r="H61" s="61">
        <f>IF(ROB!R144="","",ROB!R144)</f>
        <v>23</v>
      </c>
      <c r="I61" s="61"/>
      <c r="J61" s="61"/>
      <c r="K61" s="61"/>
      <c r="L61" s="61"/>
      <c r="M61" s="61"/>
      <c r="N61" s="61"/>
      <c r="O61" s="61"/>
      <c r="P61" s="61"/>
      <c r="Q61" s="61"/>
      <c r="R61" s="61"/>
      <c r="S61" s="61"/>
    </row>
    <row r="62" hidden="1" spans="2:16">
      <c r="B62" s="2" t="s">
        <v>294</v>
      </c>
      <c r="C62" s="9" t="s">
        <v>295</v>
      </c>
      <c r="D62" s="2" t="str">
        <f t="shared" si="3"/>
        <v>Standard Volume</v>
      </c>
      <c r="E62" t="s">
        <v>296</v>
      </c>
      <c r="F62" s="52" t="s">
        <v>297</v>
      </c>
      <c r="G62" s="2" t="str">
        <f t="shared" si="2"/>
        <v>In-transit Difference</v>
      </c>
      <c r="M62" s="25"/>
      <c r="N62" s="28"/>
      <c r="O62" s="28"/>
      <c r="P62" s="29"/>
    </row>
    <row r="63" ht="16.5" hidden="1" spans="2:16">
      <c r="B63" s="2" t="s">
        <v>298</v>
      </c>
      <c r="C63" s="2" t="s">
        <v>299</v>
      </c>
      <c r="D63" s="2" t="str">
        <f t="shared" si="3"/>
        <v>m³@15℃/m³@20℃ [1/VCF(15℃)]</v>
      </c>
      <c r="E63" t="s">
        <v>300</v>
      </c>
      <c r="F63" s="52" t="s">
        <v>301</v>
      </c>
      <c r="G63" s="2" t="str">
        <f t="shared" si="2"/>
        <v>Difference Percentage</v>
      </c>
      <c r="M63" s="25"/>
      <c r="N63" s="28"/>
      <c r="O63" s="28"/>
      <c r="P63" s="29"/>
    </row>
    <row r="64" hidden="1" spans="2:16">
      <c r="B64" s="22" t="s">
        <v>302</v>
      </c>
      <c r="C64" s="21" t="s">
        <v>303</v>
      </c>
      <c r="D64" s="2" t="str">
        <f t="shared" si="3"/>
        <v>m³@15℃/bbls@60℉ [T-22]</v>
      </c>
      <c r="E64" s="28" t="s">
        <v>304</v>
      </c>
      <c r="F64" s="52" t="s">
        <v>305</v>
      </c>
      <c r="G64" s="2" t="str">
        <f t="shared" si="2"/>
        <v>Outturn :</v>
      </c>
      <c r="M64" s="25"/>
      <c r="N64" s="28"/>
      <c r="O64" s="28"/>
      <c r="P64" s="29"/>
    </row>
    <row r="65" ht="15" hidden="1" customHeight="1" spans="2:16">
      <c r="B65" s="22" t="s">
        <v>306</v>
      </c>
      <c r="C65" s="19" t="s">
        <v>307</v>
      </c>
      <c r="D65" s="2" t="str">
        <f t="shared" si="3"/>
        <v>m³@15℃/bbls@60℉</v>
      </c>
      <c r="E65" s="28" t="s">
        <v>308</v>
      </c>
      <c r="F65" s="52" t="s">
        <v>309</v>
      </c>
      <c r="G65" s="2" t="str">
        <f t="shared" si="2"/>
        <v>Shore/Vessel Difference at Discharge Port</v>
      </c>
      <c r="M65" s="25"/>
      <c r="N65" s="28"/>
      <c r="O65" s="28"/>
      <c r="P65" s="29"/>
    </row>
    <row r="66" hidden="1" spans="2:16">
      <c r="B66" s="22" t="s">
        <v>310</v>
      </c>
      <c r="C66" s="21" t="s">
        <v>311</v>
      </c>
      <c r="D66" s="2" t="str">
        <f t="shared" ref="D66:D85" si="6">IF(Report_Language=$B$1,B66,C66)</f>
        <v>m³@15℃/bbls@60℉ [T-4] </v>
      </c>
      <c r="E66" s="28" t="s">
        <v>312</v>
      </c>
      <c r="F66" s="52" t="s">
        <v>313</v>
      </c>
      <c r="G66" s="2" t="str">
        <f t="shared" si="2"/>
        <v>Bbls (60℉)</v>
      </c>
      <c r="M66" s="25"/>
      <c r="N66" s="28"/>
      <c r="O66" s="28"/>
      <c r="P66" s="29"/>
    </row>
    <row r="67" hidden="1" spans="2:16">
      <c r="B67" s="22" t="s">
        <v>306</v>
      </c>
      <c r="C67" s="21" t="s">
        <v>314</v>
      </c>
      <c r="D67" s="2" t="str">
        <f t="shared" si="6"/>
        <v>m³@15℃/bbls@60℉</v>
      </c>
      <c r="E67" s="28" t="s">
        <v>315</v>
      </c>
      <c r="F67" s="52" t="s">
        <v>316</v>
      </c>
      <c r="G67" s="2" t="str">
        <f t="shared" si="2"/>
        <v>m³ (15℃)</v>
      </c>
      <c r="M67" s="25"/>
      <c r="N67" s="28"/>
      <c r="O67" s="28"/>
      <c r="P67" s="29"/>
    </row>
    <row r="68" hidden="1" spans="2:16">
      <c r="B68" s="19" t="s">
        <v>317</v>
      </c>
      <c r="C68" s="19" t="s">
        <v>318</v>
      </c>
      <c r="D68" s="2" t="str">
        <f t="shared" si="6"/>
        <v>m³@20℃/m³@15℃ [1/VCF(20℃)]</v>
      </c>
      <c r="E68" s="28" t="s">
        <v>319</v>
      </c>
      <c r="F68" s="52" t="s">
        <v>320</v>
      </c>
      <c r="G68" s="2" t="str">
        <f t="shared" si="2"/>
        <v>m³ (20℃)</v>
      </c>
      <c r="M68" s="25"/>
      <c r="N68" s="28"/>
      <c r="O68" s="28"/>
      <c r="P68" s="29"/>
    </row>
    <row r="69" hidden="1" spans="2:16">
      <c r="B69" s="17" t="s">
        <v>321</v>
      </c>
      <c r="C69" s="17" t="s">
        <v>322</v>
      </c>
      <c r="D69" s="2" t="str">
        <f t="shared" si="6"/>
        <v>m³@20℃/bbls@60℉ [T-4] x VCF(59℉)/VCF(68℉)</v>
      </c>
      <c r="E69" s="28" t="s">
        <v>323</v>
      </c>
      <c r="F69" s="52" t="s">
        <v>324</v>
      </c>
      <c r="G69" s="2" t="str">
        <f t="shared" si="2"/>
        <v>MT (air)</v>
      </c>
      <c r="M69" s="25"/>
      <c r="N69" s="28"/>
      <c r="O69" s="28"/>
      <c r="P69" s="29"/>
    </row>
    <row r="70" hidden="1" spans="2:16">
      <c r="B70" s="17" t="s">
        <v>325</v>
      </c>
      <c r="C70" s="17" t="s">
        <v>326</v>
      </c>
      <c r="D70" s="2" t="str">
        <f t="shared" si="6"/>
        <v>m³@20℃/bbls@60℉</v>
      </c>
      <c r="E70" s="28" t="s">
        <v>327</v>
      </c>
      <c r="F70" s="52" t="s">
        <v>328</v>
      </c>
      <c r="G70" s="2" t="str">
        <f t="shared" si="2"/>
        <v>LT (air)</v>
      </c>
      <c r="M70" s="25"/>
      <c r="N70" s="28"/>
      <c r="O70" s="28"/>
      <c r="P70" s="29"/>
    </row>
    <row r="71" hidden="1" spans="2:16">
      <c r="B71" s="17" t="s">
        <v>329</v>
      </c>
      <c r="C71" s="17" t="s">
        <v>330</v>
      </c>
      <c r="D71" s="2" t="str">
        <f t="shared" si="6"/>
        <v>m³@20℃/bbls@60℉ [T-22] x VCF(59℉)/VCF(68℉)</v>
      </c>
      <c r="E71" s="69" t="s">
        <v>331</v>
      </c>
      <c r="F71" s="52" t="s">
        <v>377</v>
      </c>
      <c r="G71" s="2" t="str">
        <f t="shared" si="2"/>
        <v>- Gross Quantity</v>
      </c>
      <c r="M71" s="25"/>
      <c r="N71" s="28"/>
      <c r="O71" s="28"/>
      <c r="P71" s="29"/>
    </row>
    <row r="72" hidden="1" spans="2:16">
      <c r="B72" s="17" t="s">
        <v>325</v>
      </c>
      <c r="C72" s="17" t="s">
        <v>333</v>
      </c>
      <c r="D72" s="2" t="str">
        <f t="shared" si="6"/>
        <v>m³@20℃/bbls@60℉</v>
      </c>
      <c r="E72" s="69" t="s">
        <v>334</v>
      </c>
      <c r="F72" s="52" t="s">
        <v>378</v>
      </c>
      <c r="G72" s="2" t="str">
        <f t="shared" si="2"/>
        <v>- Net Quantity</v>
      </c>
      <c r="M72" s="25"/>
      <c r="N72" s="28"/>
      <c r="O72" s="28"/>
      <c r="P72" s="29"/>
    </row>
    <row r="73" hidden="1" spans="2:16">
      <c r="B73" s="19" t="s">
        <v>336</v>
      </c>
      <c r="C73" s="21" t="s">
        <v>337</v>
      </c>
      <c r="D73" s="2" t="str">
        <f t="shared" si="6"/>
        <v>m³@30℃/m³@15℃ [1/VCF(30℃)]</v>
      </c>
      <c r="E73" s="70" t="s">
        <v>338</v>
      </c>
      <c r="F73" s="52" t="s">
        <v>339</v>
      </c>
      <c r="G73" s="2" t="str">
        <f t="shared" si="2"/>
        <v>VCF table used at discharge port</v>
      </c>
      <c r="M73" s="25"/>
      <c r="N73" s="28"/>
      <c r="O73" s="28"/>
      <c r="P73" s="29"/>
    </row>
    <row r="74" hidden="1" spans="2:16">
      <c r="B74" s="19" t="s">
        <v>340</v>
      </c>
      <c r="C74" s="21" t="s">
        <v>341</v>
      </c>
      <c r="D74" s="2" t="str">
        <f t="shared" si="6"/>
        <v>m³@30℃/m³@20℃ [1/VCF(30℃)]</v>
      </c>
      <c r="E74" t="s">
        <v>342</v>
      </c>
      <c r="F74" s="52" t="s">
        <v>343</v>
      </c>
      <c r="G74" s="2" t="str">
        <f t="shared" si="2"/>
        <v>VEF</v>
      </c>
      <c r="M74" s="25"/>
      <c r="N74" s="28"/>
      <c r="O74" s="28"/>
      <c r="P74" s="29"/>
    </row>
    <row r="75" hidden="1" spans="2:16">
      <c r="B75" s="17" t="s">
        <v>344</v>
      </c>
      <c r="C75" s="17" t="s">
        <v>345</v>
      </c>
      <c r="D75" s="2" t="str">
        <f t="shared" si="6"/>
        <v>m³@30℃/bbls@60℉ [T-4] x VCF(59℉)/VCF(86℉)</v>
      </c>
      <c r="E75" t="s">
        <v>379</v>
      </c>
      <c r="F75" s="52" t="s">
        <v>380</v>
      </c>
      <c r="G75" s="2" t="str">
        <f t="shared" si="2"/>
        <v>LOADING SUMMARY REPORT</v>
      </c>
      <c r="M75" s="25"/>
      <c r="N75" s="28"/>
      <c r="O75" s="28"/>
      <c r="P75" s="29"/>
    </row>
    <row r="76" hidden="1" spans="2:16">
      <c r="B76" s="17" t="s">
        <v>348</v>
      </c>
      <c r="C76" s="17" t="s">
        <v>349</v>
      </c>
      <c r="D76" s="2" t="str">
        <f t="shared" si="6"/>
        <v>m³@30℃/bbls@60℉</v>
      </c>
      <c r="M76" s="25"/>
      <c r="N76" s="28"/>
      <c r="O76" s="28"/>
      <c r="P76" s="29"/>
    </row>
    <row r="77" ht="15" hidden="1" customHeight="1" spans="2:4">
      <c r="B77" s="17" t="s">
        <v>350</v>
      </c>
      <c r="C77" s="17" t="s">
        <v>351</v>
      </c>
      <c r="D77" s="2" t="str">
        <f t="shared" si="6"/>
        <v>m³@30℃/bbls@60℉ [T-22] x VCF(59℉)/VCF(86℉)</v>
      </c>
    </row>
    <row r="78" hidden="1" spans="2:4">
      <c r="B78" s="17" t="s">
        <v>348</v>
      </c>
      <c r="C78" s="17" t="s">
        <v>352</v>
      </c>
      <c r="D78" s="2" t="str">
        <f t="shared" si="6"/>
        <v>m³@30℃/bbls@60℉</v>
      </c>
    </row>
    <row r="79" hidden="1" spans="2:4">
      <c r="B79" s="5" t="s">
        <v>353</v>
      </c>
      <c r="C79" s="32" t="s">
        <v>354</v>
      </c>
      <c r="D79" s="2" t="str">
        <f t="shared" si="6"/>
        <v>US Gallon/US Barrels [T-1]</v>
      </c>
    </row>
    <row r="80" hidden="1" spans="2:4">
      <c r="B80" s="33" t="s">
        <v>355</v>
      </c>
      <c r="C80" s="33" t="s">
        <v>356</v>
      </c>
      <c r="D80" s="2" t="str">
        <f t="shared" si="6"/>
        <v>Master/Chief Officer</v>
      </c>
    </row>
    <row r="81" hidden="1" spans="2:4">
      <c r="B81" s="34" t="s">
        <v>357</v>
      </c>
      <c r="C81" s="34" t="s">
        <v>358</v>
      </c>
      <c r="D81" s="2" t="str">
        <f t="shared" si="6"/>
        <v>CCIC Surveyor</v>
      </c>
    </row>
    <row r="82" hidden="1" spans="2:4">
      <c r="B82" s="33" t="s">
        <v>359</v>
      </c>
      <c r="C82" s="33" t="s">
        <v>360</v>
      </c>
      <c r="D82" s="2" t="str">
        <f t="shared" si="6"/>
        <v>Name</v>
      </c>
    </row>
    <row r="83" hidden="1" spans="2:4">
      <c r="B83" s="34" t="s">
        <v>361</v>
      </c>
      <c r="C83" s="34" t="s">
        <v>362</v>
      </c>
      <c r="D83" s="2" t="str">
        <f t="shared" si="6"/>
        <v>Signature</v>
      </c>
    </row>
    <row r="84" hidden="1" spans="2:4">
      <c r="B84" s="33" t="s">
        <v>363</v>
      </c>
      <c r="C84" s="33" t="s">
        <v>364</v>
      </c>
      <c r="D84" s="2" t="str">
        <f t="shared" si="6"/>
        <v>Authorized Signature (S)</v>
      </c>
    </row>
    <row r="85" hidden="1" spans="2:4">
      <c r="B85" s="34" t="s">
        <v>74</v>
      </c>
      <c r="C85" s="34" t="s">
        <v>75</v>
      </c>
      <c r="D85" s="2" t="str">
        <f t="shared" si="6"/>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hidden="1" spans="1:3">
      <c r="A86" s="27"/>
      <c r="B86" s="28"/>
      <c r="C86" s="29"/>
    </row>
    <row r="87" hidden="1" spans="1:3">
      <c r="A87" s="27"/>
      <c r="B87" s="28"/>
      <c r="C87" s="29"/>
    </row>
    <row r="88" hidden="1"/>
    <row r="89" ht="13.2" customHeight="1" spans="2:13">
      <c r="B89" s="47"/>
      <c r="C89" s="47"/>
      <c r="D89" s="71"/>
      <c r="E89" s="47"/>
      <c r="F89" s="47"/>
      <c r="G89" s="47"/>
      <c r="H89" s="47"/>
      <c r="I89" s="47"/>
      <c r="J89" s="47"/>
      <c r="K89" s="46" t="str">
        <f>D2</f>
        <v>JOB NO.:</v>
      </c>
      <c r="L89" s="47" t="str">
        <f>单号</f>
        <v>这就是爱</v>
      </c>
      <c r="M89" s="47"/>
    </row>
    <row r="90" ht="11.4" customHeight="1" spans="2:13">
      <c r="B90" s="47"/>
      <c r="C90" s="47"/>
      <c r="D90" s="72"/>
      <c r="E90" s="47"/>
      <c r="F90" s="47"/>
      <c r="G90" s="47"/>
      <c r="H90" s="47"/>
      <c r="I90" s="47"/>
      <c r="J90" s="47"/>
      <c r="K90" s="46" t="str">
        <f>D3</f>
        <v>DATE OF REPORT:</v>
      </c>
      <c r="L90" s="47" t="str">
        <f>报告日期</f>
        <v>YYYY-MM-DD</v>
      </c>
      <c r="M90" s="47"/>
    </row>
    <row r="91" ht="6" customHeight="1" spans="2:13">
      <c r="B91" s="47"/>
      <c r="C91" s="47"/>
      <c r="D91" s="47"/>
      <c r="E91" s="47"/>
      <c r="F91" s="47"/>
      <c r="G91" s="47"/>
      <c r="H91" s="47"/>
      <c r="I91" s="47"/>
      <c r="J91" s="47"/>
      <c r="K91" s="47"/>
      <c r="L91" s="47"/>
      <c r="M91" s="47"/>
    </row>
    <row r="92" ht="6" customHeight="1" spans="2:13">
      <c r="B92" s="47"/>
      <c r="C92" s="47"/>
      <c r="D92" s="47"/>
      <c r="E92" s="47"/>
      <c r="F92" s="47"/>
      <c r="G92" s="47"/>
      <c r="H92" s="47"/>
      <c r="I92" s="47"/>
      <c r="J92" s="47"/>
      <c r="K92" s="47"/>
      <c r="L92" s="47"/>
      <c r="M92" s="47"/>
    </row>
    <row r="93" spans="1:13">
      <c r="A93" t="b">
        <v>0</v>
      </c>
      <c r="B93" s="73" t="s">
        <v>1397</v>
      </c>
      <c r="C93" s="73"/>
      <c r="D93" s="73"/>
      <c r="E93" s="73"/>
      <c r="F93" s="74"/>
      <c r="G93" s="75" t="str">
        <f t="shared" ref="G93:G99" si="7">D4</f>
        <v>APPLICANT</v>
      </c>
      <c r="H93" s="76"/>
      <c r="I93" s="88" t="str">
        <f>客户名</f>
        <v>PETROCHINA </v>
      </c>
      <c r="J93" s="89"/>
      <c r="K93" s="89"/>
      <c r="L93" s="89"/>
      <c r="M93" s="90"/>
    </row>
    <row r="94" ht="15" customHeight="1" spans="1:14">
      <c r="A94" t="b">
        <v>0</v>
      </c>
      <c r="B94" s="73"/>
      <c r="C94" s="73"/>
      <c r="D94" s="73"/>
      <c r="E94" s="73"/>
      <c r="F94" s="74"/>
      <c r="G94" s="75" t="str">
        <f t="shared" si="7"/>
        <v>CLIENT'S REF. NO.</v>
      </c>
      <c r="H94" s="76"/>
      <c r="I94" s="91" t="str">
        <f>客户编号</f>
        <v>说也说不清楚</v>
      </c>
      <c r="J94" s="92"/>
      <c r="K94" s="92"/>
      <c r="L94" s="92"/>
      <c r="M94" s="93"/>
      <c r="N94" t="s">
        <v>365</v>
      </c>
    </row>
    <row r="95" spans="2:13">
      <c r="B95" s="73"/>
      <c r="C95" s="73"/>
      <c r="D95" s="73"/>
      <c r="E95" s="73"/>
      <c r="F95" s="74"/>
      <c r="G95" s="75" t="str">
        <f t="shared" si="7"/>
        <v>COMMODITY</v>
      </c>
      <c r="H95" s="76"/>
      <c r="I95" s="91" t="str">
        <f>品名</f>
        <v>Crude Oil6658</v>
      </c>
      <c r="J95" s="92"/>
      <c r="K95" s="92"/>
      <c r="L95" s="92"/>
      <c r="M95" s="93"/>
    </row>
    <row r="96" spans="1:13">
      <c r="A96" t="b">
        <v>0</v>
      </c>
      <c r="B96" s="73"/>
      <c r="C96" s="73"/>
      <c r="D96" s="73"/>
      <c r="E96" s="73"/>
      <c r="F96" s="74"/>
      <c r="G96" s="75" t="str">
        <f t="shared" si="7"/>
        <v>VESSEL</v>
      </c>
      <c r="H96" s="76"/>
      <c r="I96" s="91" t="str">
        <f>船名</f>
        <v>MT ZhenYuanefdasdf</v>
      </c>
      <c r="J96" s="92"/>
      <c r="K96" s="92"/>
      <c r="L96" s="92"/>
      <c r="M96" s="93"/>
    </row>
    <row r="97" spans="1:13">
      <c r="A97" t="b">
        <v>0</v>
      </c>
      <c r="B97" s="73"/>
      <c r="C97" s="73"/>
      <c r="D97" s="73"/>
      <c r="E97" s="73"/>
      <c r="F97" s="74"/>
      <c r="G97" s="75" t="str">
        <f t="shared" si="7"/>
        <v>PORT</v>
      </c>
      <c r="H97" s="76"/>
      <c r="I97" s="91" t="str">
        <f>港口名</f>
        <v>Dalian, Chinafsadfa</v>
      </c>
      <c r="J97" s="92"/>
      <c r="K97" s="92"/>
      <c r="L97" s="92"/>
      <c r="M97" s="93"/>
    </row>
    <row r="98" spans="1:13">
      <c r="A98" t="b">
        <v>0</v>
      </c>
      <c r="B98" s="73"/>
      <c r="C98" s="73"/>
      <c r="D98" s="73"/>
      <c r="E98" s="73"/>
      <c r="F98" s="74"/>
      <c r="G98" s="75" t="str">
        <f t="shared" si="7"/>
        <v>TERMINAL</v>
      </c>
      <c r="H98" s="76"/>
      <c r="I98" s="91" t="str">
        <f>油库名</f>
        <v>Dalian Chinaoil, China1325415</v>
      </c>
      <c r="J98" s="92"/>
      <c r="K98" s="92"/>
      <c r="L98" s="92"/>
      <c r="M98" s="93"/>
    </row>
    <row r="99" spans="2:13">
      <c r="B99" s="73"/>
      <c r="C99" s="73"/>
      <c r="D99" s="73"/>
      <c r="E99" s="73"/>
      <c r="F99" s="74"/>
      <c r="G99" s="75" t="str">
        <f t="shared" si="7"/>
        <v>DATE OF INSPECTION</v>
      </c>
      <c r="H99" s="76"/>
      <c r="I99" s="91" t="str">
        <f>检验日期</f>
        <v>YYYY-MM-DD To YYYY-MM-DD</v>
      </c>
      <c r="J99" s="92"/>
      <c r="K99" s="92"/>
      <c r="L99" s="92"/>
      <c r="M99" s="93"/>
    </row>
    <row r="100" ht="6" customHeight="1" spans="2:13">
      <c r="B100" s="47"/>
      <c r="C100" s="47"/>
      <c r="D100" s="47"/>
      <c r="E100" s="47"/>
      <c r="F100" s="47"/>
      <c r="G100" s="47"/>
      <c r="H100" s="47"/>
      <c r="I100" s="47"/>
      <c r="J100" s="47"/>
      <c r="K100" s="47"/>
      <c r="L100" s="47"/>
      <c r="M100" s="47"/>
    </row>
    <row r="101" spans="2:24">
      <c r="B101" s="47"/>
      <c r="C101" s="47"/>
      <c r="D101" s="47"/>
      <c r="E101" s="47"/>
      <c r="F101" s="47"/>
      <c r="G101" s="47"/>
      <c r="H101" s="77" t="str">
        <f>G37</f>
        <v>FROM</v>
      </c>
      <c r="I101" s="77"/>
      <c r="J101" s="77" t="str">
        <f>G38</f>
        <v>TO</v>
      </c>
      <c r="K101" s="77"/>
      <c r="L101" s="47"/>
      <c r="M101" s="47"/>
      <c r="U101" s="101"/>
      <c r="V101" s="101"/>
      <c r="W101" s="101"/>
      <c r="X101" s="101"/>
    </row>
    <row r="102" s="39" customFormat="1" ht="11.25" spans="3:24">
      <c r="C102" s="78" t="str">
        <f>G40</f>
        <v>TIME LOG</v>
      </c>
      <c r="D102" s="47"/>
      <c r="E102" s="47"/>
      <c r="F102" s="47"/>
      <c r="G102" s="47"/>
      <c r="H102" s="79" t="str">
        <f>G35</f>
        <v>Date</v>
      </c>
      <c r="I102" s="79" t="str">
        <f>G36</f>
        <v>Time</v>
      </c>
      <c r="J102" s="79" t="str">
        <f>H102</f>
        <v>Date</v>
      </c>
      <c r="K102" s="79" t="str">
        <f>I102</f>
        <v>Time</v>
      </c>
      <c r="L102" s="47"/>
      <c r="M102" s="47"/>
      <c r="S102" s="102"/>
      <c r="U102" s="103"/>
      <c r="V102" s="103"/>
      <c r="W102" s="103"/>
      <c r="X102" s="103"/>
    </row>
    <row r="103" ht="12.45" customHeight="1" spans="3:13">
      <c r="C103" s="80" t="str">
        <f>G6</f>
        <v>End of sea passage</v>
      </c>
      <c r="D103" s="47"/>
      <c r="E103" s="47"/>
      <c r="F103" s="47"/>
      <c r="G103" s="47"/>
      <c r="H103" s="81" t="str">
        <f>IF('Time Log'!P108="","",'Time Log'!P108)</f>
        <v>--</v>
      </c>
      <c r="I103" s="81" t="str">
        <f>IF('Time Log'!Q108="","",'Time Log'!Q108)</f>
        <v>--</v>
      </c>
      <c r="J103" s="81" t="str">
        <f>IF('Time Log'!R108="","",'Time Log'!R108)</f>
        <v/>
      </c>
      <c r="K103" s="81" t="str">
        <f>IF('Time Log'!S108="","",'Time Log'!S108)</f>
        <v/>
      </c>
      <c r="L103" s="47"/>
      <c r="M103" s="47"/>
    </row>
    <row r="104" ht="12.45" customHeight="1" spans="3:13">
      <c r="C104" s="80" t="str">
        <f>G7</f>
        <v>Notice of readiness tendered</v>
      </c>
      <c r="D104" s="47"/>
      <c r="E104" s="47"/>
      <c r="F104" s="47"/>
      <c r="G104" s="47"/>
      <c r="H104" s="81" t="str">
        <f>IF('Time Log'!P109="","",'Time Log'!P109)</f>
        <v>--</v>
      </c>
      <c r="I104" s="81" t="str">
        <f>IF('Time Log'!Q109="","",'Time Log'!Q109)</f>
        <v>--</v>
      </c>
      <c r="J104" s="81" t="str">
        <f>IF('Time Log'!R109="","",'Time Log'!R109)</f>
        <v/>
      </c>
      <c r="K104" s="81" t="str">
        <f>IF('Time Log'!S109="","",'Time Log'!S109)</f>
        <v/>
      </c>
      <c r="L104" s="47"/>
      <c r="M104" s="47"/>
    </row>
    <row r="105" ht="12.45" customHeight="1" spans="3:19">
      <c r="C105" s="80" t="str">
        <f>G8</f>
        <v>Notice of readiness accepted</v>
      </c>
      <c r="D105" s="47"/>
      <c r="E105" s="47"/>
      <c r="F105" s="47"/>
      <c r="G105" s="47"/>
      <c r="H105" s="81" t="str">
        <f>IF('Time Log'!P110="","",'Time Log'!P110)</f>
        <v>--</v>
      </c>
      <c r="I105" s="81" t="str">
        <f>IF('Time Log'!Q110="","",'Time Log'!Q110)</f>
        <v>--</v>
      </c>
      <c r="J105" s="81" t="str">
        <f>IF('Time Log'!R110="","",'Time Log'!R110)</f>
        <v/>
      </c>
      <c r="K105" s="81" t="str">
        <f>IF('Time Log'!S110="","",'Time Log'!S110)</f>
        <v/>
      </c>
      <c r="L105" s="47"/>
      <c r="M105" s="47"/>
      <c r="S105" s="50"/>
    </row>
    <row r="106" ht="12.45" customHeight="1" spans="3:13">
      <c r="C106" s="80" t="str">
        <f>G9</f>
        <v>Pilot on board</v>
      </c>
      <c r="D106" s="47"/>
      <c r="E106" s="47"/>
      <c r="F106" s="47"/>
      <c r="G106" s="47"/>
      <c r="H106" s="81" t="str">
        <f>IF('Time Log'!P111="","",'Time Log'!P111)</f>
        <v>--</v>
      </c>
      <c r="I106" s="81" t="str">
        <f>IF('Time Log'!Q111="","",'Time Log'!Q111)</f>
        <v>--</v>
      </c>
      <c r="J106" s="81" t="str">
        <f>IF('Time Log'!R111="","",'Time Log'!R111)</f>
        <v/>
      </c>
      <c r="K106" s="81" t="str">
        <f>IF('Time Log'!S111="","",'Time Log'!S111)</f>
        <v/>
      </c>
      <c r="L106" s="47"/>
      <c r="M106" s="47"/>
    </row>
    <row r="107" ht="12.45" customHeight="1" spans="3:13">
      <c r="C107" s="80" t="str">
        <f>G12</f>
        <v>All fast</v>
      </c>
      <c r="D107" s="47"/>
      <c r="E107" s="47"/>
      <c r="F107" s="47"/>
      <c r="G107" s="47"/>
      <c r="H107" s="81" t="str">
        <f>IF('Time Log'!P114="","",'Time Log'!P114)</f>
        <v>--</v>
      </c>
      <c r="I107" s="81" t="str">
        <f>IF('Time Log'!Q114="","",'Time Log'!Q114)</f>
        <v>--</v>
      </c>
      <c r="J107" s="81" t="str">
        <f>IF('Time Log'!R114="","",'Time Log'!R114)</f>
        <v/>
      </c>
      <c r="K107" s="81" t="str">
        <f>IF('Time Log'!S114="","",'Time Log'!S114)</f>
        <v/>
      </c>
      <c r="L107" s="47"/>
      <c r="M107" s="47"/>
    </row>
    <row r="108" ht="12.45" customHeight="1" spans="3:13">
      <c r="C108" s="80" t="str">
        <f>IF('Time Log'!arm=TRUE,G44,G45)</f>
        <v>Arm(s) connected</v>
      </c>
      <c r="D108" s="47"/>
      <c r="E108" s="47"/>
      <c r="F108" s="47"/>
      <c r="G108" s="47"/>
      <c r="H108" s="81" t="str">
        <f>IF('Time Log'!P131="","",'Time Log'!P131)</f>
        <v/>
      </c>
      <c r="I108" s="81" t="str">
        <f>IF('Time Log'!Q131="","",'Time Log'!Q131)</f>
        <v/>
      </c>
      <c r="J108" s="81" t="str">
        <f>IF('Time Log'!R131="","",'Time Log'!R131)</f>
        <v/>
      </c>
      <c r="K108" s="81" t="str">
        <f>IF('Time Log'!S131="","",'Time Log'!S131)</f>
        <v/>
      </c>
      <c r="L108" s="47"/>
      <c r="M108" s="47"/>
    </row>
    <row r="109" ht="12.45" customHeight="1" spans="3:13">
      <c r="C109" s="80" t="str">
        <f>G28</f>
        <v>Commenced load</v>
      </c>
      <c r="D109" s="47"/>
      <c r="E109" s="47"/>
      <c r="F109" s="47"/>
      <c r="G109" s="47"/>
      <c r="H109" s="81" t="str">
        <f>IF('Time Log'!P132="","",'Time Log'!P132)</f>
        <v/>
      </c>
      <c r="I109" s="81" t="str">
        <f>IF('Time Log'!Q132="","",'Time Log'!Q132)</f>
        <v/>
      </c>
      <c r="J109" s="81" t="str">
        <f>IF('Time Log'!R132="","",'Time Log'!R132)</f>
        <v>--</v>
      </c>
      <c r="K109" s="81" t="str">
        <f>IF('Time Log'!S132="","",'Time Log'!S132)</f>
        <v>--</v>
      </c>
      <c r="L109" s="47"/>
      <c r="M109" s="47"/>
    </row>
    <row r="110" ht="12.45" customHeight="1" spans="3:13">
      <c r="C110" s="80" t="str">
        <f>G33</f>
        <v>Completed load</v>
      </c>
      <c r="D110" s="47"/>
      <c r="E110" s="47"/>
      <c r="F110" s="47"/>
      <c r="G110" s="47"/>
      <c r="H110" s="81" t="str">
        <f>IF('Time Log'!P137="","",'Time Log'!P137)</f>
        <v>--</v>
      </c>
      <c r="I110" s="81" t="str">
        <f>IF('Time Log'!Q137="","",'Time Log'!Q137)</f>
        <v>--</v>
      </c>
      <c r="J110" s="81" t="str">
        <f>IF('Time Log'!R137="","",'Time Log'!R137)</f>
        <v/>
      </c>
      <c r="K110" s="81" t="str">
        <f>IF('Time Log'!S137="","",'Time Log'!S137)</f>
        <v/>
      </c>
      <c r="L110" s="47"/>
      <c r="M110" s="47"/>
    </row>
    <row r="111" ht="12.45" customHeight="1" spans="3:13">
      <c r="C111" s="80" t="str">
        <f>IF('Time Log'!arm=TRUE,G46,G47)</f>
        <v>Arm(s) disconnected</v>
      </c>
      <c r="D111" s="47"/>
      <c r="E111" s="47"/>
      <c r="F111" s="47"/>
      <c r="G111" s="47"/>
      <c r="H111" s="81" t="str">
        <f>IF('Time Log'!P138="","",'Time Log'!P138)</f>
        <v/>
      </c>
      <c r="I111" s="81" t="str">
        <f>IF('Time Log'!Q138="","",'Time Log'!Q138)</f>
        <v/>
      </c>
      <c r="J111" s="81" t="str">
        <f>IF('Time Log'!R138="","",'Time Log'!R138)</f>
        <v/>
      </c>
      <c r="K111" s="81" t="str">
        <f>IF('Time Log'!S138="","",'Time Log'!S138)</f>
        <v/>
      </c>
      <c r="L111" s="47"/>
      <c r="M111" s="47"/>
    </row>
    <row r="112" ht="12.45" customHeight="1" spans="3:13">
      <c r="C112" s="80" t="str">
        <f>G34</f>
        <v>Estimated sailing time</v>
      </c>
      <c r="D112" s="47"/>
      <c r="E112" s="47"/>
      <c r="F112" s="47"/>
      <c r="H112" s="81" t="str">
        <f>IF('Time Log'!P142="","",'Time Log'!P142)</f>
        <v>--</v>
      </c>
      <c r="I112" s="81" t="str">
        <f>IF('Time Log'!Q142="","",'Time Log'!Q142)</f>
        <v>--</v>
      </c>
      <c r="J112" s="81" t="str">
        <f>IF('Time Log'!R142="","",'Time Log'!R142)</f>
        <v/>
      </c>
      <c r="K112" s="81" t="str">
        <f>IF('Time Log'!S142="","",'Time Log'!S142)</f>
        <v/>
      </c>
      <c r="L112" s="47"/>
      <c r="M112" s="47"/>
    </row>
    <row r="113" ht="10.8" customHeight="1" spans="3:13">
      <c r="C113" s="70" t="str">
        <f>G48</f>
        <v>QUANTITIES</v>
      </c>
      <c r="D113" s="47"/>
      <c r="E113" s="47"/>
      <c r="F113" s="47"/>
      <c r="G113" s="47"/>
      <c r="I113" s="94"/>
      <c r="K113" s="47"/>
      <c r="L113" s="47"/>
      <c r="M113" s="47"/>
    </row>
    <row r="114" ht="10.8" customHeight="1" spans="3:13">
      <c r="C114" s="80" t="str">
        <f>G73</f>
        <v>VCF table used at discharge port</v>
      </c>
      <c r="D114" s="47"/>
      <c r="E114" s="47"/>
      <c r="F114" s="82" t="str">
        <f>vcfTab</f>
        <v>T-60B</v>
      </c>
      <c r="G114" s="83" t="str">
        <f>G74</f>
        <v>VEF</v>
      </c>
      <c r="H114" s="82">
        <f>VEF!R127</f>
        <v>0.9986</v>
      </c>
      <c r="I114" s="95" t="str">
        <f>VEF!N128</f>
        <v/>
      </c>
      <c r="J114" s="95"/>
      <c r="K114" s="47"/>
      <c r="L114" s="47"/>
      <c r="M114" s="47"/>
    </row>
    <row r="115" ht="11.4" customHeight="1" spans="3:13">
      <c r="C115" s="70" t="str">
        <f>G71</f>
        <v>- Gross Quantity</v>
      </c>
      <c r="D115" s="47"/>
      <c r="E115" s="47"/>
      <c r="F115" s="47"/>
      <c r="G115" s="47"/>
      <c r="H115" s="84" t="str">
        <f>IF(LEFT(vcfTab,4)="T-54",G67,IF(LEFT(vcfTab,4)="T-60",G68,G66))</f>
        <v>m³ (20℃)</v>
      </c>
      <c r="I115" s="84" t="str">
        <f>IF(LEFT(vcfTab,4)="T-54",G69,IF(LEFT(vcfTab,4)="T-60",G69,G70))</f>
        <v>MT (air)</v>
      </c>
      <c r="J115" s="84" t="str">
        <f>IF(LEFT(vcfTab,4)="T-54",G66,IF(LEFT(vcfTab,4)="T-60",G66,G67))</f>
        <v>Bbls (60℉)</v>
      </c>
      <c r="K115" s="84" t="str">
        <f>IF(LEFT(vcfTab,4)="T-54",G70,IF(LEFT(vcfTab,4)="T-60",G70,G69))</f>
        <v>LT (air)</v>
      </c>
      <c r="L115" s="47"/>
      <c r="M115" s="47"/>
    </row>
    <row r="116" ht="12" customHeight="1" spans="3:13">
      <c r="C116" s="80" t="str">
        <f>$G$49</f>
        <v>Bill of Lading</v>
      </c>
      <c r="D116" s="47"/>
      <c r="E116" s="47"/>
      <c r="F116" s="47"/>
      <c r="G116" s="47"/>
      <c r="H116" s="85">
        <v>2098908</v>
      </c>
      <c r="I116" s="96">
        <v>269416</v>
      </c>
      <c r="J116" s="85" t="s">
        <v>366</v>
      </c>
      <c r="K116" s="96">
        <v>273740</v>
      </c>
      <c r="L116" s="47"/>
      <c r="M116" s="47"/>
    </row>
    <row r="117" ht="12" customHeight="1" spans="3:13">
      <c r="C117" s="80" t="str">
        <f>P36</f>
        <v>Shore Tanks Delivered Quantity</v>
      </c>
      <c r="D117" s="47"/>
      <c r="E117" s="47"/>
      <c r="F117" s="47"/>
      <c r="G117" s="47"/>
      <c r="H117" s="82" t="e">
        <f>INDEX($G$48:$N$61,MATCH($C117,$G$48:$G$61,0),MATCH(H$115,$G$48:$N$48,0))</f>
        <v>#NAME?</v>
      </c>
      <c r="I117" s="97" t="e">
        <f>INDEX($G$48:$N$61,MATCH($C117,$G$48:$G$61,0),MATCH(I$115,$G$48:$N$48,0))</f>
        <v>#NAME?</v>
      </c>
      <c r="J117" s="82" t="e">
        <f>INDEX($G$48:$N$61,MATCH($C117,$G$48:$G$61,0),MATCH(J$115,$G$48:$N$48,0))</f>
        <v>#NAME?</v>
      </c>
      <c r="K117" s="97" t="e">
        <f>INDEX($G$48:$N$61,MATCH($C117,$G$48:$G$61,0),MATCH(K$115,$G$48:$N$48,0))</f>
        <v>#NAME?</v>
      </c>
      <c r="L117" s="47"/>
      <c r="M117" s="47"/>
    </row>
    <row r="118" ht="12" customHeight="1" spans="3:13">
      <c r="C118" s="80" t="str">
        <f>G60</f>
        <v>O.B.Q. Quantity</v>
      </c>
      <c r="D118" s="47"/>
      <c r="E118" s="47"/>
      <c r="F118" s="47"/>
      <c r="G118" s="47"/>
      <c r="H118" s="82">
        <f>IF(H60="","",H60)</f>
        <v>3764.991</v>
      </c>
      <c r="I118" s="98"/>
      <c r="J118" s="99"/>
      <c r="K118" s="100"/>
      <c r="L118" s="47"/>
      <c r="M118" s="47"/>
    </row>
    <row r="119" ht="12" customHeight="1" spans="3:13">
      <c r="C119" s="80" t="str">
        <f>$G$51</f>
        <v>Vessel Tank Quantity After Load</v>
      </c>
      <c r="D119" s="47"/>
      <c r="E119" s="47"/>
      <c r="F119" s="47"/>
      <c r="G119" s="47"/>
      <c r="H119" s="82">
        <f>INDEX($G$48:$N$61,MATCH($C119,$G$48:$G$61,0),MATCH(H$115,$G$48:$N$48,0))</f>
        <v>48120.731</v>
      </c>
      <c r="I119" s="97">
        <f t="shared" ref="I119:K120" si="8">INDEX($G$48:$N$61,MATCH($C119,$G$48:$G$61,0),MATCH(I$115,$G$48:$N$48,0))</f>
        <v>39386.818</v>
      </c>
      <c r="J119" s="82">
        <f t="shared" si="8"/>
        <v>301466.7</v>
      </c>
      <c r="K119" s="97">
        <f t="shared" si="8"/>
        <v>38764.743</v>
      </c>
      <c r="L119" s="47"/>
      <c r="M119" s="47"/>
    </row>
    <row r="120" ht="12" customHeight="1" spans="3:13">
      <c r="C120" s="86" t="str">
        <f>$G$53</f>
        <v>Vessel Loaded Quantity</v>
      </c>
      <c r="D120" s="47"/>
      <c r="E120" s="47"/>
      <c r="F120" s="47"/>
      <c r="G120" s="47"/>
      <c r="H120" s="82">
        <f>INDEX($G$48:$N$61,MATCH($C120,$G$48:$G$61,0),MATCH(H$115,$G$48:$N$48,0))</f>
        <v>44355.74</v>
      </c>
      <c r="I120" s="97">
        <f t="shared" si="8"/>
        <v>36305.173</v>
      </c>
      <c r="J120" s="82">
        <f t="shared" si="8"/>
        <v>277879.79</v>
      </c>
      <c r="K120" s="97">
        <f t="shared" si="8"/>
        <v>35731.769</v>
      </c>
      <c r="L120" s="47"/>
      <c r="M120" s="47"/>
    </row>
    <row r="121" ht="12" customHeight="1" spans="3:13">
      <c r="C121" s="80" t="str">
        <f>IF(语言序号=1,"Diff. with "&amp;$G$49,"与"&amp;$G$49&amp;"数量差异")</f>
        <v>Diff. with Bill of Lading</v>
      </c>
      <c r="D121" s="47"/>
      <c r="E121" s="47"/>
      <c r="F121" s="47"/>
      <c r="G121" s="47"/>
      <c r="H121" s="82">
        <f>IF(H116="","",IF(ISNUMBER(H116)=FALSE,"N/A",H120-H116))</f>
        <v>-2054552.26</v>
      </c>
      <c r="I121" s="97">
        <f>IF(I116="","",IF(ISNUMBER(I116)=FALSE,"N/A",I120-I116))</f>
        <v>-233110.827</v>
      </c>
      <c r="J121" s="82" t="str">
        <f>IF(J116="","",IF(ISNUMBER(J116)=FALSE,"N/A",J120-J116))</f>
        <v>N/A</v>
      </c>
      <c r="K121" s="97">
        <f>IF(K116="","",IF(ISNUMBER(K116)=FALSE,"N/A",K120-K116))</f>
        <v>-238008.231</v>
      </c>
      <c r="L121" s="47"/>
      <c r="M121" s="47"/>
    </row>
    <row r="122" ht="12" customHeight="1" spans="3:13">
      <c r="C122" s="80" t="str">
        <f>$G$63</f>
        <v>Difference Percentage</v>
      </c>
      <c r="D122" s="47"/>
      <c r="E122" s="47"/>
      <c r="F122" s="47"/>
      <c r="G122" s="47"/>
      <c r="H122" s="87">
        <f>IF(H116="","",IF(ISNUMBER(H116)=FALSE,"N/A",H121/H116))</f>
        <v>-0.978867230007223</v>
      </c>
      <c r="I122" s="87">
        <f>IF(I116="","",IF(ISNUMBER(I116)=FALSE,"N/A",I121/I116))</f>
        <v>-0.865244926062298</v>
      </c>
      <c r="J122" s="87" t="str">
        <f>IF(J116="","",IF(ISNUMBER(J116)=FALSE,"N/A",J121/J116))</f>
        <v>N/A</v>
      </c>
      <c r="K122" s="87">
        <f>IF(K116="","",IF(ISNUMBER(K116)=FALSE,"N/A",K121/K116))</f>
        <v>-0.869468221670198</v>
      </c>
      <c r="L122" s="47"/>
      <c r="M122" s="47"/>
    </row>
    <row r="123" ht="12" customHeight="1" spans="3:13">
      <c r="C123" s="80" t="str">
        <f>IF(语言序号=1,"Diff. with "&amp;$G$56,"与"&amp;$G$56&amp;"数量差异")</f>
        <v>Diff. with Shore Tanks Delivered Quantity</v>
      </c>
      <c r="D123" s="47"/>
      <c r="E123" s="47"/>
      <c r="F123" s="47"/>
      <c r="G123" s="47"/>
      <c r="H123" s="82" t="e">
        <f>IF(H117="","",IF(ISNUMBER(H117)=FALSE,"N/A",H120-H117))</f>
        <v>#NAME?</v>
      </c>
      <c r="I123" s="97" t="e">
        <f>IF(I117="","",IF(ISNUMBER(I117)=FALSE,"N/A",I120-I117))</f>
        <v>#NAME?</v>
      </c>
      <c r="J123" s="82" t="e">
        <f>IF(J117="","",IF(ISNUMBER(J117)=FALSE,"N/A",J120-J117))</f>
        <v>#NAME?</v>
      </c>
      <c r="K123" s="97" t="e">
        <f>IF(K117="","",IF(ISNUMBER(K117)=FALSE,"N/A",K120-K117))</f>
        <v>#NAME?</v>
      </c>
      <c r="L123" s="47"/>
      <c r="M123" s="47"/>
    </row>
    <row r="124" ht="12" customHeight="1" spans="3:13">
      <c r="C124" s="80" t="str">
        <f>$G$63</f>
        <v>Difference Percentage</v>
      </c>
      <c r="D124" s="47"/>
      <c r="E124" s="47"/>
      <c r="F124" s="47"/>
      <c r="G124" s="47"/>
      <c r="H124" s="87" t="e">
        <f>IF(H117="","",IF(ISNUMBER(H117)=FALSE,"N/A",H123/H117))</f>
        <v>#NAME?</v>
      </c>
      <c r="I124" s="87" t="e">
        <f>IF(I117="","",IF(ISNUMBER(I117)=FALSE,"N/A",I123/I117))</f>
        <v>#NAME?</v>
      </c>
      <c r="J124" s="87" t="e">
        <f>IF(J117="","",IF(ISNUMBER(J117)=FALSE,"N/A",J123/J117))</f>
        <v>#NAME?</v>
      </c>
      <c r="K124" s="87" t="e">
        <f>IF(K117="","",IF(ISNUMBER(K117)=FALSE,"N/A",K123/K117))</f>
        <v>#NAME?</v>
      </c>
      <c r="L124" s="47"/>
      <c r="M124" s="47"/>
    </row>
    <row r="125" ht="12" customHeight="1" spans="3:13">
      <c r="C125" s="86" t="str">
        <f>$G$54</f>
        <v>*Vessel Loaded Quantity Applied VEF</v>
      </c>
      <c r="D125" s="47"/>
      <c r="E125" s="47"/>
      <c r="F125" s="47"/>
      <c r="G125" s="47"/>
      <c r="H125" s="82">
        <f>INDEX($G$48:$N$61,MATCH($C125,$G$48:$G$61,0),MATCH(H$115,$G$48:$N$48,0))</f>
        <v>44417.925</v>
      </c>
      <c r="I125" s="97">
        <f t="shared" ref="I125:K125" si="9">INDEX($G$48:$N$61,MATCH($C125,$G$48:$G$61,0),MATCH(I$115,$G$48:$N$48,0))</f>
        <v>36356.072</v>
      </c>
      <c r="J125" s="82">
        <f t="shared" si="9"/>
        <v>278269.37</v>
      </c>
      <c r="K125" s="97">
        <f t="shared" si="9"/>
        <v>35781.864</v>
      </c>
      <c r="L125" s="47"/>
      <c r="M125" s="47"/>
    </row>
    <row r="126" ht="12" customHeight="1" spans="3:13">
      <c r="C126" s="80" t="str">
        <f>IF(语言序号=1,"Diff. with "&amp;$G$49,"与"&amp;$G$49&amp;"数量差异")</f>
        <v>Diff. with Bill of Lading</v>
      </c>
      <c r="D126" s="47"/>
      <c r="E126" s="47"/>
      <c r="F126" s="47"/>
      <c r="G126" s="47"/>
      <c r="H126" s="82">
        <f>IF(H116="","",IF(ISNUMBER(H116)=FALSE,"N/A",H125-H116))</f>
        <v>-2054490.075</v>
      </c>
      <c r="I126" s="97">
        <f>IF(I116="","",IF(ISNUMBER(I116)=FALSE,"N/A",I125-I116))</f>
        <v>-233059.928</v>
      </c>
      <c r="J126" s="82" t="str">
        <f>IF(J116="","",IF(ISNUMBER(J116)=FALSE,"N/A",J125-J116))</f>
        <v>N/A</v>
      </c>
      <c r="K126" s="97">
        <f>IF(K116="","",IF(ISNUMBER(K116)=FALSE,"N/A",K125-K116))</f>
        <v>-237958.136</v>
      </c>
      <c r="L126" s="47"/>
      <c r="M126" s="47"/>
    </row>
    <row r="127" ht="12" customHeight="1" spans="3:13">
      <c r="C127" s="80" t="str">
        <f>$G$63</f>
        <v>Difference Percentage</v>
      </c>
      <c r="D127" s="47"/>
      <c r="E127" s="47"/>
      <c r="F127" s="47"/>
      <c r="G127" s="47"/>
      <c r="H127" s="87">
        <f>IF(H116="","",IF(ISNUMBER(H116)=FALSE,"N/A",H126/H116))</f>
        <v>-0.978837602696259</v>
      </c>
      <c r="I127" s="87">
        <f>IF(I116="","",IF(ISNUMBER(I116)=FALSE,"N/A",I126/I116))</f>
        <v>-0.865056002613059</v>
      </c>
      <c r="J127" s="87" t="str">
        <f>IF(J116="","",IF(ISNUMBER(J116)=FALSE,"N/A",J126/J116))</f>
        <v>N/A</v>
      </c>
      <c r="K127" s="87">
        <f>IF(K116="","",IF(ISNUMBER(K116)=FALSE,"N/A",K126/K116))</f>
        <v>-0.869285219551399</v>
      </c>
      <c r="L127" s="47"/>
      <c r="M127" s="47"/>
    </row>
    <row r="128" ht="12" customHeight="1" spans="3:13">
      <c r="C128" s="80" t="str">
        <f>IF(语言序号=1,"Diff. with "&amp;$G$56,"与"&amp;$G$56&amp;"数量差异")</f>
        <v>Diff. with Shore Tanks Delivered Quantity</v>
      </c>
      <c r="D128" s="47"/>
      <c r="E128" s="47"/>
      <c r="F128" s="47"/>
      <c r="G128" s="47"/>
      <c r="H128" s="82" t="e">
        <f>IF(H117="","",IF(ISNUMBER(H117)=FALSE,"N/A",H125-H117))</f>
        <v>#NAME?</v>
      </c>
      <c r="I128" s="97" t="e">
        <f>IF(I117="","",IF(ISNUMBER(I117)=FALSE,"N/A",I125-I117))</f>
        <v>#NAME?</v>
      </c>
      <c r="J128" s="82" t="e">
        <f>IF(J117="","",IF(ISNUMBER(J117)=FALSE,"N/A",J125-J117))</f>
        <v>#NAME?</v>
      </c>
      <c r="K128" s="97" t="e">
        <f>IF(K117="","",IF(ISNUMBER(K117)=FALSE,"N/A",K125-K117))</f>
        <v>#NAME?</v>
      </c>
      <c r="L128" s="47"/>
      <c r="M128" s="47"/>
    </row>
    <row r="129" ht="12" customHeight="1" spans="3:13">
      <c r="C129" s="80" t="str">
        <f>$G$63</f>
        <v>Difference Percentage</v>
      </c>
      <c r="D129" s="47"/>
      <c r="E129" s="47"/>
      <c r="F129" s="47"/>
      <c r="G129" s="47"/>
      <c r="H129" s="87" t="e">
        <f>IF(H117="","",IF(ISNUMBER(H117)=FALSE,"N/A",H128/H117))</f>
        <v>#NAME?</v>
      </c>
      <c r="I129" s="87" t="e">
        <f>IF(I117="","",IF(ISNUMBER(I117)=FALSE,"N/A",I128/I117))</f>
        <v>#NAME?</v>
      </c>
      <c r="J129" s="87" t="e">
        <f>IF(J117="","",IF(ISNUMBER(J117)=FALSE,"N/A",J128/J117))</f>
        <v>#NAME?</v>
      </c>
      <c r="K129" s="87" t="e">
        <f>IF(K117="","",IF(ISNUMBER(K117)=FALSE,"N/A",K128/K117))</f>
        <v>#NAME?</v>
      </c>
      <c r="L129" s="47"/>
      <c r="M129" s="47"/>
    </row>
    <row r="130" spans="2:13">
      <c r="B130" s="47"/>
      <c r="C130" s="70" t="str">
        <f>G72</f>
        <v>- Net Quantity</v>
      </c>
      <c r="D130" s="47"/>
      <c r="E130" s="47"/>
      <c r="F130" s="47"/>
      <c r="G130" s="47"/>
      <c r="H130" s="84" t="str">
        <f>H115</f>
        <v>m³ (20℃)</v>
      </c>
      <c r="I130" s="84" t="str">
        <f>I115</f>
        <v>MT (air)</v>
      </c>
      <c r="J130" s="84" t="str">
        <f>J115</f>
        <v>Bbls (60℉)</v>
      </c>
      <c r="K130" s="84" t="str">
        <f>K115</f>
        <v>LT (air)</v>
      </c>
      <c r="L130" s="47"/>
      <c r="M130" s="47"/>
    </row>
    <row r="131" ht="12" customHeight="1" spans="2:13">
      <c r="B131" s="47"/>
      <c r="C131" s="80" t="str">
        <f>$G$49</f>
        <v>Bill of Lading</v>
      </c>
      <c r="D131" s="47"/>
      <c r="E131" s="47"/>
      <c r="F131" s="47"/>
      <c r="G131" s="47"/>
      <c r="H131" s="85">
        <v>2098908</v>
      </c>
      <c r="I131" s="96">
        <v>269416</v>
      </c>
      <c r="J131" s="85" t="s">
        <v>366</v>
      </c>
      <c r="K131" s="96">
        <v>273740</v>
      </c>
      <c r="L131" s="47"/>
      <c r="M131" s="47"/>
    </row>
    <row r="132" ht="12" customHeight="1" spans="2:13">
      <c r="B132" s="47"/>
      <c r="C132" s="80" t="str">
        <f>P36</f>
        <v>Shore Tanks Delivered Quantity</v>
      </c>
      <c r="D132" s="47"/>
      <c r="E132" s="47"/>
      <c r="F132" s="47"/>
      <c r="G132" s="47"/>
      <c r="H132" s="82" t="e">
        <f>INDEX($O$48:$S$61,MATCH($C132,$G$48:$G$61,0),MATCH(H$130,$O$48:$S$48,0))</f>
        <v>#VALUE!</v>
      </c>
      <c r="I132" s="97" t="e">
        <f t="shared" ref="I132:K132" si="10">INDEX($O$48:$S$61,MATCH($C132,$G$48:$G$61,0),MATCH(I$130,$O$48:$S$48,0))</f>
        <v>#VALUE!</v>
      </c>
      <c r="J132" s="82" t="e">
        <f t="shared" si="10"/>
        <v>#VALUE!</v>
      </c>
      <c r="K132" s="97" t="e">
        <f t="shared" si="10"/>
        <v>#VALUE!</v>
      </c>
      <c r="L132" s="47"/>
      <c r="M132" s="47"/>
    </row>
    <row r="133" ht="12" customHeight="1" spans="2:13">
      <c r="B133" s="47"/>
      <c r="C133" s="80" t="str">
        <f>$G$51</f>
        <v>Vessel Tank Quantity After Load</v>
      </c>
      <c r="D133" s="47"/>
      <c r="E133" s="47"/>
      <c r="F133" s="47"/>
      <c r="G133" s="47"/>
      <c r="H133" s="82">
        <f t="shared" ref="H133:K134" si="11">INDEX($O$48:$S$61,MATCH($C133,$G$48:$G$61,0),MATCH(H$130,$O$48:$S$48,0))</f>
        <v>47965.301</v>
      </c>
      <c r="I133" s="97">
        <f t="shared" si="11"/>
        <v>39259.599</v>
      </c>
      <c r="J133" s="82">
        <f t="shared" si="11"/>
        <v>300492.96</v>
      </c>
      <c r="K133" s="97">
        <f t="shared" si="11"/>
        <v>38639.533</v>
      </c>
      <c r="L133" s="47"/>
      <c r="M133" s="47"/>
    </row>
    <row r="134" ht="12" customHeight="1" spans="2:13">
      <c r="B134" s="47"/>
      <c r="C134" s="86" t="str">
        <f>$G$53</f>
        <v>Vessel Loaded Quantity</v>
      </c>
      <c r="D134" s="47"/>
      <c r="E134" s="47"/>
      <c r="F134" s="47"/>
      <c r="G134" s="47"/>
      <c r="H134" s="82">
        <f t="shared" si="11"/>
        <v>44212.471</v>
      </c>
      <c r="I134" s="97">
        <f t="shared" si="11"/>
        <v>36187.907</v>
      </c>
      <c r="J134" s="82">
        <f t="shared" si="11"/>
        <v>276982.24</v>
      </c>
      <c r="K134" s="97">
        <f t="shared" si="11"/>
        <v>35616.355</v>
      </c>
      <c r="L134" s="47"/>
      <c r="M134" s="47"/>
    </row>
    <row r="135" ht="12" customHeight="1" spans="2:13">
      <c r="B135" s="47"/>
      <c r="C135" s="80" t="str">
        <f>IF(语言序号=1,"Diff. with "&amp;$G$49,"与"&amp;$G$49&amp;"数量差异")</f>
        <v>Diff. with Bill of Lading</v>
      </c>
      <c r="D135" s="47"/>
      <c r="E135" s="47"/>
      <c r="F135" s="47"/>
      <c r="G135" s="47"/>
      <c r="H135" s="82">
        <f>IF(H131="","",IF(ISNUMBER(H131)=FALSE,"N/A",H134-H131))</f>
        <v>-2054695.529</v>
      </c>
      <c r="I135" s="97">
        <f>IF(I131="","",IF(ISNUMBER(I131)=FALSE,"N/A",I134-I131))</f>
        <v>-233228.093</v>
      </c>
      <c r="J135" s="82" t="str">
        <f t="shared" ref="J135:K135" si="12">IF(J131="","",IF(ISNUMBER(J131)=FALSE,"N/A",J134-J131))</f>
        <v>N/A</v>
      </c>
      <c r="K135" s="97">
        <f t="shared" si="12"/>
        <v>-238123.645</v>
      </c>
      <c r="L135" s="47"/>
      <c r="M135" s="47"/>
    </row>
    <row r="136" ht="12" customHeight="1" spans="2:13">
      <c r="B136" s="47"/>
      <c r="C136" s="80" t="str">
        <f>$G$63</f>
        <v>Difference Percentage</v>
      </c>
      <c r="D136" s="47"/>
      <c r="E136" s="47"/>
      <c r="F136" s="47"/>
      <c r="G136" s="47"/>
      <c r="H136" s="87">
        <f>IF(H131="","",IF(ISNUMBER(H131)=FALSE,"N/A",H135/H131))</f>
        <v>-0.978935488835147</v>
      </c>
      <c r="I136" s="87">
        <f t="shared" ref="I136:K136" si="13">IF(I131="","",IF(ISNUMBER(I131)=FALSE,"N/A",I135/I131))</f>
        <v>-0.86568018603201</v>
      </c>
      <c r="J136" s="87" t="str">
        <f t="shared" si="13"/>
        <v>N/A</v>
      </c>
      <c r="K136" s="87">
        <f t="shared" si="13"/>
        <v>-0.869889840724775</v>
      </c>
      <c r="L136" s="47"/>
      <c r="M136" s="47"/>
    </row>
    <row r="137" ht="12" customHeight="1" spans="2:13">
      <c r="B137" s="47"/>
      <c r="C137" s="80" t="str">
        <f>IF(语言序号=1,"Diff. with "&amp;$G$56,"与"&amp;$G$56&amp;"数量差异")</f>
        <v>Diff. with Shore Tanks Delivered Quantity</v>
      </c>
      <c r="D137" s="47"/>
      <c r="E137" s="47"/>
      <c r="F137" s="47"/>
      <c r="G137" s="47"/>
      <c r="H137" s="82" t="e">
        <f>IF(H132="","",IF(ISNUMBER(H132)=FALSE,"N/A",H134-H132))</f>
        <v>#VALUE!</v>
      </c>
      <c r="I137" s="97" t="e">
        <f t="shared" ref="I137:K137" si="14">IF(I132="","",IF(ISNUMBER(I132)=FALSE,"N/A",I134-I132))</f>
        <v>#VALUE!</v>
      </c>
      <c r="J137" s="82" t="e">
        <f t="shared" si="14"/>
        <v>#VALUE!</v>
      </c>
      <c r="K137" s="97" t="e">
        <f t="shared" si="14"/>
        <v>#VALUE!</v>
      </c>
      <c r="L137" s="47"/>
      <c r="M137" s="47"/>
    </row>
    <row r="138" ht="12" customHeight="1" spans="2:13">
      <c r="B138" s="47"/>
      <c r="C138" s="80" t="str">
        <f>$G$63</f>
        <v>Difference Percentage</v>
      </c>
      <c r="D138" s="47"/>
      <c r="E138" s="47"/>
      <c r="F138" s="47"/>
      <c r="G138" s="47"/>
      <c r="H138" s="87" t="e">
        <f>IF(H132="","",IF(ISNUMBER(H132)=FALSE,"N/A",H137/H132))</f>
        <v>#VALUE!</v>
      </c>
      <c r="I138" s="87" t="e">
        <f t="shared" ref="I138:K138" si="15">IF(I132="","",IF(ISNUMBER(I132)=FALSE,"N/A",I137/I132))</f>
        <v>#VALUE!</v>
      </c>
      <c r="J138" s="87" t="e">
        <f t="shared" si="15"/>
        <v>#VALUE!</v>
      </c>
      <c r="K138" s="87" t="e">
        <f t="shared" si="15"/>
        <v>#VALUE!</v>
      </c>
      <c r="L138" s="47"/>
      <c r="M138" s="47"/>
    </row>
    <row r="139" ht="12" customHeight="1" spans="2:13">
      <c r="B139" s="47"/>
      <c r="C139" s="86" t="str">
        <f>$G$54</f>
        <v>*Vessel Loaded Quantity Applied VEF</v>
      </c>
      <c r="D139" s="47"/>
      <c r="E139" s="47"/>
      <c r="F139" s="47"/>
      <c r="G139" s="47"/>
      <c r="H139" s="82">
        <f>INDEX($O$48:$S$61,MATCH($C139,$G$48:$G$61,0),MATCH(H$130,$O$48:$S$48,0))</f>
        <v>44274.455</v>
      </c>
      <c r="I139" s="97">
        <f>INDEX($O$48:$S$61,MATCH($C139,$G$48:$G$61,0),MATCH(I$130,$O$48:$S$48,0))</f>
        <v>36238.641</v>
      </c>
      <c r="J139" s="82">
        <f>INDEX($O$48:$S$61,MATCH($C139,$G$48:$G$61,0),MATCH(J$130,$O$48:$S$48,0))</f>
        <v>277370.56</v>
      </c>
      <c r="K139" s="97">
        <f>INDEX($O$48:$S$61,MATCH($C139,$G$48:$G$61,0),MATCH(K$130,$O$48:$S$48,0))</f>
        <v>35666.288</v>
      </c>
      <c r="L139" s="47"/>
      <c r="M139" s="47"/>
    </row>
    <row r="140" ht="12" customHeight="1" spans="2:13">
      <c r="B140" s="47"/>
      <c r="C140" s="80" t="str">
        <f>IF(语言序号=1,"Diff. with "&amp;$G$49,"与"&amp;$G$49&amp;"数量差异")</f>
        <v>Diff. with Bill of Lading</v>
      </c>
      <c r="D140" s="47"/>
      <c r="E140" s="47"/>
      <c r="F140" s="47"/>
      <c r="G140" s="47"/>
      <c r="H140" s="82">
        <f>IF(H131="","",IF(ISNUMBER(H131)=FALSE,"N/A",H139-H131))</f>
        <v>-2054633.545</v>
      </c>
      <c r="I140" s="97">
        <f t="shared" ref="I140:K140" si="16">IF(I131="","",IF(ISNUMBER(I131)=FALSE,"N/A",I139-I131))</f>
        <v>-233177.359</v>
      </c>
      <c r="J140" s="82" t="str">
        <f t="shared" si="16"/>
        <v>N/A</v>
      </c>
      <c r="K140" s="97">
        <f t="shared" si="16"/>
        <v>-238073.712</v>
      </c>
      <c r="L140" s="47"/>
      <c r="M140" s="47"/>
    </row>
    <row r="141" ht="12" customHeight="1" spans="2:13">
      <c r="B141" s="47"/>
      <c r="C141" s="80" t="str">
        <f>$G$63</f>
        <v>Difference Percentage</v>
      </c>
      <c r="D141" s="47"/>
      <c r="E141" s="47"/>
      <c r="F141" s="47"/>
      <c r="G141" s="47"/>
      <c r="H141" s="87">
        <f>IF(H131="","",IF(ISNUMBER(H131)=FALSE,"N/A",H140/H131))</f>
        <v>-0.978905957288266</v>
      </c>
      <c r="I141" s="87">
        <f t="shared" ref="I141:K141" si="17">IF(I131="","",IF(ISNUMBER(I131)=FALSE,"N/A",I140/I131))</f>
        <v>-0.865491875018559</v>
      </c>
      <c r="J141" s="87" t="str">
        <f t="shared" si="17"/>
        <v>N/A</v>
      </c>
      <c r="K141" s="87">
        <f t="shared" si="17"/>
        <v>-0.869707430408417</v>
      </c>
      <c r="L141" s="47"/>
      <c r="M141" s="47"/>
    </row>
    <row r="142" ht="12" customHeight="1" spans="2:13">
      <c r="B142" s="47"/>
      <c r="C142" s="80" t="str">
        <f>IF(语言序号=1,"Diff. with "&amp;$G$56,"与"&amp;$G$56&amp;"数量差异")</f>
        <v>Diff. with Shore Tanks Delivered Quantity</v>
      </c>
      <c r="D142" s="47"/>
      <c r="E142" s="47"/>
      <c r="F142" s="47"/>
      <c r="G142" s="47"/>
      <c r="H142" s="82" t="e">
        <f>IF(H132="","",IF(ISNUMBER(H132)=FALSE,"N/A",H139-H132))</f>
        <v>#VALUE!</v>
      </c>
      <c r="I142" s="97" t="e">
        <f t="shared" ref="I142:K142" si="18">IF(I132="","",IF(ISNUMBER(I132)=FALSE,"N/A",I139-I132))</f>
        <v>#VALUE!</v>
      </c>
      <c r="J142" s="82" t="e">
        <f t="shared" si="18"/>
        <v>#VALUE!</v>
      </c>
      <c r="K142" s="97" t="e">
        <f t="shared" si="18"/>
        <v>#VALUE!</v>
      </c>
      <c r="L142" s="47"/>
      <c r="M142" s="47"/>
    </row>
    <row r="143" ht="12" customHeight="1" spans="2:13">
      <c r="B143" s="47"/>
      <c r="C143" s="80" t="str">
        <f>$G$63</f>
        <v>Difference Percentage</v>
      </c>
      <c r="D143" s="47"/>
      <c r="E143" s="47"/>
      <c r="F143" s="47"/>
      <c r="G143" s="47"/>
      <c r="H143" s="87" t="e">
        <f>IF(H132="","",IF(ISNUMBER(H132)=FALSE,"N/A",H142/H132))</f>
        <v>#VALUE!</v>
      </c>
      <c r="I143" s="87" t="e">
        <f t="shared" ref="I143:K143" si="19">IF(I132="","",IF(ISNUMBER(I132)=FALSE,"N/A",I142/I132))</f>
        <v>#VALUE!</v>
      </c>
      <c r="J143" s="87" t="e">
        <f t="shared" si="19"/>
        <v>#VALUE!</v>
      </c>
      <c r="K143" s="87" t="e">
        <f t="shared" si="19"/>
        <v>#VALUE!</v>
      </c>
      <c r="L143" s="47"/>
      <c r="M143" s="47"/>
    </row>
    <row r="144" spans="2:13">
      <c r="B144" s="47"/>
      <c r="C144" s="47"/>
      <c r="D144" s="47"/>
      <c r="E144" s="47"/>
      <c r="F144" s="47"/>
      <c r="G144" s="47"/>
      <c r="H144" s="47"/>
      <c r="I144" s="47"/>
      <c r="J144" s="47"/>
      <c r="K144" s="47"/>
      <c r="L144" s="47"/>
      <c r="M144" s="47"/>
    </row>
    <row r="145" spans="2:13">
      <c r="B145" s="47"/>
      <c r="C145" s="47"/>
      <c r="D145" s="47"/>
      <c r="E145" s="47"/>
      <c r="F145" s="47"/>
      <c r="G145" s="47"/>
      <c r="H145" s="47"/>
      <c r="I145" s="47"/>
      <c r="J145" s="47"/>
      <c r="K145" s="47"/>
      <c r="L145" s="47"/>
      <c r="M145" s="47"/>
    </row>
    <row r="146" spans="2:13">
      <c r="B146" s="47"/>
      <c r="C146" s="47"/>
      <c r="D146" s="47"/>
      <c r="E146" s="47"/>
      <c r="F146" s="47"/>
      <c r="G146" s="47"/>
      <c r="H146" s="47"/>
      <c r="I146" s="47"/>
      <c r="J146" s="47"/>
      <c r="K146" s="47"/>
      <c r="L146" s="47"/>
      <c r="M146" s="47"/>
    </row>
    <row r="147" spans="2:13">
      <c r="B147" s="47"/>
      <c r="C147" s="47"/>
      <c r="D147" s="47"/>
      <c r="E147" s="47"/>
      <c r="F147" s="47"/>
      <c r="G147" s="47"/>
      <c r="H147" s="47"/>
      <c r="I147" s="47"/>
      <c r="J147" s="47"/>
      <c r="K147" s="47"/>
      <c r="L147" s="47"/>
      <c r="M147" s="47"/>
    </row>
    <row r="148" hidden="1" spans="2:13">
      <c r="B148" s="47"/>
      <c r="C148" s="47" t="str">
        <f>D80</f>
        <v>Master/Chief Officer</v>
      </c>
      <c r="D148" s="47"/>
      <c r="E148" s="47"/>
      <c r="F148" s="47"/>
      <c r="G148" s="47"/>
      <c r="H148" s="47"/>
      <c r="I148" s="47" t="str">
        <f>D81</f>
        <v>CCIC Surveyor</v>
      </c>
      <c r="J148" s="47"/>
      <c r="K148" s="47"/>
      <c r="L148" s="47"/>
      <c r="M148" s="47"/>
    </row>
    <row r="149" hidden="1" spans="2:13">
      <c r="B149" s="47"/>
      <c r="C149" s="47" t="str">
        <f>D82</f>
        <v>Name</v>
      </c>
      <c r="D149" s="104"/>
      <c r="E149" s="104"/>
      <c r="F149" s="104"/>
      <c r="G149" s="47"/>
      <c r="H149" s="47"/>
      <c r="I149" s="47" t="str">
        <f>D82</f>
        <v>Name</v>
      </c>
      <c r="J149" s="107" t="s">
        <v>10</v>
      </c>
      <c r="K149" s="107"/>
      <c r="L149" s="107"/>
      <c r="M149" s="47"/>
    </row>
    <row r="150" hidden="1" spans="2:13">
      <c r="B150" s="47"/>
      <c r="C150" s="47" t="str">
        <f>D83</f>
        <v>Signature</v>
      </c>
      <c r="D150" s="105"/>
      <c r="E150" s="105"/>
      <c r="F150" s="105"/>
      <c r="G150" s="47"/>
      <c r="H150" s="47"/>
      <c r="I150" s="47" t="str">
        <f>D83</f>
        <v>Signature</v>
      </c>
      <c r="J150" s="105"/>
      <c r="K150" s="105"/>
      <c r="L150" s="105"/>
      <c r="M150" s="47"/>
    </row>
    <row r="151" ht="6.6" customHeight="1" spans="2:13">
      <c r="B151" s="47"/>
      <c r="C151" s="47"/>
      <c r="D151" s="47"/>
      <c r="E151" s="47"/>
      <c r="F151" s="47"/>
      <c r="G151" s="47"/>
      <c r="H151" s="47"/>
      <c r="I151" s="47"/>
      <c r="J151" s="47"/>
      <c r="K151" s="47"/>
      <c r="L151" s="47"/>
      <c r="M151" s="47"/>
    </row>
    <row r="152" ht="6.6" customHeight="1" spans="2:13">
      <c r="B152" s="47"/>
      <c r="C152" s="47"/>
      <c r="D152" s="47"/>
      <c r="E152" s="47"/>
      <c r="F152" s="47"/>
      <c r="G152" s="47"/>
      <c r="H152" s="47"/>
      <c r="I152" s="47"/>
      <c r="J152" s="47"/>
      <c r="K152" s="47"/>
      <c r="L152" s="47"/>
      <c r="M152" s="47"/>
    </row>
    <row r="153" spans="2:13">
      <c r="B153" s="47"/>
      <c r="C153" s="47"/>
      <c r="D153" s="47"/>
      <c r="E153" s="47"/>
      <c r="F153" s="47"/>
      <c r="G153" s="47"/>
      <c r="H153" s="47"/>
      <c r="I153" s="47"/>
      <c r="J153" s="47"/>
      <c r="K153" s="47"/>
      <c r="L153" s="47"/>
      <c r="M153" s="47"/>
    </row>
    <row r="154" spans="2:13">
      <c r="B154" s="47"/>
      <c r="C154" s="47"/>
      <c r="D154" s="47"/>
      <c r="E154" s="47"/>
      <c r="F154" s="47"/>
      <c r="G154" s="47"/>
      <c r="H154" s="47"/>
      <c r="I154" s="108" t="str">
        <f>D84</f>
        <v>Authorized Signature (S)</v>
      </c>
      <c r="J154" s="108"/>
      <c r="K154" s="108"/>
      <c r="L154" s="47"/>
      <c r="M154" s="47"/>
    </row>
    <row r="155" ht="5.4" customHeight="1" spans="2:13">
      <c r="B155" s="47"/>
      <c r="C155" s="47"/>
      <c r="D155" s="47"/>
      <c r="E155" s="47"/>
      <c r="F155" s="47"/>
      <c r="G155" s="47"/>
      <c r="H155" s="47"/>
      <c r="I155" s="47"/>
      <c r="J155" s="47"/>
      <c r="K155" s="47"/>
      <c r="L155" s="47"/>
      <c r="M155" s="47"/>
    </row>
    <row r="156" ht="5.4" customHeight="1" spans="2:13">
      <c r="B156" s="47"/>
      <c r="C156" s="47"/>
      <c r="D156" s="47"/>
      <c r="E156" s="47"/>
      <c r="F156" s="47"/>
      <c r="G156" s="47"/>
      <c r="H156" s="47"/>
      <c r="I156" s="47"/>
      <c r="J156" s="47"/>
      <c r="K156" s="47"/>
      <c r="L156" s="47"/>
      <c r="M156" s="47"/>
    </row>
    <row r="157" ht="23.4" customHeight="1" spans="2:13">
      <c r="B157" s="106" t="str">
        <f>D85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57" s="106"/>
      <c r="D157" s="106"/>
      <c r="E157" s="106"/>
      <c r="F157" s="106"/>
      <c r="G157" s="106"/>
      <c r="H157" s="106"/>
      <c r="I157" s="106"/>
      <c r="J157" s="106"/>
      <c r="K157" s="106"/>
      <c r="L157" s="106"/>
      <c r="M157" s="106"/>
    </row>
  </sheetData>
  <mergeCells count="13">
    <mergeCell ref="O47:S47"/>
    <mergeCell ref="I93:M93"/>
    <mergeCell ref="I94:M94"/>
    <mergeCell ref="I95:M95"/>
    <mergeCell ref="I96:M96"/>
    <mergeCell ref="I97:M97"/>
    <mergeCell ref="I98:M98"/>
    <mergeCell ref="I99:M99"/>
    <mergeCell ref="H101:I101"/>
    <mergeCell ref="J101:K101"/>
    <mergeCell ref="J149:L149"/>
    <mergeCell ref="B157:M157"/>
    <mergeCell ref="B93:F99"/>
  </mergeCells>
  <conditionalFormatting sqref="H116:H121 H123 H125:H126 H128 H131:H135 H137 H139:H140 H142">
    <cfRule type="expression" dxfId="0" priority="4">
      <formula>OR(LEFT(vcfTab,4)="T-54",LEFT(vcfTab,4)="T-60")</formula>
    </cfRule>
    <cfRule type="expression" dxfId="1" priority="3">
      <formula>AND(LEFT(vcfTab,4)&lt;&gt;"T-54",LEFT(vcfTab,4)&lt;&gt;"T-60")</formula>
    </cfRule>
  </conditionalFormatting>
  <conditionalFormatting sqref="J116:J117 J119:J121 J123 J125:J126 J128 J131:J135 J137 J139:J140 J142">
    <cfRule type="expression" dxfId="1" priority="2">
      <formula>OR(LEFT(vcfTab,4)="T-54",LEFT(vcfTab,4)="T-60")</formula>
    </cfRule>
    <cfRule type="expression" dxfId="0" priority="1">
      <formula>AND(LEFT(vcfTab,4)&lt;&gt;"T-54",LEFT(vcfTab,4)&lt;&gt;"T-60")</formula>
    </cfRule>
  </conditionalFormatting>
  <pageMargins left="0.236220472440945" right="0.236220472440945" top="0.393700787401575" bottom="0.748031496062992" header="0.31496062992126" footer="0.31496062992126"/>
  <pageSetup paperSize="9" orientation="portrait"/>
  <headerFooter>
    <oddHeader>&amp;L&amp;G
</oddHeader>
  </headerFooter>
  <drawing r:id="rId1"/>
  <legacyDrawing r:id="rId2"/>
  <legacyDrawingHF r:id="rId4"/>
  <mc:AlternateContent xmlns:mc="http://schemas.openxmlformats.org/markup-compatibility/2006">
    <mc:Choice Requires="x14">
      <controls>
        <mc:AlternateContent xmlns:mc="http://schemas.openxmlformats.org/markup-compatibility/2006">
          <mc:Choice Requires="x14">
            <control shapeId="43009" name="Button 1" r:id="rId3">
              <controlPr print="0" defaultSize="0">
                <anchor moveWithCells="1">
                  <from>
                    <xdr:col>20</xdr:col>
                    <xdr:colOff>53340</xdr:colOff>
                    <xdr:row>100</xdr:row>
                    <xdr:rowOff>30480</xdr:rowOff>
                  </from>
                  <to>
                    <xdr:col>23</xdr:col>
                    <xdr:colOff>563880</xdr:colOff>
                    <xdr:row>101</xdr:row>
                    <xdr:rowOff>106045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Z133"/>
  <sheetViews>
    <sheetView zoomScale="80" zoomScaleNormal="80" topLeftCell="A85" workbookViewId="0">
      <selection activeCell="T107" sqref="T107"/>
    </sheetView>
  </sheetViews>
  <sheetFormatPr defaultColWidth="9" defaultRowHeight="14.25"/>
  <cols>
    <col min="1" max="7" width="8.88333333333333"/>
    <col min="8" max="8" width="14.8833333333333" customWidth="1"/>
    <col min="9" max="11" width="5.55833333333333" customWidth="1"/>
    <col min="12" max="12" width="5.55833333333333" customWidth="1"/>
    <col min="13" max="13" width="5.55833333333333" customWidth="1"/>
    <col min="14" max="16" width="8.88333333333333" customWidth="1"/>
    <col min="17" max="17" width="8.88333333333333" customWidth="1"/>
    <col min="18" max="19" width="8.88333333333333" customWidth="1"/>
    <col min="20" max="20" width="6.775" customWidth="1"/>
    <col min="21" max="21" width="7.44166666666667" customWidth="1"/>
  </cols>
  <sheetData>
    <row r="1" ht="15" customHeight="1" spans="1:23">
      <c r="A1" s="1" t="s">
        <v>13</v>
      </c>
      <c r="B1" s="1" t="s">
        <v>14</v>
      </c>
      <c r="C1" s="2"/>
      <c r="D1" t="s">
        <v>2</v>
      </c>
      <c r="E1">
        <v>1</v>
      </c>
      <c r="F1" t="str">
        <f>INDEX(D1:D2,E1,0)</f>
        <v>英文 English</v>
      </c>
      <c r="T1" s="25"/>
      <c r="U1" s="26"/>
      <c r="V1" s="26"/>
      <c r="W1" s="27"/>
    </row>
    <row r="2" spans="1:23">
      <c r="A2" s="3" t="s">
        <v>80</v>
      </c>
      <c r="B2" s="3" t="s">
        <v>1398</v>
      </c>
      <c r="C2" s="2" t="str">
        <f t="shared" ref="C2:C33" si="0">IF(Report_Language=$A$1,A2,B2)</f>
        <v>JOB NO.:</v>
      </c>
      <c r="D2" t="s">
        <v>1</v>
      </c>
      <c r="E2">
        <v>2</v>
      </c>
      <c r="F2" t="str">
        <f>INDEX(D26:D27,E2,0)</f>
        <v>正式报告 Official Report</v>
      </c>
      <c r="T2" s="25"/>
      <c r="U2" s="28"/>
      <c r="V2" s="28"/>
      <c r="W2" s="29"/>
    </row>
    <row r="3" spans="1:23">
      <c r="A3" s="4" t="s">
        <v>17</v>
      </c>
      <c r="B3" s="4" t="s">
        <v>18</v>
      </c>
      <c r="C3" s="2" t="str">
        <f t="shared" si="0"/>
        <v>DATE OF REPORT</v>
      </c>
      <c r="D3" s="5" t="s">
        <v>88</v>
      </c>
      <c r="E3">
        <v>2</v>
      </c>
      <c r="F3" t="str">
        <f>INDEX(D28:D31,E3,0)</f>
        <v>B--成品油 Refined Products</v>
      </c>
      <c r="G3" t="str">
        <f>LEFT(F3,1)</f>
        <v>B</v>
      </c>
      <c r="T3" s="25"/>
      <c r="U3" s="28"/>
      <c r="V3" s="28"/>
      <c r="W3" s="29"/>
    </row>
    <row r="4" spans="1:23">
      <c r="A4" s="3" t="s">
        <v>20</v>
      </c>
      <c r="B4" s="3" t="s">
        <v>21</v>
      </c>
      <c r="C4" s="2" t="str">
        <f t="shared" si="0"/>
        <v>APPLICANT</v>
      </c>
      <c r="D4" s="5" t="s">
        <v>91</v>
      </c>
      <c r="E4">
        <v>5</v>
      </c>
      <c r="F4" t="str">
        <f>INDEX(D3:D20,E4,0)</f>
        <v>T-24A</v>
      </c>
      <c r="T4" s="25"/>
      <c r="U4" s="28"/>
      <c r="V4" s="28"/>
      <c r="W4" s="29"/>
    </row>
    <row r="5" spans="1:23">
      <c r="A5" s="4" t="s">
        <v>23</v>
      </c>
      <c r="B5" s="4" t="s">
        <v>24</v>
      </c>
      <c r="C5" s="2" t="str">
        <f t="shared" si="0"/>
        <v>CLIENT'S REF. NO.</v>
      </c>
      <c r="D5" s="5" t="s">
        <v>92</v>
      </c>
      <c r="E5">
        <v>2</v>
      </c>
      <c r="F5">
        <f>INDEX(D23:D25,E5,0)</f>
        <v>1980</v>
      </c>
      <c r="T5" s="25"/>
      <c r="U5" s="28"/>
      <c r="V5" s="28"/>
      <c r="W5" s="29"/>
    </row>
    <row r="6" spans="1:23">
      <c r="A6" s="3" t="s">
        <v>25</v>
      </c>
      <c r="B6" s="3" t="s">
        <v>26</v>
      </c>
      <c r="C6" s="2" t="str">
        <f t="shared" si="0"/>
        <v>COMMODITY</v>
      </c>
      <c r="D6" s="5" t="s">
        <v>95</v>
      </c>
      <c r="E6">
        <v>2</v>
      </c>
      <c r="F6" t="str">
        <f>INDEX(D21:D22,E6,0)</f>
        <v>API MPMS 11.5 (2013)</v>
      </c>
      <c r="T6" s="25"/>
      <c r="U6" s="28"/>
      <c r="V6" s="28"/>
      <c r="W6" s="29"/>
    </row>
    <row r="7" spans="1:23">
      <c r="A7" s="4" t="s">
        <v>28</v>
      </c>
      <c r="B7" s="4" t="s">
        <v>29</v>
      </c>
      <c r="C7" s="2" t="str">
        <f t="shared" si="0"/>
        <v>VESSEL</v>
      </c>
      <c r="D7" s="5" t="s">
        <v>98</v>
      </c>
      <c r="E7">
        <v>4</v>
      </c>
      <c r="F7" t="str">
        <f>IF(E7=1,"Den15",IF(E7=2,"Den20",IF(E7=3,"API","SG")))</f>
        <v>SG</v>
      </c>
      <c r="T7" s="25"/>
      <c r="U7" s="28"/>
      <c r="V7" s="28"/>
      <c r="W7" s="29"/>
    </row>
    <row r="8" spans="1:23">
      <c r="A8" s="3" t="s">
        <v>31</v>
      </c>
      <c r="B8" s="3" t="s">
        <v>32</v>
      </c>
      <c r="C8" s="2" t="str">
        <f t="shared" si="0"/>
        <v>PORT</v>
      </c>
      <c r="D8" s="5" t="s">
        <v>101</v>
      </c>
      <c r="T8" s="25"/>
      <c r="U8" s="28"/>
      <c r="V8" s="28"/>
      <c r="W8" s="29"/>
    </row>
    <row r="9" spans="1:23">
      <c r="A9" s="6" t="s">
        <v>34</v>
      </c>
      <c r="B9" s="4" t="s">
        <v>35</v>
      </c>
      <c r="C9" s="2" t="str">
        <f t="shared" si="0"/>
        <v>TERMINAL</v>
      </c>
      <c r="D9" s="5" t="s">
        <v>104</v>
      </c>
      <c r="T9" s="25"/>
      <c r="U9" s="28"/>
      <c r="V9" s="28"/>
      <c r="W9" s="29"/>
    </row>
    <row r="10" ht="15" customHeight="1" spans="1:23">
      <c r="A10" s="4" t="s">
        <v>36</v>
      </c>
      <c r="B10" s="4" t="s">
        <v>37</v>
      </c>
      <c r="C10" s="2" t="str">
        <f t="shared" si="0"/>
        <v>DATE OF INSPECTION</v>
      </c>
      <c r="D10" s="5" t="s">
        <v>107</v>
      </c>
      <c r="T10" s="25"/>
      <c r="U10" s="28"/>
      <c r="V10" s="28"/>
      <c r="W10" s="29"/>
    </row>
    <row r="11" spans="1:23">
      <c r="A11" s="7" t="s">
        <v>44</v>
      </c>
      <c r="B11" s="2" t="str">
        <f>A11</f>
        <v>SG0020031202-I</v>
      </c>
      <c r="C11" s="2" t="s">
        <v>45</v>
      </c>
      <c r="D11" s="5" t="s">
        <v>110</v>
      </c>
      <c r="T11" s="25"/>
      <c r="U11" s="28"/>
      <c r="V11" s="28"/>
      <c r="W11" s="29"/>
    </row>
    <row r="12" spans="1:23">
      <c r="A12" s="8" t="s">
        <v>46</v>
      </c>
      <c r="B12" s="2" t="str">
        <f>A12</f>
        <v>YYYY-MM-DD</v>
      </c>
      <c r="C12" s="2" t="s">
        <v>46</v>
      </c>
      <c r="D12" s="5" t="s">
        <v>113</v>
      </c>
      <c r="T12" s="25"/>
      <c r="U12" s="28"/>
      <c r="V12" s="28"/>
      <c r="W12" s="29"/>
    </row>
    <row r="13" spans="1:23">
      <c r="A13" s="7" t="s">
        <v>48</v>
      </c>
      <c r="B13" s="9" t="s">
        <v>49</v>
      </c>
      <c r="C13" s="2" t="str">
        <f t="shared" si="0"/>
        <v>PETROCHINA </v>
      </c>
      <c r="D13" s="5" t="s">
        <v>116</v>
      </c>
      <c r="T13" s="25"/>
      <c r="U13" s="28"/>
      <c r="V13" s="28"/>
      <c r="W13" s="29"/>
    </row>
    <row r="14" spans="1:23">
      <c r="A14" s="7" t="s">
        <v>50</v>
      </c>
      <c r="B14" s="7" t="s">
        <v>117</v>
      </c>
      <c r="C14" s="2" t="s">
        <v>51</v>
      </c>
      <c r="D14" s="5" t="s">
        <v>120</v>
      </c>
      <c r="T14" s="25"/>
      <c r="U14" s="28"/>
      <c r="V14" s="28"/>
      <c r="W14" s="29"/>
    </row>
    <row r="15" spans="1:23">
      <c r="A15" s="7" t="s">
        <v>52</v>
      </c>
      <c r="B15" s="9" t="s">
        <v>53</v>
      </c>
      <c r="C15" s="2" t="str">
        <f t="shared" si="0"/>
        <v>Crude Oil6658</v>
      </c>
      <c r="D15" s="5" t="s">
        <v>123</v>
      </c>
      <c r="T15" s="25"/>
      <c r="U15" s="28"/>
      <c r="V15" s="28"/>
      <c r="W15" s="29"/>
    </row>
    <row r="16" spans="1:23">
      <c r="A16" s="7" t="s">
        <v>54</v>
      </c>
      <c r="B16" s="2" t="s">
        <v>55</v>
      </c>
      <c r="C16" s="2" t="str">
        <f t="shared" si="0"/>
        <v>MT ZhenYuanefdasdf</v>
      </c>
      <c r="D16" s="5" t="s">
        <v>126</v>
      </c>
      <c r="T16" s="25"/>
      <c r="U16" s="28"/>
      <c r="V16" s="28"/>
      <c r="W16" s="29"/>
    </row>
    <row r="17" ht="15.6" customHeight="1" spans="1:23">
      <c r="A17" s="7" t="s">
        <v>56</v>
      </c>
      <c r="B17" s="9" t="s">
        <v>57</v>
      </c>
      <c r="C17" s="2" t="str">
        <f t="shared" si="0"/>
        <v>Dalian, Chinafsadfa</v>
      </c>
      <c r="D17" s="5" t="s">
        <v>129</v>
      </c>
      <c r="T17" s="25"/>
      <c r="U17" s="28"/>
      <c r="V17" s="28"/>
      <c r="W17" s="29"/>
    </row>
    <row r="18" spans="1:23">
      <c r="A18" s="7" t="s">
        <v>58</v>
      </c>
      <c r="B18" s="9" t="s">
        <v>59</v>
      </c>
      <c r="C18" s="2" t="str">
        <f t="shared" si="0"/>
        <v>Dalian Chinaoil, China1325415</v>
      </c>
      <c r="D18" s="5" t="s">
        <v>132</v>
      </c>
      <c r="T18" s="25"/>
      <c r="U18" s="28"/>
      <c r="V18" s="28"/>
      <c r="W18" s="29"/>
    </row>
    <row r="19" spans="1:23">
      <c r="A19" s="10" t="s">
        <v>133</v>
      </c>
      <c r="B19" s="11" t="str">
        <f>A19</f>
        <v>YYYY-MM-DD -- YYYY-MM-DD</v>
      </c>
      <c r="C19" s="2" t="s">
        <v>60</v>
      </c>
      <c r="D19" s="12" t="s">
        <v>136</v>
      </c>
      <c r="T19" s="25"/>
      <c r="U19" s="28"/>
      <c r="V19" s="28"/>
      <c r="W19" s="29"/>
    </row>
    <row r="20" spans="1:23">
      <c r="A20" s="13" t="s">
        <v>137</v>
      </c>
      <c r="B20" s="13" t="s">
        <v>138</v>
      </c>
      <c r="C20" s="2" t="str">
        <f t="shared" si="0"/>
        <v>Density@15℃ (g/cm³)</v>
      </c>
      <c r="D20" s="5" t="s">
        <v>141</v>
      </c>
      <c r="T20" s="25"/>
      <c r="U20" s="28"/>
      <c r="V20" s="28"/>
      <c r="W20" s="29"/>
    </row>
    <row r="21" spans="1:23">
      <c r="A21" s="14" t="s">
        <v>142</v>
      </c>
      <c r="B21" s="14" t="s">
        <v>143</v>
      </c>
      <c r="C21" s="2" t="str">
        <f t="shared" si="0"/>
        <v>Density@20℃ (g/cm³)</v>
      </c>
      <c r="D21" s="5" t="s">
        <v>5</v>
      </c>
      <c r="T21" s="25"/>
      <c r="U21" s="28"/>
      <c r="V21" s="28"/>
      <c r="W21" s="29"/>
    </row>
    <row r="22" ht="15" customHeight="1" spans="1:23">
      <c r="A22" s="13" t="s">
        <v>146</v>
      </c>
      <c r="B22" s="13" t="s">
        <v>146</v>
      </c>
      <c r="C22" s="2" t="str">
        <f t="shared" si="0"/>
        <v>API@60℉</v>
      </c>
      <c r="D22" s="5" t="s">
        <v>6</v>
      </c>
      <c r="T22" s="25"/>
      <c r="U22" s="28"/>
      <c r="V22" s="28"/>
      <c r="W22" s="29"/>
    </row>
    <row r="23" spans="1:23">
      <c r="A23" s="14" t="s">
        <v>149</v>
      </c>
      <c r="B23" s="14" t="s">
        <v>150</v>
      </c>
      <c r="C23" s="2" t="str">
        <f t="shared" si="0"/>
        <v>S.G.@60℉/60℉</v>
      </c>
      <c r="D23" s="12">
        <v>1952</v>
      </c>
      <c r="T23" s="25"/>
      <c r="U23" s="28"/>
      <c r="V23" s="28"/>
      <c r="W23" s="29"/>
    </row>
    <row r="24" spans="1:23">
      <c r="A24" s="15" t="s">
        <v>153</v>
      </c>
      <c r="B24" s="15" t="s">
        <v>154</v>
      </c>
      <c r="C24" s="2" t="str">
        <f t="shared" si="0"/>
        <v>α60℉ (1/℉)</v>
      </c>
      <c r="D24" s="12">
        <v>1980</v>
      </c>
      <c r="T24" s="25"/>
      <c r="U24" s="28"/>
      <c r="V24" s="28"/>
      <c r="W24" s="29"/>
    </row>
    <row r="25" spans="1:23">
      <c r="A25" s="15" t="s">
        <v>157</v>
      </c>
      <c r="B25" s="15" t="s">
        <v>158</v>
      </c>
      <c r="C25" s="2" t="str">
        <f t="shared" si="0"/>
        <v>α60℉ (1/℃)</v>
      </c>
      <c r="D25" s="12">
        <v>2004</v>
      </c>
      <c r="T25" s="25"/>
      <c r="U25" s="28"/>
      <c r="V25" s="28"/>
      <c r="W25" s="29"/>
    </row>
    <row r="26" spans="1:23">
      <c r="A26" s="14" t="s">
        <v>161</v>
      </c>
      <c r="B26" s="14" t="s">
        <v>162</v>
      </c>
      <c r="C26" s="2" t="str">
        <f t="shared" si="0"/>
        <v>Density@15℃ (kg/m³)</v>
      </c>
      <c r="D26" s="16" t="s">
        <v>165</v>
      </c>
      <c r="T26" s="25"/>
      <c r="U26" s="28"/>
      <c r="V26" s="28"/>
      <c r="W26" s="29"/>
    </row>
    <row r="27" spans="1:23">
      <c r="A27" s="13" t="s">
        <v>167</v>
      </c>
      <c r="B27" s="13" t="s">
        <v>168</v>
      </c>
      <c r="C27" s="2" t="str">
        <f t="shared" si="0"/>
        <v>Density@20℃ (kg/m³)</v>
      </c>
      <c r="D27" s="16" t="s">
        <v>171</v>
      </c>
      <c r="T27" s="30"/>
      <c r="U27" s="28"/>
      <c r="V27" s="28"/>
      <c r="W27" s="29"/>
    </row>
    <row r="28" spans="1:23">
      <c r="A28" s="14" t="s">
        <v>146</v>
      </c>
      <c r="B28" s="14" t="s">
        <v>173</v>
      </c>
      <c r="C28" s="2" t="str">
        <f t="shared" si="0"/>
        <v>API@60℉</v>
      </c>
      <c r="D28" s="5" t="s">
        <v>7</v>
      </c>
      <c r="T28" s="30"/>
      <c r="U28" s="28"/>
      <c r="V28" s="28"/>
      <c r="W28" s="29"/>
    </row>
    <row r="29" ht="15" customHeight="1" spans="1:23">
      <c r="A29" s="13" t="s">
        <v>149</v>
      </c>
      <c r="B29" s="13" t="s">
        <v>177</v>
      </c>
      <c r="C29" s="2" t="str">
        <f t="shared" si="0"/>
        <v>S.G.@60℉/60℉</v>
      </c>
      <c r="D29" s="5" t="s">
        <v>8</v>
      </c>
      <c r="T29" s="25"/>
      <c r="U29" s="28"/>
      <c r="V29" s="28"/>
      <c r="W29" s="29"/>
    </row>
    <row r="30" spans="1:23">
      <c r="A30" s="17" t="s">
        <v>181</v>
      </c>
      <c r="B30" s="18" t="s">
        <v>182</v>
      </c>
      <c r="C30" s="2" t="str">
        <f t="shared" si="0"/>
        <v>WCF MT(in air)/m³@15℃ [T-56]</v>
      </c>
      <c r="D30" s="5" t="s">
        <v>11</v>
      </c>
      <c r="T30" s="25"/>
      <c r="U30" s="28"/>
      <c r="V30" s="28"/>
      <c r="W30" s="29"/>
    </row>
    <row r="31" spans="1:23">
      <c r="A31" s="17" t="s">
        <v>186</v>
      </c>
      <c r="B31" s="18" t="s">
        <v>187</v>
      </c>
      <c r="C31" s="2" t="str">
        <f t="shared" si="0"/>
        <v>WCF MT(in air)/m³@15℃</v>
      </c>
      <c r="D31" s="5" t="s">
        <v>12</v>
      </c>
      <c r="T31" s="25"/>
      <c r="U31" s="28"/>
      <c r="V31" s="28"/>
      <c r="W31" s="29"/>
    </row>
    <row r="32" spans="1:23">
      <c r="A32" s="17" t="s">
        <v>191</v>
      </c>
      <c r="B32" s="18" t="s">
        <v>192</v>
      </c>
      <c r="C32" s="2" t="str">
        <f t="shared" si="0"/>
        <v>WCF MT(in air)/m³@20℃</v>
      </c>
      <c r="T32" s="25"/>
      <c r="U32" s="28"/>
      <c r="V32" s="28"/>
      <c r="W32" s="29"/>
    </row>
    <row r="33" spans="1:23">
      <c r="A33" s="19" t="s">
        <v>196</v>
      </c>
      <c r="B33" s="20" t="s">
        <v>197</v>
      </c>
      <c r="C33" s="2" t="str">
        <f t="shared" si="0"/>
        <v>MT/LT [T-1] </v>
      </c>
      <c r="T33" s="25"/>
      <c r="U33" s="28"/>
      <c r="V33" s="28"/>
      <c r="W33" s="29"/>
    </row>
    <row r="34" spans="1:23">
      <c r="A34" s="19" t="s">
        <v>201</v>
      </c>
      <c r="B34" s="21" t="s">
        <v>202</v>
      </c>
      <c r="C34" s="2" t="str">
        <f t="shared" ref="C34:C65" si="1">IF(Report_Language=$A$1,A34,B34)</f>
        <v>MT/LT</v>
      </c>
      <c r="T34" s="25"/>
      <c r="U34" s="28"/>
      <c r="V34" s="28"/>
      <c r="W34" s="29"/>
    </row>
    <row r="35" spans="1:23">
      <c r="A35" s="17" t="s">
        <v>206</v>
      </c>
      <c r="B35" s="18" t="s">
        <v>207</v>
      </c>
      <c r="C35" s="2" t="str">
        <f t="shared" si="1"/>
        <v>WCF MT(in air)/bbls@60℉ [T-13]</v>
      </c>
      <c r="T35" s="25"/>
      <c r="U35" s="28"/>
      <c r="V35" s="28"/>
      <c r="W35" s="29"/>
    </row>
    <row r="36" spans="1:23">
      <c r="A36" s="17" t="s">
        <v>210</v>
      </c>
      <c r="B36" s="18" t="s">
        <v>211</v>
      </c>
      <c r="C36" s="2" t="str">
        <f t="shared" si="1"/>
        <v>WCF MT(in air)/bbls@60℉</v>
      </c>
      <c r="T36" s="25"/>
      <c r="U36" s="28"/>
      <c r="V36" s="28"/>
      <c r="W36" s="29"/>
    </row>
    <row r="37" spans="1:23">
      <c r="A37" s="14" t="s">
        <v>214</v>
      </c>
      <c r="B37" s="14" t="s">
        <v>215</v>
      </c>
      <c r="C37" s="2" t="str">
        <f t="shared" si="1"/>
        <v>Density@15℃ MT(Vacuo)/m³</v>
      </c>
      <c r="T37" s="25"/>
      <c r="U37" s="28"/>
      <c r="V37" s="28"/>
      <c r="W37" s="29"/>
    </row>
    <row r="38" spans="1:23">
      <c r="A38" s="14" t="s">
        <v>218</v>
      </c>
      <c r="B38" s="14" t="s">
        <v>219</v>
      </c>
      <c r="C38" s="2" t="str">
        <f t="shared" si="1"/>
        <v>Density@20℃ MT(Vacuo)/m³</v>
      </c>
      <c r="T38" s="25"/>
      <c r="U38" s="28"/>
      <c r="V38" s="28"/>
      <c r="W38" s="29"/>
    </row>
    <row r="39" ht="15" customHeight="1" spans="1:23">
      <c r="A39" s="17" t="s">
        <v>222</v>
      </c>
      <c r="B39" s="18" t="s">
        <v>223</v>
      </c>
      <c r="C39" s="2" t="str">
        <f t="shared" si="1"/>
        <v>WCF MT(in vacuo)/bbls@60℉ [T-13]</v>
      </c>
      <c r="T39" s="25"/>
      <c r="U39" s="28"/>
      <c r="V39" s="28"/>
      <c r="W39" s="29"/>
    </row>
    <row r="40" spans="1:23">
      <c r="A40" s="17" t="s">
        <v>226</v>
      </c>
      <c r="B40" s="18" t="s">
        <v>227</v>
      </c>
      <c r="C40" s="2" t="str">
        <f t="shared" si="1"/>
        <v>WCF MT(in vacuo)/bbls@60℉</v>
      </c>
      <c r="T40" s="25"/>
      <c r="U40" s="28"/>
      <c r="V40" s="28"/>
      <c r="W40" s="29"/>
    </row>
    <row r="41" spans="1:23">
      <c r="A41" s="19" t="s">
        <v>196</v>
      </c>
      <c r="B41" s="20" t="s">
        <v>197</v>
      </c>
      <c r="C41" s="2" t="str">
        <f t="shared" si="1"/>
        <v>MT/LT [T-1] </v>
      </c>
      <c r="T41" s="25"/>
      <c r="U41" s="28"/>
      <c r="V41" s="28"/>
      <c r="W41" s="29"/>
    </row>
    <row r="42" spans="1:23">
      <c r="A42" s="19" t="s">
        <v>201</v>
      </c>
      <c r="B42" s="21" t="s">
        <v>202</v>
      </c>
      <c r="C42" s="2" t="str">
        <f t="shared" si="1"/>
        <v>MT/LT</v>
      </c>
      <c r="T42" s="25"/>
      <c r="U42" s="28"/>
      <c r="V42" s="28"/>
      <c r="W42" s="29"/>
    </row>
    <row r="43" spans="1:23">
      <c r="A43" s="17" t="s">
        <v>233</v>
      </c>
      <c r="B43" s="18" t="s">
        <v>234</v>
      </c>
      <c r="C43" s="2" t="str">
        <f t="shared" si="1"/>
        <v>WCF LT(in air)/m³@15℃ [T-57]</v>
      </c>
      <c r="T43" s="25"/>
      <c r="U43" s="28"/>
      <c r="V43" s="28"/>
      <c r="W43" s="29"/>
    </row>
    <row r="44" ht="15" customHeight="1" spans="1:23">
      <c r="A44" s="17" t="s">
        <v>236</v>
      </c>
      <c r="B44" s="18" t="s">
        <v>237</v>
      </c>
      <c r="C44" s="2" t="str">
        <f t="shared" si="1"/>
        <v>WCF LT(in air)/m³@15℃</v>
      </c>
      <c r="T44" s="25"/>
      <c r="U44" s="28"/>
      <c r="V44" s="28"/>
      <c r="W44" s="29"/>
    </row>
    <row r="45" spans="1:23">
      <c r="A45" s="19" t="s">
        <v>240</v>
      </c>
      <c r="B45" s="20" t="s">
        <v>241</v>
      </c>
      <c r="C45" s="2" t="str">
        <f t="shared" si="1"/>
        <v>LT/MT [T-1] </v>
      </c>
      <c r="T45" s="25"/>
      <c r="U45" s="28"/>
      <c r="V45" s="28"/>
      <c r="W45" s="29"/>
    </row>
    <row r="46" spans="1:23">
      <c r="A46" s="19" t="s">
        <v>244</v>
      </c>
      <c r="B46" s="20" t="s">
        <v>245</v>
      </c>
      <c r="C46" s="2" t="str">
        <f t="shared" si="1"/>
        <v>LT/MT</v>
      </c>
      <c r="T46" s="25"/>
      <c r="U46" s="28"/>
      <c r="V46" s="28"/>
      <c r="W46" s="29"/>
    </row>
    <row r="47" spans="1:23">
      <c r="A47" s="17" t="s">
        <v>248</v>
      </c>
      <c r="B47" s="18" t="s">
        <v>249</v>
      </c>
      <c r="C47" s="2" t="str">
        <f t="shared" si="1"/>
        <v>WCF LT(in air)/bbls@60℉ [T-29] </v>
      </c>
      <c r="T47" s="25"/>
      <c r="U47" s="28"/>
      <c r="V47" s="28"/>
      <c r="W47" s="29"/>
    </row>
    <row r="48" spans="1:23">
      <c r="A48" s="17" t="s">
        <v>253</v>
      </c>
      <c r="B48" s="18" t="s">
        <v>254</v>
      </c>
      <c r="C48" s="2" t="str">
        <f t="shared" si="1"/>
        <v>WCF LT(in air)/bbls@60℉</v>
      </c>
      <c r="T48" s="25"/>
      <c r="U48" s="28"/>
      <c r="V48" s="28"/>
      <c r="W48" s="29"/>
    </row>
    <row r="49" spans="1:23">
      <c r="A49" s="17" t="s">
        <v>259</v>
      </c>
      <c r="B49" s="18" t="s">
        <v>260</v>
      </c>
      <c r="C49" s="2" t="str">
        <f t="shared" si="1"/>
        <v>WCF LT(in air)/bbls@60℉ [T-11] </v>
      </c>
      <c r="T49" s="25"/>
      <c r="U49" s="28"/>
      <c r="V49" s="28"/>
      <c r="W49" s="29"/>
    </row>
    <row r="50" spans="1:23">
      <c r="A50" s="17" t="s">
        <v>253</v>
      </c>
      <c r="B50" s="18" t="s">
        <v>254</v>
      </c>
      <c r="C50" s="2" t="str">
        <f t="shared" si="1"/>
        <v>WCF LT(in air)/bbls@60℉</v>
      </c>
      <c r="T50" s="25"/>
      <c r="U50" s="28"/>
      <c r="V50" s="28"/>
      <c r="W50" s="29"/>
    </row>
    <row r="51" spans="1:23">
      <c r="A51" s="17" t="s">
        <v>265</v>
      </c>
      <c r="B51" s="18" t="s">
        <v>266</v>
      </c>
      <c r="C51" s="2" t="str">
        <f t="shared" si="1"/>
        <v>WCF LT(in vacuo)/m³@15℃ [T-57]</v>
      </c>
      <c r="T51" s="25"/>
      <c r="U51" s="28"/>
      <c r="V51" s="28"/>
      <c r="W51" s="29"/>
    </row>
    <row r="52" spans="1:23">
      <c r="A52" s="17" t="s">
        <v>268</v>
      </c>
      <c r="B52" s="18" t="s">
        <v>269</v>
      </c>
      <c r="C52" s="2" t="str">
        <f t="shared" si="1"/>
        <v>WCF LT(in vacuo)/m³@15℃</v>
      </c>
      <c r="T52" s="25"/>
      <c r="U52" s="28"/>
      <c r="V52" s="28"/>
      <c r="W52" s="29"/>
    </row>
    <row r="53" spans="1:23">
      <c r="A53" s="19" t="s">
        <v>240</v>
      </c>
      <c r="B53" s="20" t="s">
        <v>241</v>
      </c>
      <c r="C53" s="2" t="str">
        <f t="shared" si="1"/>
        <v>LT/MT [T-1] </v>
      </c>
      <c r="T53" s="25"/>
      <c r="U53" s="28"/>
      <c r="V53" s="28"/>
      <c r="W53" s="29"/>
    </row>
    <row r="54" spans="1:23">
      <c r="A54" s="19" t="s">
        <v>244</v>
      </c>
      <c r="B54" s="20" t="s">
        <v>245</v>
      </c>
      <c r="C54" s="2" t="str">
        <f t="shared" si="1"/>
        <v>LT/MT</v>
      </c>
      <c r="T54" s="25"/>
      <c r="U54" s="28"/>
      <c r="V54" s="28"/>
      <c r="W54" s="29"/>
    </row>
    <row r="55" spans="1:23">
      <c r="A55" s="17" t="s">
        <v>273</v>
      </c>
      <c r="B55" s="18" t="s">
        <v>274</v>
      </c>
      <c r="C55" s="2" t="str">
        <f t="shared" si="1"/>
        <v>WCF LT(in vacuo)/bbls@60℉ [T-29]</v>
      </c>
      <c r="T55" s="25"/>
      <c r="U55" s="31"/>
      <c r="V55" s="31"/>
      <c r="W55" s="29"/>
    </row>
    <row r="56" spans="1:23">
      <c r="A56" s="17" t="s">
        <v>276</v>
      </c>
      <c r="B56" s="18" t="s">
        <v>277</v>
      </c>
      <c r="C56" s="2" t="str">
        <f t="shared" si="1"/>
        <v>WCF LT(in vacuo)/bbls@60℉</v>
      </c>
      <c r="T56" s="25"/>
      <c r="U56" s="28"/>
      <c r="V56" s="28"/>
      <c r="W56" s="29"/>
    </row>
    <row r="57" spans="1:23">
      <c r="A57" s="17" t="s">
        <v>279</v>
      </c>
      <c r="B57" s="18" t="s">
        <v>280</v>
      </c>
      <c r="C57" s="2" t="str">
        <f t="shared" si="1"/>
        <v>WCF LT(in vacuo)/bbls@60℉ [T-11]</v>
      </c>
      <c r="T57" s="25"/>
      <c r="U57" s="28"/>
      <c r="V57" s="28"/>
      <c r="W57" s="29"/>
    </row>
    <row r="58" spans="1:23">
      <c r="A58" s="17" t="s">
        <v>276</v>
      </c>
      <c r="B58" s="18" t="s">
        <v>277</v>
      </c>
      <c r="C58" s="2" t="str">
        <f t="shared" si="1"/>
        <v>WCF LT(in vacuo)/bbls@60℉</v>
      </c>
      <c r="T58" s="25"/>
      <c r="U58" s="28"/>
      <c r="V58" s="28"/>
      <c r="W58" s="29"/>
    </row>
    <row r="59" spans="1:23">
      <c r="A59" s="22" t="s">
        <v>283</v>
      </c>
      <c r="B59" s="21" t="s">
        <v>284</v>
      </c>
      <c r="C59" s="2" t="str">
        <f t="shared" si="1"/>
        <v>bbls@60℉/m³@15℃ [T-52]</v>
      </c>
      <c r="T59" s="25"/>
      <c r="U59" s="28"/>
      <c r="V59" s="28"/>
      <c r="W59" s="29"/>
    </row>
    <row r="60" spans="1:23">
      <c r="A60" s="22" t="s">
        <v>286</v>
      </c>
      <c r="B60" s="21" t="s">
        <v>287</v>
      </c>
      <c r="C60" s="2" t="str">
        <f t="shared" si="1"/>
        <v>bbls@60℉/m³@15℃</v>
      </c>
      <c r="T60" s="25"/>
      <c r="U60" s="28"/>
      <c r="V60" s="28"/>
      <c r="W60" s="29"/>
    </row>
    <row r="61" spans="1:23">
      <c r="A61" s="23" t="s">
        <v>290</v>
      </c>
      <c r="B61" s="24" t="s">
        <v>291</v>
      </c>
      <c r="C61" s="2" t="str">
        <f t="shared" si="1"/>
        <v>bbls@60℉/MT(in air)</v>
      </c>
      <c r="T61" s="25"/>
      <c r="U61" s="28"/>
      <c r="V61" s="28"/>
      <c r="W61" s="29"/>
    </row>
    <row r="62" spans="1:23">
      <c r="A62" s="2" t="s">
        <v>294</v>
      </c>
      <c r="B62" s="9" t="s">
        <v>295</v>
      </c>
      <c r="C62" s="2" t="str">
        <f t="shared" si="1"/>
        <v>Standard Volume</v>
      </c>
      <c r="T62" s="25"/>
      <c r="U62" s="28"/>
      <c r="V62" s="28"/>
      <c r="W62" s="29"/>
    </row>
    <row r="63" ht="16.5" spans="1:23">
      <c r="A63" s="2" t="s">
        <v>298</v>
      </c>
      <c r="B63" s="2" t="s">
        <v>299</v>
      </c>
      <c r="C63" s="2" t="str">
        <f t="shared" si="1"/>
        <v>m³@15℃/m³@20℃ [1/VCF(15℃)]</v>
      </c>
      <c r="T63" s="25"/>
      <c r="U63" s="28"/>
      <c r="V63" s="28"/>
      <c r="W63" s="29"/>
    </row>
    <row r="64" spans="1:23">
      <c r="A64" s="22" t="s">
        <v>302</v>
      </c>
      <c r="B64" s="21" t="s">
        <v>303</v>
      </c>
      <c r="C64" s="2" t="str">
        <f t="shared" si="1"/>
        <v>m³@15℃/bbls@60℉ [T-22]</v>
      </c>
      <c r="T64" s="25"/>
      <c r="U64" s="28"/>
      <c r="V64" s="28"/>
      <c r="W64" s="29"/>
    </row>
    <row r="65" ht="15" customHeight="1" spans="1:23">
      <c r="A65" s="22" t="s">
        <v>306</v>
      </c>
      <c r="B65" s="19" t="s">
        <v>307</v>
      </c>
      <c r="C65" s="2" t="str">
        <f t="shared" si="1"/>
        <v>m³@15℃/bbls@60℉</v>
      </c>
      <c r="T65" s="25"/>
      <c r="U65" s="28"/>
      <c r="V65" s="28"/>
      <c r="W65" s="29"/>
    </row>
    <row r="66" spans="1:23">
      <c r="A66" s="22" t="s">
        <v>310</v>
      </c>
      <c r="B66" s="21" t="s">
        <v>311</v>
      </c>
      <c r="C66" s="2" t="str">
        <f t="shared" ref="C66:C85" si="2">IF(Report_Language=$A$1,A66,B66)</f>
        <v>m³@15℃/bbls@60℉ [T-4] </v>
      </c>
      <c r="T66" s="25"/>
      <c r="U66" s="28"/>
      <c r="V66" s="28"/>
      <c r="W66" s="29"/>
    </row>
    <row r="67" spans="1:23">
      <c r="A67" s="22" t="s">
        <v>306</v>
      </c>
      <c r="B67" s="21" t="s">
        <v>314</v>
      </c>
      <c r="C67" s="2" t="str">
        <f t="shared" si="2"/>
        <v>m³@15℃/bbls@60℉</v>
      </c>
      <c r="T67" s="25"/>
      <c r="U67" s="28"/>
      <c r="V67" s="28"/>
      <c r="W67" s="29"/>
    </row>
    <row r="68" spans="1:23">
      <c r="A68" s="19" t="s">
        <v>317</v>
      </c>
      <c r="B68" s="19" t="s">
        <v>318</v>
      </c>
      <c r="C68" s="2" t="str">
        <f t="shared" si="2"/>
        <v>m³@20℃/m³@15℃ [1/VCF(20℃)]</v>
      </c>
      <c r="T68" s="25"/>
      <c r="U68" s="28"/>
      <c r="V68" s="28"/>
      <c r="W68" s="29"/>
    </row>
    <row r="69" spans="1:23">
      <c r="A69" s="17" t="s">
        <v>321</v>
      </c>
      <c r="B69" s="17" t="s">
        <v>322</v>
      </c>
      <c r="C69" s="2" t="str">
        <f t="shared" si="2"/>
        <v>m³@20℃/bbls@60℉ [T-4] x VCF(59℉)/VCF(68℉)</v>
      </c>
      <c r="T69" s="25"/>
      <c r="U69" s="28"/>
      <c r="V69" s="28"/>
      <c r="W69" s="29"/>
    </row>
    <row r="70" spans="1:23">
      <c r="A70" s="17" t="s">
        <v>325</v>
      </c>
      <c r="B70" s="17" t="s">
        <v>326</v>
      </c>
      <c r="C70" s="2" t="str">
        <f t="shared" si="2"/>
        <v>m³@20℃/bbls@60℉</v>
      </c>
      <c r="T70" s="25"/>
      <c r="U70" s="28"/>
      <c r="V70" s="28"/>
      <c r="W70" s="29"/>
    </row>
    <row r="71" spans="1:23">
      <c r="A71" s="17" t="s">
        <v>329</v>
      </c>
      <c r="B71" s="17" t="s">
        <v>330</v>
      </c>
      <c r="C71" s="2" t="str">
        <f t="shared" si="2"/>
        <v>m³@20℃/bbls@60℉ [T-22] x VCF(59℉)/VCF(68℉)</v>
      </c>
      <c r="T71" s="25"/>
      <c r="U71" s="28"/>
      <c r="V71" s="28"/>
      <c r="W71" s="29"/>
    </row>
    <row r="72" spans="1:23">
      <c r="A72" s="17" t="s">
        <v>325</v>
      </c>
      <c r="B72" s="17" t="s">
        <v>333</v>
      </c>
      <c r="C72" s="2" t="str">
        <f t="shared" si="2"/>
        <v>m³@20℃/bbls@60℉</v>
      </c>
      <c r="T72" s="25"/>
      <c r="U72" s="28"/>
      <c r="V72" s="28"/>
      <c r="W72" s="29"/>
    </row>
    <row r="73" spans="1:23">
      <c r="A73" s="19" t="s">
        <v>336</v>
      </c>
      <c r="B73" s="21" t="s">
        <v>337</v>
      </c>
      <c r="C73" s="2" t="str">
        <f t="shared" si="2"/>
        <v>m³@30℃/m³@15℃ [1/VCF(30℃)]</v>
      </c>
      <c r="T73" s="25"/>
      <c r="U73" s="28"/>
      <c r="V73" s="28"/>
      <c r="W73" s="29"/>
    </row>
    <row r="74" spans="1:23">
      <c r="A74" s="19" t="s">
        <v>340</v>
      </c>
      <c r="B74" s="21" t="s">
        <v>341</v>
      </c>
      <c r="C74" s="2" t="str">
        <f t="shared" si="2"/>
        <v>m³@30℃/m³@20℃ [1/VCF(30℃)]</v>
      </c>
      <c r="T74" s="25"/>
      <c r="U74" s="28"/>
      <c r="V74" s="28"/>
      <c r="W74" s="29"/>
    </row>
    <row r="75" spans="1:23">
      <c r="A75" s="17" t="s">
        <v>344</v>
      </c>
      <c r="B75" s="17" t="s">
        <v>345</v>
      </c>
      <c r="C75" s="2" t="str">
        <f t="shared" si="2"/>
        <v>m³@30℃/bbls@60℉ [T-4] x VCF(59℉)/VCF(86℉)</v>
      </c>
      <c r="T75" s="25"/>
      <c r="U75" s="28"/>
      <c r="V75" s="28"/>
      <c r="W75" s="29"/>
    </row>
    <row r="76" spans="1:23">
      <c r="A76" s="17" t="s">
        <v>348</v>
      </c>
      <c r="B76" s="17" t="s">
        <v>349</v>
      </c>
      <c r="C76" s="2" t="str">
        <f t="shared" si="2"/>
        <v>m³@30℃/bbls@60℉</v>
      </c>
      <c r="T76" s="25"/>
      <c r="U76" s="28"/>
      <c r="V76" s="28"/>
      <c r="W76" s="29"/>
    </row>
    <row r="77" ht="15" customHeight="1" spans="1:3">
      <c r="A77" s="17" t="s">
        <v>350</v>
      </c>
      <c r="B77" s="17" t="s">
        <v>351</v>
      </c>
      <c r="C77" s="2" t="str">
        <f t="shared" si="2"/>
        <v>m³@30℃/bbls@60℉ [T-22] x VCF(59℉)/VCF(86℉)</v>
      </c>
    </row>
    <row r="78" spans="1:3">
      <c r="A78" s="17" t="s">
        <v>348</v>
      </c>
      <c r="B78" s="17" t="s">
        <v>352</v>
      </c>
      <c r="C78" s="2" t="str">
        <f t="shared" si="2"/>
        <v>m³@30℃/bbls@60℉</v>
      </c>
    </row>
    <row r="79" spans="1:3">
      <c r="A79" s="5" t="s">
        <v>353</v>
      </c>
      <c r="B79" s="32" t="s">
        <v>354</v>
      </c>
      <c r="C79" s="2" t="str">
        <f t="shared" si="2"/>
        <v>US Gallon/US Barrels [T-1]</v>
      </c>
    </row>
    <row r="80" spans="1:3">
      <c r="A80" s="33" t="s">
        <v>355</v>
      </c>
      <c r="B80" s="33" t="s">
        <v>356</v>
      </c>
      <c r="C80" s="2" t="str">
        <f t="shared" si="2"/>
        <v>Master/Chief Officer</v>
      </c>
    </row>
    <row r="81" spans="1:3">
      <c r="A81" s="34" t="s">
        <v>357</v>
      </c>
      <c r="B81" s="34" t="s">
        <v>358</v>
      </c>
      <c r="C81" s="2" t="str">
        <f t="shared" si="2"/>
        <v>CCIC Surveyor</v>
      </c>
    </row>
    <row r="82" spans="1:3">
      <c r="A82" s="33" t="s">
        <v>359</v>
      </c>
      <c r="B82" s="33" t="s">
        <v>360</v>
      </c>
      <c r="C82" s="2" t="str">
        <f t="shared" si="2"/>
        <v>Name</v>
      </c>
    </row>
    <row r="83" spans="1:3">
      <c r="A83" s="34" t="s">
        <v>361</v>
      </c>
      <c r="B83" s="34" t="s">
        <v>362</v>
      </c>
      <c r="C83" s="2" t="str">
        <f t="shared" si="2"/>
        <v>Signature</v>
      </c>
    </row>
    <row r="84" spans="1:3">
      <c r="A84" s="33" t="s">
        <v>363</v>
      </c>
      <c r="B84" s="33" t="s">
        <v>364</v>
      </c>
      <c r="C84" s="2" t="str">
        <f t="shared" si="2"/>
        <v>Authorized Signature (S)</v>
      </c>
    </row>
    <row r="85" spans="1:3">
      <c r="A85" s="34" t="s">
        <v>74</v>
      </c>
      <c r="B85" s="34" t="s">
        <v>75</v>
      </c>
      <c r="C85" s="2" t="str">
        <f t="shared" si="2"/>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customFormat="1" spans="3:10">
      <c r="C86" s="27"/>
      <c r="D86" s="27"/>
      <c r="E86" s="27"/>
      <c r="F86" s="27"/>
      <c r="G86" s="27"/>
      <c r="H86" s="28"/>
      <c r="I86" s="28"/>
      <c r="J86" s="29"/>
    </row>
    <row r="87" customFormat="1" spans="3:10">
      <c r="C87" s="27"/>
      <c r="D87" s="27"/>
      <c r="E87" s="27"/>
      <c r="F87" s="27"/>
      <c r="G87" s="27"/>
      <c r="H87" s="28"/>
      <c r="I87" s="28"/>
      <c r="J87" s="29"/>
    </row>
    <row r="89" spans="9:19">
      <c r="I89" s="39"/>
      <c r="R89" s="46" t="str">
        <f>C2</f>
        <v>JOB NO.:</v>
      </c>
      <c r="S89" s="47" t="str">
        <f>单号</f>
        <v>这就是爱</v>
      </c>
    </row>
    <row r="90" spans="9:19">
      <c r="I90" s="39"/>
      <c r="R90" s="46" t="str">
        <f>C3</f>
        <v>DATE OF REPORT</v>
      </c>
      <c r="S90" s="47" t="str">
        <f>报告日期</f>
        <v>YYYY-MM-DD</v>
      </c>
    </row>
    <row r="91" spans="9:19">
      <c r="I91" s="39"/>
      <c r="R91" s="39"/>
      <c r="S91" s="39"/>
    </row>
    <row r="92" spans="1:19">
      <c r="A92" t="str">
        <f>IF(OR(B92="隐藏",C92="隐藏"),"隐藏","显示")</f>
        <v>显示</v>
      </c>
      <c r="I92" s="39"/>
      <c r="R92" s="39"/>
      <c r="S92" s="39"/>
    </row>
    <row r="93" spans="1:20">
      <c r="A93" t="str">
        <f t="shared" ref="A93:A129" si="3">IF(OR(B93="隐藏",C93="隐藏"),"隐藏","显示")</f>
        <v>显示</v>
      </c>
      <c r="B93" t="str">
        <f>IF(隐藏客户名称,"隐藏","显示")</f>
        <v>显示</v>
      </c>
      <c r="C93" t="b">
        <v>0</v>
      </c>
      <c r="I93" s="39"/>
      <c r="N93" s="40" t="str">
        <f t="shared" ref="N93:N99" si="4">C4</f>
        <v>APPLICANT</v>
      </c>
      <c r="O93" s="41"/>
      <c r="P93" s="40" t="str">
        <f>客户名</f>
        <v>PETROCHINA </v>
      </c>
      <c r="Q93" s="48"/>
      <c r="R93" s="48"/>
      <c r="S93" s="48"/>
      <c r="T93" s="41"/>
    </row>
    <row r="94" ht="15" customHeight="1" spans="1:20">
      <c r="A94" t="str">
        <f t="shared" si="3"/>
        <v>显示</v>
      </c>
      <c r="B94" t="str">
        <f>IF(隐藏客户编号,"隐藏","显示")</f>
        <v>显示</v>
      </c>
      <c r="C94" t="b">
        <v>0</v>
      </c>
      <c r="D94" s="25"/>
      <c r="E94" s="28"/>
      <c r="F94" s="28"/>
      <c r="G94" s="29"/>
      <c r="I94" s="39"/>
      <c r="N94" s="40" t="str">
        <f t="shared" si="4"/>
        <v>CLIENT'S REF. NO.</v>
      </c>
      <c r="O94" s="41"/>
      <c r="P94" s="40" t="str">
        <f>客户编号</f>
        <v>说也说不清楚</v>
      </c>
      <c r="Q94" s="48"/>
      <c r="R94" s="48"/>
      <c r="S94" s="48"/>
      <c r="T94" s="41"/>
    </row>
    <row r="95" spans="1:20">
      <c r="A95" t="str">
        <f t="shared" si="3"/>
        <v>显示</v>
      </c>
      <c r="D95" s="25"/>
      <c r="E95" s="35"/>
      <c r="F95" s="28"/>
      <c r="G95" s="29"/>
      <c r="I95" s="39"/>
      <c r="N95" s="40" t="str">
        <f t="shared" si="4"/>
        <v>COMMODITY</v>
      </c>
      <c r="O95" s="41"/>
      <c r="P95" s="40" t="str">
        <f>品名</f>
        <v>Crude Oil6658</v>
      </c>
      <c r="Q95" s="48"/>
      <c r="R95" s="48"/>
      <c r="S95" s="48"/>
      <c r="T95" s="41"/>
    </row>
    <row r="96" spans="1:20">
      <c r="A96" t="str">
        <f t="shared" si="3"/>
        <v>显示</v>
      </c>
      <c r="B96" t="str">
        <f>IF(隐藏船名,"隐藏","显示")</f>
        <v>显示</v>
      </c>
      <c r="C96" t="b">
        <v>0</v>
      </c>
      <c r="D96" s="25"/>
      <c r="E96" s="28"/>
      <c r="F96" s="28"/>
      <c r="G96" s="29"/>
      <c r="I96" s="39"/>
      <c r="N96" s="40" t="str">
        <f t="shared" si="4"/>
        <v>VESSEL</v>
      </c>
      <c r="O96" s="41"/>
      <c r="P96" s="40" t="str">
        <f>船名</f>
        <v>MT ZhenYuanefdasdf</v>
      </c>
      <c r="Q96" s="48"/>
      <c r="R96" s="48"/>
      <c r="S96" s="48"/>
      <c r="T96" s="41"/>
    </row>
    <row r="97" spans="1:20">
      <c r="A97" t="str">
        <f t="shared" si="3"/>
        <v>显示</v>
      </c>
      <c r="B97" t="str">
        <f>IF(隐藏港口名称,"隐藏","显示")</f>
        <v>显示</v>
      </c>
      <c r="C97" t="b">
        <v>0</v>
      </c>
      <c r="D97" s="25"/>
      <c r="E97" s="28"/>
      <c r="F97" s="28"/>
      <c r="G97" s="29"/>
      <c r="I97" s="39"/>
      <c r="N97" s="40" t="str">
        <f t="shared" si="4"/>
        <v>PORT</v>
      </c>
      <c r="O97" s="41"/>
      <c r="P97" s="40" t="str">
        <f>港口名</f>
        <v>Dalian, Chinafsadfa</v>
      </c>
      <c r="Q97" s="48"/>
      <c r="R97" s="48"/>
      <c r="S97" s="48"/>
      <c r="T97" s="41"/>
    </row>
    <row r="98" spans="1:20">
      <c r="A98" t="str">
        <f t="shared" si="3"/>
        <v>显示</v>
      </c>
      <c r="B98" t="str">
        <f>IF(隐藏油库名称,"隐藏","显示")</f>
        <v>显示</v>
      </c>
      <c r="C98" t="b">
        <v>0</v>
      </c>
      <c r="D98" s="25"/>
      <c r="E98" s="28"/>
      <c r="F98" s="28"/>
      <c r="G98" s="29"/>
      <c r="I98" s="39"/>
      <c r="N98" s="40" t="str">
        <f t="shared" si="4"/>
        <v>TERMINAL</v>
      </c>
      <c r="O98" s="41"/>
      <c r="P98" s="40" t="str">
        <f>油库名</f>
        <v>Dalian Chinaoil, China1325415</v>
      </c>
      <c r="Q98" s="48"/>
      <c r="R98" s="48"/>
      <c r="S98" s="48"/>
      <c r="T98" s="41"/>
    </row>
    <row r="99" spans="1:20">
      <c r="A99" t="str">
        <f t="shared" si="3"/>
        <v>显示</v>
      </c>
      <c r="D99" s="25"/>
      <c r="E99" s="28"/>
      <c r="F99" s="28"/>
      <c r="G99" s="29"/>
      <c r="I99" s="39"/>
      <c r="N99" s="40" t="str">
        <f t="shared" si="4"/>
        <v>DATE OF INSPECTION</v>
      </c>
      <c r="O99" s="41"/>
      <c r="P99" s="40" t="str">
        <f>检验日期</f>
        <v>YYYY-MM-DD To YYYY-MM-DD</v>
      </c>
      <c r="Q99" s="48"/>
      <c r="R99" s="48"/>
      <c r="S99" s="48"/>
      <c r="T99" s="41"/>
    </row>
    <row r="100" spans="1:19">
      <c r="A100" t="str">
        <f t="shared" si="3"/>
        <v>显示</v>
      </c>
      <c r="D100" s="25"/>
      <c r="E100" s="28"/>
      <c r="F100" s="28"/>
      <c r="G100" s="29"/>
      <c r="I100" s="39"/>
      <c r="J100" s="39"/>
      <c r="K100" s="39"/>
      <c r="L100" s="39"/>
      <c r="M100" s="39"/>
      <c r="N100" s="39"/>
      <c r="O100" s="39"/>
      <c r="P100" s="39"/>
      <c r="Q100" s="39"/>
      <c r="R100" s="39"/>
      <c r="S100" s="39"/>
    </row>
    <row r="101" ht="15" spans="1:19">
      <c r="A101" t="str">
        <f t="shared" si="3"/>
        <v>显示</v>
      </c>
      <c r="D101" s="25"/>
      <c r="E101" s="28"/>
      <c r="F101" s="28"/>
      <c r="G101" s="29"/>
      <c r="J101" s="39"/>
      <c r="K101" s="39"/>
      <c r="L101" s="39"/>
      <c r="M101" s="39"/>
      <c r="N101" s="39"/>
      <c r="O101" s="39"/>
      <c r="P101" s="39"/>
      <c r="Q101" s="39"/>
      <c r="R101" s="39"/>
      <c r="S101" s="39"/>
    </row>
    <row r="102" spans="1:26">
      <c r="A102" t="str">
        <f t="shared" si="3"/>
        <v>显示</v>
      </c>
      <c r="D102" s="25"/>
      <c r="E102" s="28"/>
      <c r="F102" s="28"/>
      <c r="G102" s="29"/>
      <c r="I102" s="42"/>
      <c r="J102" s="39"/>
      <c r="K102" s="39"/>
      <c r="L102" s="39"/>
      <c r="M102" s="39"/>
      <c r="N102" s="39"/>
      <c r="O102" s="39"/>
      <c r="P102" s="39">
        <v>0</v>
      </c>
      <c r="Q102" s="39"/>
      <c r="R102" s="39"/>
      <c r="S102" s="39"/>
      <c r="Z102" s="50"/>
    </row>
    <row r="103" spans="1:19">
      <c r="A103" t="str">
        <f t="shared" si="3"/>
        <v>显示</v>
      </c>
      <c r="D103" s="25"/>
      <c r="E103" s="28"/>
      <c r="F103" s="28"/>
      <c r="G103" s="29"/>
      <c r="K103" s="39"/>
      <c r="L103" s="39"/>
      <c r="M103" s="39"/>
      <c r="N103" s="39"/>
      <c r="O103" s="39"/>
      <c r="P103" s="39"/>
      <c r="Q103" s="39"/>
      <c r="R103" s="39"/>
      <c r="S103" s="39"/>
    </row>
    <row r="104" spans="1:19">
      <c r="A104" t="str">
        <f t="shared" si="3"/>
        <v>显示</v>
      </c>
      <c r="D104" s="25"/>
      <c r="E104" s="28"/>
      <c r="F104" s="28"/>
      <c r="G104" s="29"/>
      <c r="I104" s="39"/>
      <c r="J104" s="39"/>
      <c r="K104" s="39"/>
      <c r="L104" s="39"/>
      <c r="M104" s="39"/>
      <c r="N104" s="39"/>
      <c r="O104" s="39"/>
      <c r="P104" s="39"/>
      <c r="Q104" s="39"/>
      <c r="R104" s="39"/>
      <c r="S104" s="39"/>
    </row>
    <row r="105" spans="1:26">
      <c r="A105" t="str">
        <f t="shared" si="3"/>
        <v>显示</v>
      </c>
      <c r="D105" s="25"/>
      <c r="E105" s="28"/>
      <c r="F105" s="28"/>
      <c r="G105" s="29"/>
      <c r="I105" s="39"/>
      <c r="J105" s="39"/>
      <c r="K105" s="39"/>
      <c r="L105" s="39"/>
      <c r="M105" s="39"/>
      <c r="N105" s="39"/>
      <c r="O105" s="39"/>
      <c r="P105" s="39"/>
      <c r="Q105" s="39"/>
      <c r="R105" s="39"/>
      <c r="S105" s="39"/>
      <c r="Z105" s="50"/>
    </row>
    <row r="106" spans="1:19">
      <c r="A106" t="str">
        <f t="shared" si="3"/>
        <v>显示</v>
      </c>
      <c r="D106" s="25"/>
      <c r="E106" s="28"/>
      <c r="F106" s="28"/>
      <c r="G106" s="29"/>
      <c r="I106" s="39"/>
      <c r="J106" s="39"/>
      <c r="K106" s="39"/>
      <c r="L106" s="39"/>
      <c r="M106" s="39"/>
      <c r="N106" s="39"/>
      <c r="O106" s="39"/>
      <c r="P106" s="39"/>
      <c r="Q106" s="39"/>
      <c r="R106" s="39"/>
      <c r="S106" s="39"/>
    </row>
    <row r="107" spans="1:19">
      <c r="A107" t="str">
        <f t="shared" si="3"/>
        <v>显示</v>
      </c>
      <c r="D107" s="25"/>
      <c r="E107" s="28"/>
      <c r="F107" s="28"/>
      <c r="G107" s="29"/>
      <c r="I107" s="39"/>
      <c r="J107" s="39"/>
      <c r="K107" s="39"/>
      <c r="L107" s="39"/>
      <c r="M107" s="39"/>
      <c r="N107" s="39"/>
      <c r="O107" s="39"/>
      <c r="P107" s="39"/>
      <c r="Q107" s="39"/>
      <c r="R107" s="39"/>
      <c r="S107" s="39"/>
    </row>
    <row r="108" spans="1:19">
      <c r="A108" t="str">
        <f t="shared" si="3"/>
        <v>显示</v>
      </c>
      <c r="D108" s="25"/>
      <c r="E108" s="28"/>
      <c r="F108" s="28"/>
      <c r="G108" s="29"/>
      <c r="I108" s="39"/>
      <c r="K108" s="39"/>
      <c r="L108" s="39"/>
      <c r="M108" s="39"/>
      <c r="N108" s="39"/>
      <c r="O108" s="39"/>
      <c r="P108" s="39"/>
      <c r="Q108" s="39"/>
      <c r="R108" s="39"/>
      <c r="S108" s="39"/>
    </row>
    <row r="109" spans="1:19">
      <c r="A109" t="str">
        <f t="shared" si="3"/>
        <v>显示</v>
      </c>
      <c r="D109" s="25"/>
      <c r="E109" s="28"/>
      <c r="F109" s="28"/>
      <c r="G109" s="29"/>
      <c r="I109" s="39"/>
      <c r="J109" s="39"/>
      <c r="K109" s="39"/>
      <c r="L109" s="39"/>
      <c r="M109" s="39"/>
      <c r="N109" s="39"/>
      <c r="O109" s="39"/>
      <c r="P109" s="39"/>
      <c r="Q109" s="39"/>
      <c r="R109" s="39"/>
      <c r="S109" s="39"/>
    </row>
    <row r="110" spans="1:19">
      <c r="A110" t="str">
        <f t="shared" si="3"/>
        <v>显示</v>
      </c>
      <c r="D110" s="25"/>
      <c r="E110" s="28"/>
      <c r="F110" s="28"/>
      <c r="G110" s="29"/>
      <c r="I110" s="39"/>
      <c r="J110" s="39"/>
      <c r="K110" s="39"/>
      <c r="L110" s="39"/>
      <c r="M110" s="39"/>
      <c r="N110" s="39"/>
      <c r="O110" s="39"/>
      <c r="P110" s="39"/>
      <c r="Q110" s="39"/>
      <c r="R110" s="39"/>
      <c r="S110" s="39"/>
    </row>
    <row r="111" spans="1:19">
      <c r="A111" t="str">
        <f t="shared" si="3"/>
        <v>显示</v>
      </c>
      <c r="D111" s="36"/>
      <c r="E111" s="28"/>
      <c r="F111" s="28"/>
      <c r="G111" s="29"/>
      <c r="I111" s="39"/>
      <c r="J111" s="39"/>
      <c r="K111" s="39"/>
      <c r="L111" s="39"/>
      <c r="M111" s="39"/>
      <c r="N111" s="39"/>
      <c r="O111" s="39"/>
      <c r="P111" s="39"/>
      <c r="Q111" s="39"/>
      <c r="R111" s="39"/>
      <c r="S111" s="39"/>
    </row>
    <row r="112" spans="1:19">
      <c r="A112" t="str">
        <f t="shared" si="3"/>
        <v>显示</v>
      </c>
      <c r="D112" s="36"/>
      <c r="E112" s="28"/>
      <c r="F112" s="28"/>
      <c r="G112" s="29"/>
      <c r="I112" s="39"/>
      <c r="J112" s="39"/>
      <c r="K112" s="39"/>
      <c r="L112" s="39"/>
      <c r="M112" s="39"/>
      <c r="N112" s="39"/>
      <c r="O112" s="39"/>
      <c r="P112" s="39"/>
      <c r="Q112" s="39"/>
      <c r="R112" s="39"/>
      <c r="S112" s="39"/>
    </row>
    <row r="113" spans="1:19">
      <c r="A113" t="str">
        <f t="shared" si="3"/>
        <v>显示</v>
      </c>
      <c r="D113" s="36"/>
      <c r="E113" s="28"/>
      <c r="F113" s="28"/>
      <c r="G113" s="29"/>
      <c r="I113" s="39"/>
      <c r="J113" s="39"/>
      <c r="K113" s="39"/>
      <c r="L113" s="39"/>
      <c r="M113" s="39"/>
      <c r="N113" s="39"/>
      <c r="O113" s="39"/>
      <c r="P113" s="39"/>
      <c r="Q113" s="39"/>
      <c r="R113" s="39"/>
      <c r="S113" s="39"/>
    </row>
    <row r="114" spans="1:19">
      <c r="A114" t="str">
        <f t="shared" si="3"/>
        <v>显示</v>
      </c>
      <c r="D114" s="36"/>
      <c r="E114" s="28"/>
      <c r="F114" s="28"/>
      <c r="G114" s="29"/>
      <c r="I114" s="39"/>
      <c r="J114" s="39"/>
      <c r="K114" s="39"/>
      <c r="L114" s="39"/>
      <c r="M114" s="39"/>
      <c r="N114" s="39"/>
      <c r="O114" s="39"/>
      <c r="P114" s="39"/>
      <c r="Q114" s="39"/>
      <c r="R114" s="39"/>
      <c r="S114" s="39"/>
    </row>
    <row r="115" spans="1:19">
      <c r="A115" t="str">
        <f t="shared" si="3"/>
        <v>显示</v>
      </c>
      <c r="D115" s="36"/>
      <c r="E115" s="28"/>
      <c r="F115" s="28"/>
      <c r="G115" s="29"/>
      <c r="I115" s="39"/>
      <c r="J115" s="39"/>
      <c r="K115" s="39"/>
      <c r="L115" s="39"/>
      <c r="M115" s="39"/>
      <c r="N115" s="39"/>
      <c r="O115" s="39"/>
      <c r="P115" s="39"/>
      <c r="Q115" s="39"/>
      <c r="R115" s="39"/>
      <c r="S115" s="39"/>
    </row>
    <row r="116" ht="16.5" spans="1:19">
      <c r="A116" t="str">
        <f t="shared" si="3"/>
        <v>显示</v>
      </c>
      <c r="D116" s="37"/>
      <c r="E116" s="28"/>
      <c r="F116" s="28"/>
      <c r="G116" s="29"/>
      <c r="I116" s="39"/>
      <c r="J116" s="39"/>
      <c r="K116" s="39"/>
      <c r="L116" s="39"/>
      <c r="M116" s="39"/>
      <c r="N116" s="39"/>
      <c r="O116" s="39"/>
      <c r="P116" s="39"/>
      <c r="Q116" s="39"/>
      <c r="R116" s="39"/>
      <c r="S116" s="39"/>
    </row>
    <row r="117" ht="16.5" spans="1:20">
      <c r="A117" t="str">
        <f t="shared" si="3"/>
        <v>显示</v>
      </c>
      <c r="D117" s="37"/>
      <c r="E117" s="28"/>
      <c r="F117" s="28"/>
      <c r="G117" s="29"/>
      <c r="I117" s="39"/>
      <c r="J117" s="39"/>
      <c r="K117" s="39"/>
      <c r="L117" s="39"/>
      <c r="M117" s="39"/>
      <c r="N117" s="39"/>
      <c r="O117" s="39"/>
      <c r="P117" s="39"/>
      <c r="Q117" s="39"/>
      <c r="R117" s="39"/>
      <c r="S117" s="39"/>
      <c r="T117" s="39"/>
    </row>
    <row r="118" ht="16.5" spans="1:20">
      <c r="A118" t="str">
        <f t="shared" si="3"/>
        <v>显示</v>
      </c>
      <c r="D118" s="37"/>
      <c r="E118" s="28"/>
      <c r="F118" s="28"/>
      <c r="G118" s="29"/>
      <c r="I118" s="39"/>
      <c r="J118" s="39"/>
      <c r="K118" s="39"/>
      <c r="L118" s="39"/>
      <c r="M118" s="39"/>
      <c r="N118" s="39"/>
      <c r="O118" s="39"/>
      <c r="P118" s="39"/>
      <c r="Q118" s="39"/>
      <c r="R118" s="39"/>
      <c r="S118" s="39"/>
      <c r="T118" s="39"/>
    </row>
    <row r="119" spans="1:20">
      <c r="A119" t="str">
        <f t="shared" si="3"/>
        <v>显示</v>
      </c>
      <c r="E119" s="28"/>
      <c r="F119" s="28"/>
      <c r="G119" s="29"/>
      <c r="I119" s="39"/>
      <c r="J119" s="39"/>
      <c r="K119" s="39"/>
      <c r="L119" s="39"/>
      <c r="M119" s="39"/>
      <c r="N119" s="39"/>
      <c r="O119" s="39"/>
      <c r="P119" s="39"/>
      <c r="Q119" s="39"/>
      <c r="R119" s="39"/>
      <c r="S119" s="39"/>
      <c r="T119" s="39"/>
    </row>
    <row r="120" hidden="1" spans="1:20">
      <c r="A120" t="str">
        <f t="shared" si="3"/>
        <v>隐藏</v>
      </c>
      <c r="B120" t="str">
        <f>IF(Report_type="正式报告 Official Report","隐藏","显示")</f>
        <v>隐藏</v>
      </c>
      <c r="E120" s="28"/>
      <c r="F120" s="28"/>
      <c r="G120" s="29"/>
      <c r="I120" s="39"/>
      <c r="J120" s="39" t="str">
        <f>C80</f>
        <v>Master/Chief Officer</v>
      </c>
      <c r="K120" s="39"/>
      <c r="L120" s="39"/>
      <c r="M120" s="39"/>
      <c r="N120" s="39"/>
      <c r="O120" s="39"/>
      <c r="P120" s="39" t="str">
        <f>C81</f>
        <v>CCIC Surveyor</v>
      </c>
      <c r="Q120" s="39"/>
      <c r="R120" s="39"/>
      <c r="S120" s="39"/>
      <c r="T120" s="39"/>
    </row>
    <row r="121" hidden="1" spans="1:20">
      <c r="A121" t="str">
        <f t="shared" si="3"/>
        <v>隐藏</v>
      </c>
      <c r="B121" t="str">
        <f>IF(Report_type="正式报告 Official Report","隐藏","显示")</f>
        <v>隐藏</v>
      </c>
      <c r="E121" s="28"/>
      <c r="F121" s="28"/>
      <c r="G121" s="29"/>
      <c r="I121" s="39"/>
      <c r="J121" s="39" t="str">
        <f>C82</f>
        <v>Name</v>
      </c>
      <c r="K121" s="43"/>
      <c r="L121" s="43"/>
      <c r="M121" s="43"/>
      <c r="N121" s="39"/>
      <c r="O121" s="39"/>
      <c r="P121" s="39" t="str">
        <f>C82</f>
        <v>Name</v>
      </c>
      <c r="Q121" s="49" t="s">
        <v>10</v>
      </c>
      <c r="R121" s="49"/>
      <c r="S121" s="49"/>
      <c r="T121" s="39"/>
    </row>
    <row r="122" hidden="1" spans="1:20">
      <c r="A122" t="str">
        <f t="shared" si="3"/>
        <v>隐藏</v>
      </c>
      <c r="B122" t="str">
        <f>IF(Report_type="正式报告 Official Report","隐藏","显示")</f>
        <v>隐藏</v>
      </c>
      <c r="E122" s="28"/>
      <c r="F122" s="28"/>
      <c r="G122" s="29"/>
      <c r="I122" s="39"/>
      <c r="J122" s="39" t="str">
        <f>C83</f>
        <v>Signature</v>
      </c>
      <c r="K122" s="44"/>
      <c r="L122" s="44"/>
      <c r="M122" s="44"/>
      <c r="N122" s="39"/>
      <c r="O122" s="39"/>
      <c r="P122" s="39" t="str">
        <f>C83</f>
        <v>Signature</v>
      </c>
      <c r="Q122" s="44"/>
      <c r="R122" s="44"/>
      <c r="S122" s="44"/>
      <c r="T122" s="39"/>
    </row>
    <row r="123" spans="1:20">
      <c r="A123" t="str">
        <f t="shared" si="3"/>
        <v>显示</v>
      </c>
      <c r="E123" s="28"/>
      <c r="F123" s="28"/>
      <c r="G123" s="29"/>
      <c r="I123" s="39"/>
      <c r="J123" s="39"/>
      <c r="K123" s="39"/>
      <c r="L123" s="39"/>
      <c r="M123" s="39"/>
      <c r="N123" s="39"/>
      <c r="O123" s="39"/>
      <c r="P123" s="39"/>
      <c r="Q123" s="39"/>
      <c r="R123" s="39"/>
      <c r="S123" s="39"/>
      <c r="T123" s="39"/>
    </row>
    <row r="124" spans="1:20">
      <c r="A124" t="str">
        <f t="shared" si="3"/>
        <v>显示</v>
      </c>
      <c r="E124" s="28"/>
      <c r="F124" s="28"/>
      <c r="G124" s="29"/>
      <c r="I124" s="39"/>
      <c r="J124" s="39"/>
      <c r="K124" s="39"/>
      <c r="L124" s="39"/>
      <c r="M124" s="39"/>
      <c r="N124" s="39"/>
      <c r="O124" s="39"/>
      <c r="P124" s="39"/>
      <c r="Q124" s="39"/>
      <c r="R124" s="39"/>
      <c r="S124" s="39"/>
      <c r="T124" s="39"/>
    </row>
    <row r="125" spans="1:20">
      <c r="A125" t="str">
        <f t="shared" si="3"/>
        <v>显示</v>
      </c>
      <c r="B125" t="str">
        <f>IF(Report_type="正式报告 Official Report","显示","隐藏")</f>
        <v>显示</v>
      </c>
      <c r="E125" s="28"/>
      <c r="F125" s="28"/>
      <c r="G125" s="29"/>
      <c r="I125" s="39"/>
      <c r="J125" s="39"/>
      <c r="K125" s="39"/>
      <c r="L125" s="39"/>
      <c r="M125" s="39"/>
      <c r="N125" s="39"/>
      <c r="O125" s="39"/>
      <c r="P125" s="39"/>
      <c r="Q125" s="39"/>
      <c r="R125" s="39"/>
      <c r="S125" s="39"/>
      <c r="T125" s="39"/>
    </row>
    <row r="126" spans="1:20">
      <c r="A126" t="str">
        <f t="shared" si="3"/>
        <v>显示</v>
      </c>
      <c r="B126" t="str">
        <f>IF(Report_type="正式报告 Official Report","显示","隐藏")</f>
        <v>显示</v>
      </c>
      <c r="E126" s="28"/>
      <c r="F126" s="28"/>
      <c r="G126" s="29"/>
      <c r="I126" s="39"/>
      <c r="J126" s="39"/>
      <c r="K126" s="39"/>
      <c r="L126" s="39"/>
      <c r="M126" s="39"/>
      <c r="N126" s="39"/>
      <c r="O126" s="39"/>
      <c r="P126" s="45" t="str">
        <f>C84</f>
        <v>Authorized Signature (S)</v>
      </c>
      <c r="Q126" s="45"/>
      <c r="R126" s="45"/>
      <c r="S126" s="39"/>
      <c r="T126" s="39"/>
    </row>
    <row r="127" ht="16.5" spans="1:20">
      <c r="A127" t="str">
        <f t="shared" si="3"/>
        <v>显示</v>
      </c>
      <c r="D127" s="37"/>
      <c r="E127" s="28"/>
      <c r="F127" s="28"/>
      <c r="G127" s="29"/>
      <c r="I127" s="39"/>
      <c r="J127" s="39"/>
      <c r="K127" s="39"/>
      <c r="L127" s="39"/>
      <c r="M127" s="39"/>
      <c r="N127" s="39"/>
      <c r="O127" s="39"/>
      <c r="P127" s="39"/>
      <c r="Q127" s="39"/>
      <c r="R127" s="39"/>
      <c r="S127" s="39"/>
      <c r="T127" s="39"/>
    </row>
    <row r="128" ht="16.5" spans="1:20">
      <c r="A128" t="str">
        <f t="shared" si="3"/>
        <v>显示</v>
      </c>
      <c r="D128" s="37"/>
      <c r="E128" s="28"/>
      <c r="F128" s="38"/>
      <c r="G128" s="29"/>
      <c r="I128" s="39"/>
      <c r="J128" s="39"/>
      <c r="K128" s="39"/>
      <c r="L128" s="39"/>
      <c r="M128" s="39"/>
      <c r="N128" s="39"/>
      <c r="O128" s="39"/>
      <c r="P128" s="39"/>
      <c r="Q128" s="39"/>
      <c r="R128" s="39"/>
      <c r="S128" s="39"/>
      <c r="T128" s="39"/>
    </row>
    <row r="129" ht="16.8" customHeight="1" spans="1:20">
      <c r="A129" t="str">
        <f t="shared" si="3"/>
        <v>显示</v>
      </c>
      <c r="D129" s="37"/>
      <c r="E129" s="28"/>
      <c r="F129" s="38"/>
      <c r="G129" s="29"/>
      <c r="I129" s="51" t="str">
        <f>C85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29" s="51"/>
      <c r="K129" s="51"/>
      <c r="L129" s="51"/>
      <c r="M129" s="51"/>
      <c r="N129" s="51"/>
      <c r="O129" s="51"/>
      <c r="P129" s="51"/>
      <c r="Q129" s="51"/>
      <c r="R129" s="51"/>
      <c r="S129" s="51"/>
      <c r="T129" s="51"/>
    </row>
    <row r="130" ht="16.5" spans="4:7">
      <c r="D130" s="37"/>
      <c r="E130" s="28"/>
      <c r="F130" s="38"/>
      <c r="G130" s="29"/>
    </row>
    <row r="131" ht="16.5" spans="4:7">
      <c r="D131" s="37"/>
      <c r="E131" s="38"/>
      <c r="F131" s="38"/>
      <c r="G131" s="29"/>
    </row>
    <row r="132" spans="4:7">
      <c r="D132" s="31"/>
      <c r="E132" s="28"/>
      <c r="F132" s="38"/>
      <c r="G132" s="29"/>
    </row>
    <row r="133" spans="4:7">
      <c r="D133" s="31"/>
      <c r="E133" s="38"/>
      <c r="F133" s="38"/>
      <c r="G133" s="29"/>
    </row>
  </sheetData>
  <mergeCells count="2">
    <mergeCell ref="Q121:S121"/>
    <mergeCell ref="I129:T129"/>
  </mergeCells>
  <pageMargins left="0.25" right="0.25" top="0.75" bottom="0.75" header="0.3" footer="0.3"/>
  <pageSetup paperSize="9" orientation="portrait"/>
  <headerFooter>
    <oddHeader>&amp;L&amp;G</oddHeader>
  </headerFooter>
  <drawing r:id="rId1"/>
  <legacyDrawing r:id="rId2"/>
  <legacyDrawingHF r:id="rId15"/>
  <mc:AlternateContent xmlns:mc="http://schemas.openxmlformats.org/markup-compatibility/2006">
    <mc:Choice Requires="x14">
      <controls>
        <mc:AlternateContent xmlns:mc="http://schemas.openxmlformats.org/markup-compatibility/2006">
          <mc:Choice Requires="x14">
            <control shapeId="1036" name="Drop Down 12" r:id="rId3">
              <controlPr defaultSize="0">
                <anchor moveWithCells="1">
                  <from>
                    <xdr:col>23</xdr:col>
                    <xdr:colOff>177800</xdr:colOff>
                    <xdr:row>88</xdr:row>
                    <xdr:rowOff>12700</xdr:rowOff>
                  </from>
                  <to>
                    <xdr:col>26</xdr:col>
                    <xdr:colOff>382905</xdr:colOff>
                    <xdr:row>89</xdr:row>
                    <xdr:rowOff>24765</xdr:rowOff>
                  </to>
                </anchor>
              </controlPr>
            </control>
          </mc:Choice>
        </mc:AlternateContent>
        <mc:AlternateContent xmlns:mc="http://schemas.openxmlformats.org/markup-compatibility/2006">
          <mc:Choice Requires="x14">
            <control shapeId="1038" name="Drop Down 14" r:id="rId4">
              <controlPr defaultSize="0">
                <anchor moveWithCells="1">
                  <from>
                    <xdr:col>24</xdr:col>
                    <xdr:colOff>260350</xdr:colOff>
                    <xdr:row>100</xdr:row>
                    <xdr:rowOff>103505</xdr:rowOff>
                  </from>
                  <to>
                    <xdr:col>25</xdr:col>
                    <xdr:colOff>539750</xdr:colOff>
                    <xdr:row>101</xdr:row>
                    <xdr:rowOff>106045</xdr:rowOff>
                  </to>
                </anchor>
              </controlPr>
            </control>
          </mc:Choice>
        </mc:AlternateContent>
        <mc:AlternateContent xmlns:mc="http://schemas.openxmlformats.org/markup-compatibility/2006">
          <mc:Choice Requires="x14">
            <control shapeId="1040" name="Drop Down 16" r:id="rId5">
              <controlPr defaultSize="0">
                <anchor moveWithCells="1">
                  <from>
                    <xdr:col>23</xdr:col>
                    <xdr:colOff>246380</xdr:colOff>
                    <xdr:row>106</xdr:row>
                    <xdr:rowOff>173990</xdr:rowOff>
                  </from>
                  <to>
                    <xdr:col>25</xdr:col>
                    <xdr:colOff>565150</xdr:colOff>
                    <xdr:row>108</xdr:row>
                    <xdr:rowOff>5080</xdr:rowOff>
                  </to>
                </anchor>
              </controlPr>
            </control>
          </mc:Choice>
        </mc:AlternateContent>
        <mc:AlternateContent xmlns:mc="http://schemas.openxmlformats.org/markup-compatibility/2006">
          <mc:Choice Requires="x14">
            <control shapeId="1041" name="Drop Down 17" r:id="rId6">
              <controlPr defaultSize="0">
                <anchor moveWithCells="1">
                  <from>
                    <xdr:col>24</xdr:col>
                    <xdr:colOff>260350</xdr:colOff>
                    <xdr:row>101</xdr:row>
                    <xdr:rowOff>121285</xdr:rowOff>
                  </from>
                  <to>
                    <xdr:col>25</xdr:col>
                    <xdr:colOff>539750</xdr:colOff>
                    <xdr:row>102</xdr:row>
                    <xdr:rowOff>133350</xdr:rowOff>
                  </to>
                </anchor>
              </controlPr>
            </control>
          </mc:Choice>
        </mc:AlternateContent>
        <mc:AlternateContent xmlns:mc="http://schemas.openxmlformats.org/markup-compatibility/2006">
          <mc:Choice Requires="x14">
            <control shapeId="1042" name="Drop Down 18" r:id="rId7">
              <controlPr defaultSize="0">
                <anchor moveWithCells="1">
                  <from>
                    <xdr:col>23</xdr:col>
                    <xdr:colOff>177800</xdr:colOff>
                    <xdr:row>90</xdr:row>
                    <xdr:rowOff>29210</xdr:rowOff>
                  </from>
                  <to>
                    <xdr:col>26</xdr:col>
                    <xdr:colOff>382905</xdr:colOff>
                    <xdr:row>91</xdr:row>
                    <xdr:rowOff>41275</xdr:rowOff>
                  </to>
                </anchor>
              </controlPr>
            </control>
          </mc:Choice>
        </mc:AlternateContent>
        <mc:AlternateContent xmlns:mc="http://schemas.openxmlformats.org/markup-compatibility/2006">
          <mc:Choice Requires="x14">
            <control shapeId="1043" name="Drop Down 19" r:id="rId8">
              <controlPr defaultSize="0">
                <anchor moveWithCells="1">
                  <from>
                    <xdr:col>23</xdr:col>
                    <xdr:colOff>203835</xdr:colOff>
                    <xdr:row>92</xdr:row>
                    <xdr:rowOff>53340</xdr:rowOff>
                  </from>
                  <to>
                    <xdr:col>26</xdr:col>
                    <xdr:colOff>408305</xdr:colOff>
                    <xdr:row>93</xdr:row>
                    <xdr:rowOff>65405</xdr:rowOff>
                  </to>
                </anchor>
              </controlPr>
            </control>
          </mc:Choice>
        </mc:AlternateContent>
        <mc:AlternateContent xmlns:mc="http://schemas.openxmlformats.org/markup-compatibility/2006">
          <mc:Choice Requires="x14">
            <control shapeId="1045" name="Drop Down 21" r:id="rId9">
              <controlPr defaultSize="0">
                <anchor moveWithCells="1">
                  <from>
                    <xdr:col>23</xdr:col>
                    <xdr:colOff>220980</xdr:colOff>
                    <xdr:row>103</xdr:row>
                    <xdr:rowOff>123190</xdr:rowOff>
                  </from>
                  <to>
                    <xdr:col>25</xdr:col>
                    <xdr:colOff>539750</xdr:colOff>
                    <xdr:row>104</xdr:row>
                    <xdr:rowOff>135255</xdr:rowOff>
                  </to>
                </anchor>
              </controlPr>
            </control>
          </mc:Choice>
        </mc:AlternateContent>
        <mc:AlternateContent xmlns:mc="http://schemas.openxmlformats.org/markup-compatibility/2006">
          <mc:Choice Requires="x14">
            <control shapeId="1048" name="Check Box 24" r:id="rId10">
              <controlPr defaultSize="0">
                <anchor moveWithCells="1">
                  <from>
                    <xdr:col>22</xdr:col>
                    <xdr:colOff>590550</xdr:colOff>
                    <xdr:row>94</xdr:row>
                    <xdr:rowOff>83185</xdr:rowOff>
                  </from>
                  <to>
                    <xdr:col>26</xdr:col>
                    <xdr:colOff>417195</xdr:colOff>
                    <xdr:row>95</xdr:row>
                    <xdr:rowOff>57785</xdr:rowOff>
                  </to>
                </anchor>
              </controlPr>
            </control>
          </mc:Choice>
        </mc:AlternateContent>
        <mc:AlternateContent xmlns:mc="http://schemas.openxmlformats.org/markup-compatibility/2006">
          <mc:Choice Requires="x14">
            <control shapeId="1049" name="Check Box 25" r:id="rId11">
              <controlPr defaultSize="0">
                <anchor moveWithCells="1">
                  <from>
                    <xdr:col>22</xdr:col>
                    <xdr:colOff>590550</xdr:colOff>
                    <xdr:row>95</xdr:row>
                    <xdr:rowOff>73025</xdr:rowOff>
                  </from>
                  <to>
                    <xdr:col>26</xdr:col>
                    <xdr:colOff>417195</xdr:colOff>
                    <xdr:row>96</xdr:row>
                    <xdr:rowOff>47625</xdr:rowOff>
                  </to>
                </anchor>
              </controlPr>
            </control>
          </mc:Choice>
        </mc:AlternateContent>
        <mc:AlternateContent xmlns:mc="http://schemas.openxmlformats.org/markup-compatibility/2006">
          <mc:Choice Requires="x14">
            <control shapeId="1051" name="Check Box 27" r:id="rId12">
              <controlPr defaultSize="0">
                <anchor moveWithCells="1">
                  <from>
                    <xdr:col>22</xdr:col>
                    <xdr:colOff>590550</xdr:colOff>
                    <xdr:row>96</xdr:row>
                    <xdr:rowOff>62865</xdr:rowOff>
                  </from>
                  <to>
                    <xdr:col>26</xdr:col>
                    <xdr:colOff>417195</xdr:colOff>
                    <xdr:row>97</xdr:row>
                    <xdr:rowOff>37465</xdr:rowOff>
                  </to>
                </anchor>
              </controlPr>
            </control>
          </mc:Choice>
        </mc:AlternateContent>
        <mc:AlternateContent xmlns:mc="http://schemas.openxmlformats.org/markup-compatibility/2006">
          <mc:Choice Requires="x14">
            <control shapeId="1052" name="Check Box 28" r:id="rId13">
              <controlPr defaultSize="0">
                <anchor moveWithCells="1">
                  <from>
                    <xdr:col>22</xdr:col>
                    <xdr:colOff>590550</xdr:colOff>
                    <xdr:row>97</xdr:row>
                    <xdr:rowOff>52705</xdr:rowOff>
                  </from>
                  <to>
                    <xdr:col>26</xdr:col>
                    <xdr:colOff>417195</xdr:colOff>
                    <xdr:row>98</xdr:row>
                    <xdr:rowOff>27305</xdr:rowOff>
                  </to>
                </anchor>
              </controlPr>
            </control>
          </mc:Choice>
        </mc:AlternateContent>
        <mc:AlternateContent xmlns:mc="http://schemas.openxmlformats.org/markup-compatibility/2006">
          <mc:Choice Requires="x14">
            <control shapeId="1053" name="Check Box 29" r:id="rId14">
              <controlPr defaultSize="0">
                <anchor moveWithCells="1">
                  <from>
                    <xdr:col>22</xdr:col>
                    <xdr:colOff>590550</xdr:colOff>
                    <xdr:row>98</xdr:row>
                    <xdr:rowOff>42545</xdr:rowOff>
                  </from>
                  <to>
                    <xdr:col>26</xdr:col>
                    <xdr:colOff>417195</xdr:colOff>
                    <xdr:row>99</xdr:row>
                    <xdr:rowOff>17145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Cover</vt:lpstr>
      <vt:lpstr>Discharge Summary</vt:lpstr>
      <vt:lpstr>Load Summary</vt:lpstr>
      <vt:lpstr>Quantity</vt:lpstr>
      <vt:lpstr>OBQ</vt:lpstr>
      <vt:lpstr>Ullage</vt:lpstr>
      <vt:lpstr>Wedge</vt:lpstr>
      <vt:lpstr>Vsl FW</vt:lpstr>
      <vt:lpstr>Shore Tk</vt:lpstr>
      <vt:lpstr>Shore Tk (2)</vt:lpstr>
      <vt:lpstr>ROB</vt:lpstr>
      <vt:lpstr>VEF</vt:lpstr>
      <vt:lpstr>Sample</vt:lpstr>
      <vt:lpstr>Time Log</vt:lpstr>
      <vt:lpstr>Load Summary (2)</vt:lpstr>
      <vt:lpstr>Blank</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liu</dc:creator>
  <cp:lastModifiedBy>wulun</cp:lastModifiedBy>
  <dcterms:created xsi:type="dcterms:W3CDTF">2020-04-20T06:02:00Z</dcterms:created>
  <cp:lastPrinted>2020-06-16T00:41:00Z</cp:lastPrinted>
  <dcterms:modified xsi:type="dcterms:W3CDTF">2020-09-30T05:37:18Z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2052-11.1.0.9339</vt:lpwstr>
  </property>
</Properties>
</file>